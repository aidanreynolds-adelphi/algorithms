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reynolds/Documents/Adelphi/CSC-625/midterm/data/"/>
    </mc:Choice>
  </mc:AlternateContent>
  <xr:revisionPtr revIDLastSave="0" documentId="13_ncr:1_{01E29013-7B34-4942-8A1B-C71F0AE2367E}" xr6:coauthVersionLast="47" xr6:coauthVersionMax="47" xr10:uidLastSave="{00000000-0000-0000-0000-000000000000}"/>
  <bookViews>
    <workbookView xWindow="5180" yWindow="1880" windowWidth="28040" windowHeight="17180" xr2:uid="{A4F6A442-657C-9049-A3D6-6D3C7C56C25C}"/>
  </bookViews>
  <sheets>
    <sheet name="ObesityDataSet_raw_and_data_sin" sheetId="1" r:id="rId1"/>
    <sheet name="Derived Fields" sheetId="3" r:id="rId2"/>
    <sheet name="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B25" i="2"/>
  <c r="B30" i="2"/>
  <c r="B29" i="2"/>
  <c r="B28" i="2"/>
  <c r="B27" i="2"/>
  <c r="B26" i="2"/>
  <c r="B24" i="2"/>
  <c r="C8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B21" i="2"/>
  <c r="B20" i="2"/>
  <c r="B19" i="2"/>
  <c r="B18" i="2"/>
  <c r="B17" i="2"/>
  <c r="B16" i="2"/>
  <c r="B15" i="2"/>
  <c r="B12" i="2"/>
  <c r="B10" i="2"/>
  <c r="B11" i="2"/>
  <c r="B8" i="2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3" i="3"/>
  <c r="I4" i="3"/>
  <c r="I5" i="3"/>
  <c r="I6" i="3"/>
  <c r="I7" i="3"/>
  <c r="I8" i="3"/>
  <c r="I9" i="3"/>
  <c r="I2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3" i="3"/>
  <c r="G4" i="3"/>
  <c r="G5" i="3"/>
  <c r="G6" i="3"/>
  <c r="G7" i="3"/>
  <c r="G8" i="3"/>
  <c r="G9" i="3"/>
  <c r="G10" i="3"/>
  <c r="G11" i="3"/>
  <c r="G12" i="3"/>
  <c r="G13" i="3"/>
  <c r="G2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2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3" i="3"/>
  <c r="A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3" i="3"/>
  <c r="D4" i="3"/>
  <c r="D5" i="3"/>
  <c r="D2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F1512" i="3" s="1"/>
  <c r="C1511" i="3"/>
  <c r="F1511" i="3" s="1"/>
  <c r="C1510" i="3"/>
  <c r="F1510" i="3" s="1"/>
  <c r="C1509" i="3"/>
  <c r="F1509" i="3" s="1"/>
  <c r="C1508" i="3"/>
  <c r="F1508" i="3" s="1"/>
  <c r="C1507" i="3"/>
  <c r="F1507" i="3" s="1"/>
  <c r="C1506" i="3"/>
  <c r="F1506" i="3" s="1"/>
  <c r="C1505" i="3"/>
  <c r="F1505" i="3" s="1"/>
  <c r="C1504" i="3"/>
  <c r="F1504" i="3" s="1"/>
  <c r="C1503" i="3"/>
  <c r="F1503" i="3" s="1"/>
  <c r="C1502" i="3"/>
  <c r="F1502" i="3" s="1"/>
  <c r="C1501" i="3"/>
  <c r="F1501" i="3" s="1"/>
  <c r="C1500" i="3"/>
  <c r="F1500" i="3" s="1"/>
  <c r="C1499" i="3"/>
  <c r="F1499" i="3" s="1"/>
  <c r="C1498" i="3"/>
  <c r="F1498" i="3" s="1"/>
  <c r="C1497" i="3"/>
  <c r="F1497" i="3" s="1"/>
  <c r="C1496" i="3"/>
  <c r="F1496" i="3" s="1"/>
  <c r="C1495" i="3"/>
  <c r="F1495" i="3" s="1"/>
  <c r="C1494" i="3"/>
  <c r="F1494" i="3" s="1"/>
  <c r="C1493" i="3"/>
  <c r="F1493" i="3" s="1"/>
  <c r="C1492" i="3"/>
  <c r="F1492" i="3" s="1"/>
  <c r="C1491" i="3"/>
  <c r="F1491" i="3" s="1"/>
  <c r="C1490" i="3"/>
  <c r="F1490" i="3" s="1"/>
  <c r="C1489" i="3"/>
  <c r="F1489" i="3" s="1"/>
  <c r="C1488" i="3"/>
  <c r="F1488" i="3" s="1"/>
  <c r="C1487" i="3"/>
  <c r="F1487" i="3" s="1"/>
  <c r="C1486" i="3"/>
  <c r="F1486" i="3" s="1"/>
  <c r="C1485" i="3"/>
  <c r="F1485" i="3" s="1"/>
  <c r="C1484" i="3"/>
  <c r="F1484" i="3" s="1"/>
  <c r="C1483" i="3"/>
  <c r="F1483" i="3" s="1"/>
  <c r="C1482" i="3"/>
  <c r="F1482" i="3" s="1"/>
  <c r="C1481" i="3"/>
  <c r="F1481" i="3" s="1"/>
  <c r="C1480" i="3"/>
  <c r="F1480" i="3" s="1"/>
  <c r="C1479" i="3"/>
  <c r="F1479" i="3" s="1"/>
  <c r="C1478" i="3"/>
  <c r="F1478" i="3" s="1"/>
  <c r="C1477" i="3"/>
  <c r="F1477" i="3" s="1"/>
  <c r="C1476" i="3"/>
  <c r="F1476" i="3" s="1"/>
  <c r="C1475" i="3"/>
  <c r="F1475" i="3" s="1"/>
  <c r="C1474" i="3"/>
  <c r="F1474" i="3" s="1"/>
  <c r="C1473" i="3"/>
  <c r="F1473" i="3" s="1"/>
  <c r="C1472" i="3"/>
  <c r="F1472" i="3" s="1"/>
  <c r="C1471" i="3"/>
  <c r="F1471" i="3" s="1"/>
  <c r="C1470" i="3"/>
  <c r="F1470" i="3" s="1"/>
  <c r="C1469" i="3"/>
  <c r="F1469" i="3" s="1"/>
  <c r="C1468" i="3"/>
  <c r="F1468" i="3" s="1"/>
  <c r="C1467" i="3"/>
  <c r="F1467" i="3" s="1"/>
  <c r="C1466" i="3"/>
  <c r="F1466" i="3" s="1"/>
  <c r="C1465" i="3"/>
  <c r="F1465" i="3" s="1"/>
  <c r="C1464" i="3"/>
  <c r="F1464" i="3" s="1"/>
  <c r="C1463" i="3"/>
  <c r="F1463" i="3" s="1"/>
  <c r="C1462" i="3"/>
  <c r="F1462" i="3" s="1"/>
  <c r="C1461" i="3"/>
  <c r="F1461" i="3" s="1"/>
  <c r="C1460" i="3"/>
  <c r="F1460" i="3" s="1"/>
  <c r="C1459" i="3"/>
  <c r="F1459" i="3" s="1"/>
  <c r="C1458" i="3"/>
  <c r="F1458" i="3" s="1"/>
  <c r="C1457" i="3"/>
  <c r="F1457" i="3" s="1"/>
  <c r="C1456" i="3"/>
  <c r="F1456" i="3" s="1"/>
  <c r="C1455" i="3"/>
  <c r="F1455" i="3" s="1"/>
  <c r="C1454" i="3"/>
  <c r="F1454" i="3" s="1"/>
  <c r="C1453" i="3"/>
  <c r="F1453" i="3" s="1"/>
  <c r="C1452" i="3"/>
  <c r="F1452" i="3" s="1"/>
  <c r="C1451" i="3"/>
  <c r="F1451" i="3" s="1"/>
  <c r="C1450" i="3"/>
  <c r="F1450" i="3" s="1"/>
  <c r="C1449" i="3"/>
  <c r="F1449" i="3" s="1"/>
  <c r="C1448" i="3"/>
  <c r="F1448" i="3" s="1"/>
  <c r="C1447" i="3"/>
  <c r="F1447" i="3" s="1"/>
  <c r="C1446" i="3"/>
  <c r="F1446" i="3" s="1"/>
  <c r="C1445" i="3"/>
  <c r="F1445" i="3" s="1"/>
  <c r="C1444" i="3"/>
  <c r="F1444" i="3" s="1"/>
  <c r="C1443" i="3"/>
  <c r="F1443" i="3" s="1"/>
  <c r="C1442" i="3"/>
  <c r="F1442" i="3" s="1"/>
  <c r="C1441" i="3"/>
  <c r="F1441" i="3" s="1"/>
  <c r="C1440" i="3"/>
  <c r="F1440" i="3" s="1"/>
  <c r="C1439" i="3"/>
  <c r="F1439" i="3" s="1"/>
  <c r="C1438" i="3"/>
  <c r="F1438" i="3" s="1"/>
  <c r="C1437" i="3"/>
  <c r="F1437" i="3" s="1"/>
  <c r="C1436" i="3"/>
  <c r="F1436" i="3" s="1"/>
  <c r="C1435" i="3"/>
  <c r="F1435" i="3" s="1"/>
  <c r="C1434" i="3"/>
  <c r="F1434" i="3" s="1"/>
  <c r="C1433" i="3"/>
  <c r="F1433" i="3" s="1"/>
  <c r="C1432" i="3"/>
  <c r="F1432" i="3" s="1"/>
  <c r="C1431" i="3"/>
  <c r="F1431" i="3" s="1"/>
  <c r="C1430" i="3"/>
  <c r="F1430" i="3" s="1"/>
  <c r="C1429" i="3"/>
  <c r="F1429" i="3" s="1"/>
  <c r="C1428" i="3"/>
  <c r="F1428" i="3" s="1"/>
  <c r="C1427" i="3"/>
  <c r="F1427" i="3" s="1"/>
  <c r="C1426" i="3"/>
  <c r="F1426" i="3" s="1"/>
  <c r="C1425" i="3"/>
  <c r="F1425" i="3" s="1"/>
  <c r="C1424" i="3"/>
  <c r="F1424" i="3" s="1"/>
  <c r="C1423" i="3"/>
  <c r="F1423" i="3" s="1"/>
  <c r="C1422" i="3"/>
  <c r="F1422" i="3" s="1"/>
  <c r="C1421" i="3"/>
  <c r="F1421" i="3" s="1"/>
  <c r="C1420" i="3"/>
  <c r="F1420" i="3" s="1"/>
  <c r="C1419" i="3"/>
  <c r="F1419" i="3" s="1"/>
  <c r="C1418" i="3"/>
  <c r="F1418" i="3" s="1"/>
  <c r="C1417" i="3"/>
  <c r="F1417" i="3" s="1"/>
  <c r="C1416" i="3"/>
  <c r="F1416" i="3" s="1"/>
  <c r="C1415" i="3"/>
  <c r="F1415" i="3" s="1"/>
  <c r="C1414" i="3"/>
  <c r="F1414" i="3" s="1"/>
  <c r="C1413" i="3"/>
  <c r="F1413" i="3" s="1"/>
  <c r="C1412" i="3"/>
  <c r="F1412" i="3" s="1"/>
  <c r="C1411" i="3"/>
  <c r="F1411" i="3" s="1"/>
  <c r="C1410" i="3"/>
  <c r="F1410" i="3" s="1"/>
  <c r="C1409" i="3"/>
  <c r="F1409" i="3" s="1"/>
  <c r="C1408" i="3"/>
  <c r="F1408" i="3" s="1"/>
  <c r="C1407" i="3"/>
  <c r="F1407" i="3" s="1"/>
  <c r="C1406" i="3"/>
  <c r="F1406" i="3" s="1"/>
  <c r="C1405" i="3"/>
  <c r="F1405" i="3" s="1"/>
  <c r="C1404" i="3"/>
  <c r="F1404" i="3" s="1"/>
  <c r="C1403" i="3"/>
  <c r="F1403" i="3" s="1"/>
  <c r="C1402" i="3"/>
  <c r="F1402" i="3" s="1"/>
  <c r="C1401" i="3"/>
  <c r="F1401" i="3" s="1"/>
  <c r="C1400" i="3"/>
  <c r="F1400" i="3" s="1"/>
  <c r="C1399" i="3"/>
  <c r="F1399" i="3" s="1"/>
  <c r="C1398" i="3"/>
  <c r="F1398" i="3" s="1"/>
  <c r="C1397" i="3"/>
  <c r="F1397" i="3" s="1"/>
  <c r="C1396" i="3"/>
  <c r="F1396" i="3" s="1"/>
  <c r="C1395" i="3"/>
  <c r="F1395" i="3" s="1"/>
  <c r="C1394" i="3"/>
  <c r="F1394" i="3" s="1"/>
  <c r="C1393" i="3"/>
  <c r="F1393" i="3" s="1"/>
  <c r="C1392" i="3"/>
  <c r="F1392" i="3" s="1"/>
  <c r="C1391" i="3"/>
  <c r="F1391" i="3" s="1"/>
  <c r="C1390" i="3"/>
  <c r="F1390" i="3" s="1"/>
  <c r="C1389" i="3"/>
  <c r="F1389" i="3" s="1"/>
  <c r="C1388" i="3"/>
  <c r="F1388" i="3" s="1"/>
  <c r="C1387" i="3"/>
  <c r="F1387" i="3" s="1"/>
  <c r="C1386" i="3"/>
  <c r="F1386" i="3" s="1"/>
  <c r="C1385" i="3"/>
  <c r="F1385" i="3" s="1"/>
  <c r="C1384" i="3"/>
  <c r="F1384" i="3" s="1"/>
  <c r="C1383" i="3"/>
  <c r="F1383" i="3" s="1"/>
  <c r="C1382" i="3"/>
  <c r="F1382" i="3" s="1"/>
  <c r="C1381" i="3"/>
  <c r="F1381" i="3" s="1"/>
  <c r="C1380" i="3"/>
  <c r="F1380" i="3" s="1"/>
  <c r="C1379" i="3"/>
  <c r="F1379" i="3" s="1"/>
  <c r="C1378" i="3"/>
  <c r="F1378" i="3" s="1"/>
  <c r="C1377" i="3"/>
  <c r="F1377" i="3" s="1"/>
  <c r="C1376" i="3"/>
  <c r="F1376" i="3" s="1"/>
  <c r="C1375" i="3"/>
  <c r="F1375" i="3" s="1"/>
  <c r="C1374" i="3"/>
  <c r="F1374" i="3" s="1"/>
  <c r="C1373" i="3"/>
  <c r="F1373" i="3" s="1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F1246" i="3" s="1"/>
  <c r="C1245" i="3"/>
  <c r="F1245" i="3" s="1"/>
  <c r="C1244" i="3"/>
  <c r="F1244" i="3" s="1"/>
  <c r="C1243" i="3"/>
  <c r="F1243" i="3" s="1"/>
  <c r="C1242" i="3"/>
  <c r="F1242" i="3" s="1"/>
  <c r="C1241" i="3"/>
  <c r="F1241" i="3" s="1"/>
  <c r="C1240" i="3"/>
  <c r="F1240" i="3" s="1"/>
  <c r="C1239" i="3"/>
  <c r="F1239" i="3" s="1"/>
  <c r="C1238" i="3"/>
  <c r="F1238" i="3" s="1"/>
  <c r="C1237" i="3"/>
  <c r="F1237" i="3" s="1"/>
  <c r="C1236" i="3"/>
  <c r="F1236" i="3" s="1"/>
  <c r="C1235" i="3"/>
  <c r="F1235" i="3" s="1"/>
  <c r="C1234" i="3"/>
  <c r="F1234" i="3" s="1"/>
  <c r="C1233" i="3"/>
  <c r="F1233" i="3" s="1"/>
  <c r="C1232" i="3"/>
  <c r="F1232" i="3" s="1"/>
  <c r="C1231" i="3"/>
  <c r="F1231" i="3" s="1"/>
  <c r="C1230" i="3"/>
  <c r="F1230" i="3" s="1"/>
  <c r="C1229" i="3"/>
  <c r="F1229" i="3" s="1"/>
  <c r="C1228" i="3"/>
  <c r="F1228" i="3" s="1"/>
  <c r="C1227" i="3"/>
  <c r="F1227" i="3" s="1"/>
  <c r="C1226" i="3"/>
  <c r="F1226" i="3" s="1"/>
  <c r="C1225" i="3"/>
  <c r="F1225" i="3" s="1"/>
  <c r="C1224" i="3"/>
  <c r="F1224" i="3" s="1"/>
  <c r="C1223" i="3"/>
  <c r="F1223" i="3" s="1"/>
  <c r="C1222" i="3"/>
  <c r="F1222" i="3" s="1"/>
  <c r="C1221" i="3"/>
  <c r="F1221" i="3" s="1"/>
  <c r="C1220" i="3"/>
  <c r="F1220" i="3" s="1"/>
  <c r="C1219" i="3"/>
  <c r="F1219" i="3" s="1"/>
  <c r="C1218" i="3"/>
  <c r="F1218" i="3" s="1"/>
  <c r="C1217" i="3"/>
  <c r="F1217" i="3" s="1"/>
  <c r="C1216" i="3"/>
  <c r="F1216" i="3" s="1"/>
  <c r="C1215" i="3"/>
  <c r="F1215" i="3" s="1"/>
  <c r="C1214" i="3"/>
  <c r="F1214" i="3" s="1"/>
  <c r="C1213" i="3"/>
  <c r="F1213" i="3" s="1"/>
  <c r="C1212" i="3"/>
  <c r="F1212" i="3" s="1"/>
  <c r="C1211" i="3"/>
  <c r="F1211" i="3" s="1"/>
  <c r="C1210" i="3"/>
  <c r="F1210" i="3" s="1"/>
  <c r="C1209" i="3"/>
  <c r="F1209" i="3" s="1"/>
  <c r="C1208" i="3"/>
  <c r="F1208" i="3" s="1"/>
  <c r="C1207" i="3"/>
  <c r="F1207" i="3" s="1"/>
  <c r="C1206" i="3"/>
  <c r="F1206" i="3" s="1"/>
  <c r="C1205" i="3"/>
  <c r="F1205" i="3" s="1"/>
  <c r="C1204" i="3"/>
  <c r="F1204" i="3" s="1"/>
  <c r="C1203" i="3"/>
  <c r="F1203" i="3" s="1"/>
  <c r="C1202" i="3"/>
  <c r="F1202" i="3" s="1"/>
  <c r="C1201" i="3"/>
  <c r="F1201" i="3" s="1"/>
  <c r="C1200" i="3"/>
  <c r="F1200" i="3" s="1"/>
  <c r="C1199" i="3"/>
  <c r="F1199" i="3" s="1"/>
  <c r="C1198" i="3"/>
  <c r="F1198" i="3" s="1"/>
  <c r="C1197" i="3"/>
  <c r="F1197" i="3" s="1"/>
  <c r="C1196" i="3"/>
  <c r="F1196" i="3" s="1"/>
  <c r="C1195" i="3"/>
  <c r="F1195" i="3" s="1"/>
  <c r="C1194" i="3"/>
  <c r="F1194" i="3" s="1"/>
  <c r="C1193" i="3"/>
  <c r="F1193" i="3" s="1"/>
  <c r="C1192" i="3"/>
  <c r="F1192" i="3" s="1"/>
  <c r="C1191" i="3"/>
  <c r="F1191" i="3" s="1"/>
  <c r="C1190" i="3"/>
  <c r="F1190" i="3" s="1"/>
  <c r="C1189" i="3"/>
  <c r="F1189" i="3" s="1"/>
  <c r="C1188" i="3"/>
  <c r="F1188" i="3" s="1"/>
  <c r="C1187" i="3"/>
  <c r="F1187" i="3" s="1"/>
  <c r="C1186" i="3"/>
  <c r="F1186" i="3" s="1"/>
  <c r="C1185" i="3"/>
  <c r="F1185" i="3" s="1"/>
  <c r="C1184" i="3"/>
  <c r="F1184" i="3" s="1"/>
  <c r="C1183" i="3"/>
  <c r="F1183" i="3" s="1"/>
  <c r="C1182" i="3"/>
  <c r="F1182" i="3" s="1"/>
  <c r="C1181" i="3"/>
  <c r="F1181" i="3" s="1"/>
  <c r="C1180" i="3"/>
  <c r="F1180" i="3" s="1"/>
  <c r="C1179" i="3"/>
  <c r="F1179" i="3" s="1"/>
  <c r="C1178" i="3"/>
  <c r="F1178" i="3" s="1"/>
  <c r="C1177" i="3"/>
  <c r="F1177" i="3" s="1"/>
  <c r="C1176" i="3"/>
  <c r="F1176" i="3" s="1"/>
  <c r="C1175" i="3"/>
  <c r="F1175" i="3" s="1"/>
  <c r="C1174" i="3"/>
  <c r="F1174" i="3" s="1"/>
  <c r="C1173" i="3"/>
  <c r="F1173" i="3" s="1"/>
  <c r="C1172" i="3"/>
  <c r="F1172" i="3" s="1"/>
  <c r="C1171" i="3"/>
  <c r="F1171" i="3" s="1"/>
  <c r="C1170" i="3"/>
  <c r="F1170" i="3" s="1"/>
  <c r="C1169" i="3"/>
  <c r="F1169" i="3" s="1"/>
  <c r="C1168" i="3"/>
  <c r="F1168" i="3" s="1"/>
  <c r="C1167" i="3"/>
  <c r="F1167" i="3" s="1"/>
  <c r="C1166" i="3"/>
  <c r="F1166" i="3" s="1"/>
  <c r="C1165" i="3"/>
  <c r="F1165" i="3" s="1"/>
  <c r="C1164" i="3"/>
  <c r="F1164" i="3" s="1"/>
  <c r="C1163" i="3"/>
  <c r="F1163" i="3" s="1"/>
  <c r="C1162" i="3"/>
  <c r="F1162" i="3" s="1"/>
  <c r="C1161" i="3"/>
  <c r="F1161" i="3" s="1"/>
  <c r="C1160" i="3"/>
  <c r="F1160" i="3" s="1"/>
  <c r="C1159" i="3"/>
  <c r="F1159" i="3" s="1"/>
  <c r="C1158" i="3"/>
  <c r="F1158" i="3" s="1"/>
  <c r="C1157" i="3"/>
  <c r="F1157" i="3" s="1"/>
  <c r="C1156" i="3"/>
  <c r="F1156" i="3" s="1"/>
  <c r="C1155" i="3"/>
  <c r="F1155" i="3" s="1"/>
  <c r="C1154" i="3"/>
  <c r="F1154" i="3" s="1"/>
  <c r="C1153" i="3"/>
  <c r="F1153" i="3" s="1"/>
  <c r="C1152" i="3"/>
  <c r="F1152" i="3" s="1"/>
  <c r="C1151" i="3"/>
  <c r="F1151" i="3" s="1"/>
  <c r="C1150" i="3"/>
  <c r="F1150" i="3" s="1"/>
  <c r="C1149" i="3"/>
  <c r="F1149" i="3" s="1"/>
  <c r="C1148" i="3"/>
  <c r="F1148" i="3" s="1"/>
  <c r="C1147" i="3"/>
  <c r="F1147" i="3" s="1"/>
  <c r="C1146" i="3"/>
  <c r="F1146" i="3" s="1"/>
  <c r="C1145" i="3"/>
  <c r="F1145" i="3" s="1"/>
  <c r="C1144" i="3"/>
  <c r="F1144" i="3" s="1"/>
  <c r="C1143" i="3"/>
  <c r="F1143" i="3" s="1"/>
  <c r="C1142" i="3"/>
  <c r="F1142" i="3" s="1"/>
  <c r="C1141" i="3"/>
  <c r="F1141" i="3" s="1"/>
  <c r="C1140" i="3"/>
  <c r="F1140" i="3" s="1"/>
  <c r="C1139" i="3"/>
  <c r="F1139" i="3" s="1"/>
  <c r="C1138" i="3"/>
  <c r="F1138" i="3" s="1"/>
  <c r="C1137" i="3"/>
  <c r="F1137" i="3" s="1"/>
  <c r="C1136" i="3"/>
  <c r="F1136" i="3" s="1"/>
  <c r="C1135" i="3"/>
  <c r="F1135" i="3" s="1"/>
  <c r="C1134" i="3"/>
  <c r="F1134" i="3" s="1"/>
  <c r="C1133" i="3"/>
  <c r="F1133" i="3" s="1"/>
  <c r="C1132" i="3"/>
  <c r="F1132" i="3" s="1"/>
  <c r="C1131" i="3"/>
  <c r="F1131" i="3" s="1"/>
  <c r="C1130" i="3"/>
  <c r="F1130" i="3" s="1"/>
  <c r="C1129" i="3"/>
  <c r="F1129" i="3" s="1"/>
  <c r="C1128" i="3"/>
  <c r="F1128" i="3" s="1"/>
  <c r="C1127" i="3"/>
  <c r="F1127" i="3" s="1"/>
  <c r="C1126" i="3"/>
  <c r="F1126" i="3" s="1"/>
  <c r="C1125" i="3"/>
  <c r="F1125" i="3" s="1"/>
  <c r="C1124" i="3"/>
  <c r="F1124" i="3" s="1"/>
  <c r="C1123" i="3"/>
  <c r="F1123" i="3" s="1"/>
  <c r="C1122" i="3"/>
  <c r="F1122" i="3" s="1"/>
  <c r="C1121" i="3"/>
  <c r="F1121" i="3" s="1"/>
  <c r="C1120" i="3"/>
  <c r="F1120" i="3" s="1"/>
  <c r="C1119" i="3"/>
  <c r="F1119" i="3" s="1"/>
  <c r="C1118" i="3"/>
  <c r="F1118" i="3" s="1"/>
  <c r="C1117" i="3"/>
  <c r="F1117" i="3" s="1"/>
  <c r="C1116" i="3"/>
  <c r="F1116" i="3" s="1"/>
  <c r="C1115" i="3"/>
  <c r="F1115" i="3" s="1"/>
  <c r="C1114" i="3"/>
  <c r="F1114" i="3" s="1"/>
  <c r="C1113" i="3"/>
  <c r="F1113" i="3" s="1"/>
  <c r="C1112" i="3"/>
  <c r="F1112" i="3" s="1"/>
  <c r="C1111" i="3"/>
  <c r="F1111" i="3" s="1"/>
  <c r="C1110" i="3"/>
  <c r="F1110" i="3" s="1"/>
  <c r="C1109" i="3"/>
  <c r="F1109" i="3" s="1"/>
  <c r="C1108" i="3"/>
  <c r="F1108" i="3" s="1"/>
  <c r="C1107" i="3"/>
  <c r="F1107" i="3" s="1"/>
  <c r="C1106" i="3"/>
  <c r="F1106" i="3" s="1"/>
  <c r="C1105" i="3"/>
  <c r="F1105" i="3" s="1"/>
  <c r="C1104" i="3"/>
  <c r="F1104" i="3" s="1"/>
  <c r="C1103" i="3"/>
  <c r="F1103" i="3" s="1"/>
  <c r="C1102" i="3"/>
  <c r="F1102" i="3" s="1"/>
  <c r="C1101" i="3"/>
  <c r="F1101" i="3" s="1"/>
  <c r="C1100" i="3"/>
  <c r="F1100" i="3" s="1"/>
  <c r="C1099" i="3"/>
  <c r="F1099" i="3" s="1"/>
  <c r="C1098" i="3"/>
  <c r="F1098" i="3" s="1"/>
  <c r="C1097" i="3"/>
  <c r="F1097" i="3" s="1"/>
  <c r="C1096" i="3"/>
  <c r="F1096" i="3" s="1"/>
  <c r="C1095" i="3"/>
  <c r="F1095" i="3" s="1"/>
  <c r="C1094" i="3"/>
  <c r="F1094" i="3" s="1"/>
  <c r="C1093" i="3"/>
  <c r="F1093" i="3" s="1"/>
  <c r="C1092" i="3"/>
  <c r="F1092" i="3" s="1"/>
  <c r="C1091" i="3"/>
  <c r="F1091" i="3" s="1"/>
  <c r="C1090" i="3"/>
  <c r="F1090" i="3" s="1"/>
  <c r="C1089" i="3"/>
  <c r="F1089" i="3" s="1"/>
  <c r="C1088" i="3"/>
  <c r="F1088" i="3" s="1"/>
  <c r="C1087" i="3"/>
  <c r="F1087" i="3" s="1"/>
  <c r="C1086" i="3"/>
  <c r="F1086" i="3" s="1"/>
  <c r="C1085" i="3"/>
  <c r="F1085" i="3" s="1"/>
  <c r="C1084" i="3"/>
  <c r="F1084" i="3" s="1"/>
  <c r="C1083" i="3"/>
  <c r="F1083" i="3" s="1"/>
  <c r="C1082" i="3"/>
  <c r="F1082" i="3" s="1"/>
  <c r="C1081" i="3"/>
  <c r="F1081" i="3" s="1"/>
  <c r="C1080" i="3"/>
  <c r="F1080" i="3" s="1"/>
  <c r="C1079" i="3"/>
  <c r="F1079" i="3" s="1"/>
  <c r="C1078" i="3"/>
  <c r="F1078" i="3" s="1"/>
  <c r="C1077" i="3"/>
  <c r="F1077" i="3" s="1"/>
  <c r="C1076" i="3"/>
  <c r="F1076" i="3" s="1"/>
  <c r="C1075" i="3"/>
  <c r="F1075" i="3" s="1"/>
  <c r="C1074" i="3"/>
  <c r="F1074" i="3" s="1"/>
  <c r="C1073" i="3"/>
  <c r="F1073" i="3" s="1"/>
  <c r="C1072" i="3"/>
  <c r="F1072" i="3" s="1"/>
  <c r="C1071" i="3"/>
  <c r="F1071" i="3" s="1"/>
  <c r="C1070" i="3"/>
  <c r="F1070" i="3" s="1"/>
  <c r="C1069" i="3"/>
  <c r="F1069" i="3" s="1"/>
  <c r="C1068" i="3"/>
  <c r="F1068" i="3" s="1"/>
  <c r="C1067" i="3"/>
  <c r="F1067" i="3" s="1"/>
  <c r="C1066" i="3"/>
  <c r="F1066" i="3" s="1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F805" i="3" s="1"/>
  <c r="C804" i="3"/>
  <c r="F804" i="3" s="1"/>
  <c r="C803" i="3"/>
  <c r="F803" i="3" s="1"/>
  <c r="C802" i="3"/>
  <c r="F802" i="3" s="1"/>
  <c r="C801" i="3"/>
  <c r="F801" i="3" s="1"/>
  <c r="C800" i="3"/>
  <c r="F800" i="3" s="1"/>
  <c r="C799" i="3"/>
  <c r="F799" i="3" s="1"/>
  <c r="C798" i="3"/>
  <c r="F798" i="3" s="1"/>
  <c r="C797" i="3"/>
  <c r="F797" i="3" s="1"/>
  <c r="C796" i="3"/>
  <c r="F796" i="3" s="1"/>
  <c r="C795" i="3"/>
  <c r="F795" i="3" s="1"/>
  <c r="C794" i="3"/>
  <c r="F794" i="3" s="1"/>
  <c r="C793" i="3"/>
  <c r="F793" i="3" s="1"/>
  <c r="C792" i="3"/>
  <c r="F792" i="3" s="1"/>
  <c r="C791" i="3"/>
  <c r="F791" i="3" s="1"/>
  <c r="C790" i="3"/>
  <c r="F790" i="3" s="1"/>
  <c r="C789" i="3"/>
  <c r="F789" i="3" s="1"/>
  <c r="C788" i="3"/>
  <c r="F788" i="3" s="1"/>
  <c r="C787" i="3"/>
  <c r="F787" i="3" s="1"/>
  <c r="C786" i="3"/>
  <c r="F786" i="3" s="1"/>
  <c r="C785" i="3"/>
  <c r="F785" i="3" s="1"/>
  <c r="C784" i="3"/>
  <c r="F784" i="3" s="1"/>
  <c r="C783" i="3"/>
  <c r="F783" i="3" s="1"/>
  <c r="C782" i="3"/>
  <c r="F782" i="3" s="1"/>
  <c r="C781" i="3"/>
  <c r="F781" i="3" s="1"/>
  <c r="C780" i="3"/>
  <c r="F780" i="3" s="1"/>
  <c r="C779" i="3"/>
  <c r="F779" i="3" s="1"/>
  <c r="C778" i="3"/>
  <c r="F778" i="3" s="1"/>
  <c r="C777" i="3"/>
  <c r="F777" i="3" s="1"/>
  <c r="C776" i="3"/>
  <c r="F776" i="3" s="1"/>
  <c r="C775" i="3"/>
  <c r="F775" i="3" s="1"/>
  <c r="C774" i="3"/>
  <c r="F774" i="3" s="1"/>
  <c r="C773" i="3"/>
  <c r="F773" i="3" s="1"/>
  <c r="C772" i="3"/>
  <c r="F772" i="3" s="1"/>
  <c r="C771" i="3"/>
  <c r="F771" i="3" s="1"/>
  <c r="C770" i="3"/>
  <c r="F770" i="3" s="1"/>
  <c r="C769" i="3"/>
  <c r="F769" i="3" s="1"/>
  <c r="C768" i="3"/>
  <c r="F768" i="3" s="1"/>
  <c r="C767" i="3"/>
  <c r="F767" i="3" s="1"/>
  <c r="C766" i="3"/>
  <c r="F766" i="3" s="1"/>
  <c r="C765" i="3"/>
  <c r="F765" i="3" s="1"/>
  <c r="C764" i="3"/>
  <c r="F764" i="3" s="1"/>
  <c r="C763" i="3"/>
  <c r="F763" i="3" s="1"/>
  <c r="C762" i="3"/>
  <c r="F762" i="3" s="1"/>
  <c r="C761" i="3"/>
  <c r="F761" i="3" s="1"/>
  <c r="C760" i="3"/>
  <c r="F760" i="3" s="1"/>
  <c r="C759" i="3"/>
  <c r="F759" i="3" s="1"/>
  <c r="C758" i="3"/>
  <c r="F758" i="3" s="1"/>
  <c r="C757" i="3"/>
  <c r="F757" i="3" s="1"/>
  <c r="C756" i="3"/>
  <c r="F756" i="3" s="1"/>
  <c r="C755" i="3"/>
  <c r="F755" i="3" s="1"/>
  <c r="C754" i="3"/>
  <c r="F754" i="3" s="1"/>
  <c r="C753" i="3"/>
  <c r="F753" i="3" s="1"/>
  <c r="C752" i="3"/>
  <c r="F752" i="3" s="1"/>
  <c r="C751" i="3"/>
  <c r="F751" i="3" s="1"/>
  <c r="C750" i="3"/>
  <c r="F750" i="3" s="1"/>
  <c r="C749" i="3"/>
  <c r="F749" i="3" s="1"/>
  <c r="C748" i="3"/>
  <c r="F748" i="3" s="1"/>
  <c r="C747" i="3"/>
  <c r="F747" i="3" s="1"/>
  <c r="C746" i="3"/>
  <c r="F746" i="3" s="1"/>
  <c r="C745" i="3"/>
  <c r="F745" i="3" s="1"/>
  <c r="C744" i="3"/>
  <c r="F744" i="3" s="1"/>
  <c r="C743" i="3"/>
  <c r="F743" i="3" s="1"/>
  <c r="C742" i="3"/>
  <c r="F742" i="3" s="1"/>
  <c r="C741" i="3"/>
  <c r="F741" i="3" s="1"/>
  <c r="C740" i="3"/>
  <c r="F740" i="3" s="1"/>
  <c r="C739" i="3"/>
  <c r="F739" i="3" s="1"/>
  <c r="C738" i="3"/>
  <c r="F738" i="3" s="1"/>
  <c r="C737" i="3"/>
  <c r="F737" i="3" s="1"/>
  <c r="C736" i="3"/>
  <c r="F736" i="3" s="1"/>
  <c r="C735" i="3"/>
  <c r="F735" i="3" s="1"/>
  <c r="C734" i="3"/>
  <c r="F734" i="3" s="1"/>
  <c r="C733" i="3"/>
  <c r="F733" i="3" s="1"/>
  <c r="C732" i="3"/>
  <c r="F732" i="3" s="1"/>
  <c r="C731" i="3"/>
  <c r="F731" i="3" s="1"/>
  <c r="C730" i="3"/>
  <c r="F730" i="3" s="1"/>
  <c r="C729" i="3"/>
  <c r="F729" i="3" s="1"/>
  <c r="C728" i="3"/>
  <c r="F728" i="3" s="1"/>
  <c r="C727" i="3"/>
  <c r="F727" i="3" s="1"/>
  <c r="C726" i="3"/>
  <c r="F726" i="3" s="1"/>
  <c r="C725" i="3"/>
  <c r="F725" i="3" s="1"/>
  <c r="C724" i="3"/>
  <c r="F724" i="3" s="1"/>
  <c r="C723" i="3"/>
  <c r="F723" i="3" s="1"/>
  <c r="C722" i="3"/>
  <c r="F722" i="3" s="1"/>
  <c r="C721" i="3"/>
  <c r="F721" i="3" s="1"/>
  <c r="C720" i="3"/>
  <c r="F720" i="3" s="1"/>
  <c r="C719" i="3"/>
  <c r="F719" i="3" s="1"/>
  <c r="C718" i="3"/>
  <c r="F718" i="3" s="1"/>
  <c r="C717" i="3"/>
  <c r="F717" i="3" s="1"/>
  <c r="C716" i="3"/>
  <c r="F716" i="3" s="1"/>
  <c r="C715" i="3"/>
  <c r="F715" i="3" s="1"/>
  <c r="C714" i="3"/>
  <c r="F714" i="3" s="1"/>
  <c r="C713" i="3"/>
  <c r="F713" i="3" s="1"/>
  <c r="C712" i="3"/>
  <c r="F712" i="3" s="1"/>
  <c r="C711" i="3"/>
  <c r="F711" i="3" s="1"/>
  <c r="C710" i="3"/>
  <c r="F710" i="3" s="1"/>
  <c r="C709" i="3"/>
  <c r="F709" i="3" s="1"/>
  <c r="C708" i="3"/>
  <c r="F708" i="3" s="1"/>
  <c r="C707" i="3"/>
  <c r="F707" i="3" s="1"/>
  <c r="C706" i="3"/>
  <c r="F706" i="3" s="1"/>
  <c r="C705" i="3"/>
  <c r="F705" i="3" s="1"/>
  <c r="C704" i="3"/>
  <c r="F704" i="3" s="1"/>
  <c r="C703" i="3"/>
  <c r="F703" i="3" s="1"/>
  <c r="C702" i="3"/>
  <c r="F702" i="3" s="1"/>
  <c r="C701" i="3"/>
  <c r="F701" i="3" s="1"/>
  <c r="C700" i="3"/>
  <c r="F700" i="3" s="1"/>
  <c r="C699" i="3"/>
  <c r="F699" i="3" s="1"/>
  <c r="C698" i="3"/>
  <c r="F698" i="3" s="1"/>
  <c r="C697" i="3"/>
  <c r="F697" i="3" s="1"/>
  <c r="C696" i="3"/>
  <c r="F696" i="3" s="1"/>
  <c r="C695" i="3"/>
  <c r="F695" i="3" s="1"/>
  <c r="C694" i="3"/>
  <c r="F694" i="3" s="1"/>
  <c r="C693" i="3"/>
  <c r="F693" i="3" s="1"/>
  <c r="C692" i="3"/>
  <c r="F692" i="3" s="1"/>
  <c r="C691" i="3"/>
  <c r="F691" i="3" s="1"/>
  <c r="C690" i="3"/>
  <c r="F690" i="3" s="1"/>
  <c r="C689" i="3"/>
  <c r="F689" i="3" s="1"/>
  <c r="C688" i="3"/>
  <c r="F688" i="3" s="1"/>
  <c r="C687" i="3"/>
  <c r="F687" i="3" s="1"/>
  <c r="C686" i="3"/>
  <c r="F686" i="3" s="1"/>
  <c r="C685" i="3"/>
  <c r="F685" i="3" s="1"/>
  <c r="C684" i="3"/>
  <c r="F684" i="3" s="1"/>
  <c r="C683" i="3"/>
  <c r="F683" i="3" s="1"/>
  <c r="C682" i="3"/>
  <c r="F682" i="3" s="1"/>
  <c r="C681" i="3"/>
  <c r="F681" i="3" s="1"/>
  <c r="C680" i="3"/>
  <c r="F680" i="3" s="1"/>
  <c r="C679" i="3"/>
  <c r="F679" i="3" s="1"/>
  <c r="C678" i="3"/>
  <c r="F678" i="3" s="1"/>
  <c r="C677" i="3"/>
  <c r="F677" i="3" s="1"/>
  <c r="C676" i="3"/>
  <c r="F676" i="3" s="1"/>
  <c r="C675" i="3"/>
  <c r="F675" i="3" s="1"/>
  <c r="C674" i="3"/>
  <c r="F674" i="3" s="1"/>
  <c r="C673" i="3"/>
  <c r="F673" i="3" s="1"/>
  <c r="C672" i="3"/>
  <c r="F672" i="3" s="1"/>
  <c r="C671" i="3"/>
  <c r="F671" i="3" s="1"/>
  <c r="C670" i="3"/>
  <c r="F670" i="3" s="1"/>
  <c r="C669" i="3"/>
  <c r="F669" i="3" s="1"/>
  <c r="C668" i="3"/>
  <c r="F668" i="3" s="1"/>
  <c r="C667" i="3"/>
  <c r="F667" i="3" s="1"/>
  <c r="C666" i="3"/>
  <c r="F666" i="3" s="1"/>
  <c r="C665" i="3"/>
  <c r="F665" i="3" s="1"/>
  <c r="C664" i="3"/>
  <c r="F664" i="3" s="1"/>
  <c r="C663" i="3"/>
  <c r="F663" i="3" s="1"/>
  <c r="C662" i="3"/>
  <c r="F662" i="3" s="1"/>
  <c r="C661" i="3"/>
  <c r="F661" i="3" s="1"/>
  <c r="C660" i="3"/>
  <c r="F660" i="3" s="1"/>
  <c r="C659" i="3"/>
  <c r="F659" i="3" s="1"/>
  <c r="C658" i="3"/>
  <c r="F658" i="3" s="1"/>
  <c r="C657" i="3"/>
  <c r="F657" i="3" s="1"/>
  <c r="C656" i="3"/>
  <c r="F656" i="3" s="1"/>
  <c r="C655" i="3"/>
  <c r="F655" i="3" s="1"/>
  <c r="C654" i="3"/>
  <c r="F654" i="3" s="1"/>
  <c r="C653" i="3"/>
  <c r="F653" i="3" s="1"/>
  <c r="C652" i="3"/>
  <c r="F652" i="3" s="1"/>
  <c r="C651" i="3"/>
  <c r="F651" i="3" s="1"/>
  <c r="C650" i="3"/>
  <c r="F650" i="3" s="1"/>
  <c r="C649" i="3"/>
  <c r="F649" i="3" s="1"/>
  <c r="C648" i="3"/>
  <c r="F648" i="3" s="1"/>
  <c r="C647" i="3"/>
  <c r="F647" i="3" s="1"/>
  <c r="C646" i="3"/>
  <c r="F646" i="3" s="1"/>
  <c r="C645" i="3"/>
  <c r="F645" i="3" s="1"/>
  <c r="C644" i="3"/>
  <c r="F644" i="3" s="1"/>
  <c r="C643" i="3"/>
  <c r="F643" i="3" s="1"/>
  <c r="C642" i="3"/>
  <c r="F642" i="3" s="1"/>
  <c r="C641" i="3"/>
  <c r="F641" i="3" s="1"/>
  <c r="C640" i="3"/>
  <c r="F640" i="3" s="1"/>
  <c r="C639" i="3"/>
  <c r="F639" i="3" s="1"/>
  <c r="C638" i="3"/>
  <c r="F638" i="3" s="1"/>
  <c r="C637" i="3"/>
  <c r="F637" i="3" s="1"/>
  <c r="C636" i="3"/>
  <c r="F636" i="3" s="1"/>
  <c r="C635" i="3"/>
  <c r="F635" i="3" s="1"/>
  <c r="C634" i="3"/>
  <c r="F634" i="3" s="1"/>
  <c r="C633" i="3"/>
  <c r="F633" i="3" s="1"/>
  <c r="C632" i="3"/>
  <c r="F632" i="3" s="1"/>
  <c r="C631" i="3"/>
  <c r="F631" i="3" s="1"/>
  <c r="C630" i="3"/>
  <c r="F630" i="3" s="1"/>
  <c r="C629" i="3"/>
  <c r="F629" i="3" s="1"/>
  <c r="C628" i="3"/>
  <c r="F628" i="3" s="1"/>
  <c r="C627" i="3"/>
  <c r="F627" i="3" s="1"/>
  <c r="C626" i="3"/>
  <c r="F626" i="3" s="1"/>
  <c r="C625" i="3"/>
  <c r="F625" i="3" s="1"/>
  <c r="C624" i="3"/>
  <c r="F624" i="3" s="1"/>
  <c r="C623" i="3"/>
  <c r="F623" i="3" s="1"/>
  <c r="C622" i="3"/>
  <c r="F622" i="3" s="1"/>
  <c r="C621" i="3"/>
  <c r="F621" i="3" s="1"/>
  <c r="C620" i="3"/>
  <c r="F620" i="3" s="1"/>
  <c r="C619" i="3"/>
  <c r="F619" i="3" s="1"/>
  <c r="C618" i="3"/>
  <c r="F618" i="3" s="1"/>
  <c r="C617" i="3"/>
  <c r="F617" i="3" s="1"/>
  <c r="C616" i="3"/>
  <c r="F616" i="3" s="1"/>
  <c r="C615" i="3"/>
  <c r="F615" i="3" s="1"/>
  <c r="C614" i="3"/>
  <c r="F614" i="3" s="1"/>
  <c r="C613" i="3"/>
  <c r="F613" i="3" s="1"/>
  <c r="C612" i="3"/>
  <c r="F612" i="3" s="1"/>
  <c r="C611" i="3"/>
  <c r="F611" i="3" s="1"/>
  <c r="C610" i="3"/>
  <c r="F610" i="3" s="1"/>
  <c r="C609" i="3"/>
  <c r="F609" i="3" s="1"/>
  <c r="C608" i="3"/>
  <c r="F608" i="3" s="1"/>
  <c r="C607" i="3"/>
  <c r="F607" i="3" s="1"/>
  <c r="C606" i="3"/>
  <c r="F606" i="3" s="1"/>
  <c r="C605" i="3"/>
  <c r="F605" i="3" s="1"/>
  <c r="C604" i="3"/>
  <c r="F604" i="3" s="1"/>
  <c r="C603" i="3"/>
  <c r="F603" i="3" s="1"/>
  <c r="C602" i="3"/>
  <c r="F602" i="3" s="1"/>
  <c r="C601" i="3"/>
  <c r="F601" i="3" s="1"/>
  <c r="C600" i="3"/>
  <c r="F600" i="3" s="1"/>
  <c r="C599" i="3"/>
  <c r="F599" i="3" s="1"/>
  <c r="C598" i="3"/>
  <c r="F598" i="3" s="1"/>
  <c r="C597" i="3"/>
  <c r="F597" i="3" s="1"/>
  <c r="C596" i="3"/>
  <c r="F596" i="3" s="1"/>
  <c r="C595" i="3"/>
  <c r="F595" i="3" s="1"/>
  <c r="C594" i="3"/>
  <c r="F594" i="3" s="1"/>
  <c r="C593" i="3"/>
  <c r="F593" i="3" s="1"/>
  <c r="C592" i="3"/>
  <c r="F592" i="3" s="1"/>
  <c r="C591" i="3"/>
  <c r="F591" i="3" s="1"/>
  <c r="C590" i="3"/>
  <c r="F590" i="3" s="1"/>
  <c r="C589" i="3"/>
  <c r="F589" i="3" s="1"/>
  <c r="C588" i="3"/>
  <c r="F588" i="3" s="1"/>
  <c r="C587" i="3"/>
  <c r="F587" i="3" s="1"/>
  <c r="C586" i="3"/>
  <c r="F586" i="3" s="1"/>
  <c r="C585" i="3"/>
  <c r="F585" i="3" s="1"/>
  <c r="C584" i="3"/>
  <c r="F584" i="3" s="1"/>
  <c r="C583" i="3"/>
  <c r="F583" i="3" s="1"/>
  <c r="C582" i="3"/>
  <c r="F582" i="3" s="1"/>
  <c r="C581" i="3"/>
  <c r="F581" i="3" s="1"/>
  <c r="C580" i="3"/>
  <c r="F580" i="3" s="1"/>
  <c r="C579" i="3"/>
  <c r="F579" i="3" s="1"/>
  <c r="C578" i="3"/>
  <c r="F578" i="3" s="1"/>
  <c r="C577" i="3"/>
  <c r="F577" i="3" s="1"/>
  <c r="C576" i="3"/>
  <c r="F576" i="3" s="1"/>
  <c r="C575" i="3"/>
  <c r="F575" i="3" s="1"/>
  <c r="C574" i="3"/>
  <c r="F574" i="3" s="1"/>
  <c r="C573" i="3"/>
  <c r="F573" i="3" s="1"/>
  <c r="C572" i="3"/>
  <c r="F572" i="3" s="1"/>
  <c r="C571" i="3"/>
  <c r="F571" i="3" s="1"/>
  <c r="C570" i="3"/>
  <c r="F570" i="3" s="1"/>
  <c r="C569" i="3"/>
  <c r="F569" i="3" s="1"/>
  <c r="C568" i="3"/>
  <c r="F568" i="3" s="1"/>
  <c r="C567" i="3"/>
  <c r="F567" i="3" s="1"/>
  <c r="C566" i="3"/>
  <c r="F566" i="3" s="1"/>
  <c r="C565" i="3"/>
  <c r="F565" i="3" s="1"/>
  <c r="C564" i="3"/>
  <c r="F564" i="3" s="1"/>
  <c r="C563" i="3"/>
  <c r="F563" i="3" s="1"/>
  <c r="C562" i="3"/>
  <c r="F562" i="3" s="1"/>
  <c r="C561" i="3"/>
  <c r="F561" i="3" s="1"/>
  <c r="C560" i="3"/>
  <c r="F560" i="3" s="1"/>
  <c r="C559" i="3"/>
  <c r="F559" i="3" s="1"/>
  <c r="C558" i="3"/>
  <c r="F558" i="3" s="1"/>
  <c r="C557" i="3"/>
  <c r="F557" i="3" s="1"/>
  <c r="C556" i="3"/>
  <c r="F556" i="3" s="1"/>
  <c r="C555" i="3"/>
  <c r="F555" i="3" s="1"/>
  <c r="C554" i="3"/>
  <c r="F554" i="3" s="1"/>
  <c r="C553" i="3"/>
  <c r="F553" i="3" s="1"/>
  <c r="C552" i="3"/>
  <c r="F552" i="3" s="1"/>
  <c r="C551" i="3"/>
  <c r="F551" i="3" s="1"/>
  <c r="C550" i="3"/>
  <c r="F550" i="3" s="1"/>
  <c r="C549" i="3"/>
  <c r="F549" i="3" s="1"/>
  <c r="C548" i="3"/>
  <c r="F548" i="3" s="1"/>
  <c r="C547" i="3"/>
  <c r="F547" i="3" s="1"/>
  <c r="C546" i="3"/>
  <c r="F546" i="3" s="1"/>
  <c r="C545" i="3"/>
  <c r="F545" i="3" s="1"/>
  <c r="C544" i="3"/>
  <c r="F544" i="3" s="1"/>
  <c r="C543" i="3"/>
  <c r="F543" i="3" s="1"/>
  <c r="C542" i="3"/>
  <c r="F542" i="3" s="1"/>
  <c r="C541" i="3"/>
  <c r="F541" i="3" s="1"/>
  <c r="C540" i="3"/>
  <c r="F540" i="3" s="1"/>
  <c r="C539" i="3"/>
  <c r="F539" i="3" s="1"/>
  <c r="C538" i="3"/>
  <c r="F538" i="3" s="1"/>
  <c r="C537" i="3"/>
  <c r="F537" i="3" s="1"/>
  <c r="C536" i="3"/>
  <c r="F536" i="3" s="1"/>
  <c r="C535" i="3"/>
  <c r="F535" i="3" s="1"/>
  <c r="C534" i="3"/>
  <c r="F534" i="3" s="1"/>
  <c r="C533" i="3"/>
  <c r="F533" i="3" s="1"/>
  <c r="C532" i="3"/>
  <c r="F532" i="3" s="1"/>
  <c r="C531" i="3"/>
  <c r="F531" i="3" s="1"/>
  <c r="C530" i="3"/>
  <c r="F530" i="3" s="1"/>
  <c r="C529" i="3"/>
  <c r="F529" i="3" s="1"/>
  <c r="C528" i="3"/>
  <c r="F528" i="3" s="1"/>
  <c r="C527" i="3"/>
  <c r="F527" i="3" s="1"/>
  <c r="C526" i="3"/>
  <c r="F526" i="3" s="1"/>
  <c r="C525" i="3"/>
  <c r="F525" i="3" s="1"/>
  <c r="C524" i="3"/>
  <c r="F524" i="3" s="1"/>
  <c r="C523" i="3"/>
  <c r="F523" i="3" s="1"/>
  <c r="C522" i="3"/>
  <c r="F522" i="3" s="1"/>
  <c r="C521" i="3"/>
  <c r="F521" i="3" s="1"/>
  <c r="C520" i="3"/>
  <c r="F520" i="3" s="1"/>
  <c r="C519" i="3"/>
  <c r="F519" i="3" s="1"/>
  <c r="C518" i="3"/>
  <c r="F518" i="3" s="1"/>
  <c r="C517" i="3"/>
  <c r="F517" i="3" s="1"/>
  <c r="C516" i="3"/>
  <c r="F516" i="3" s="1"/>
  <c r="C515" i="3"/>
  <c r="F515" i="3" s="1"/>
  <c r="C514" i="3"/>
  <c r="F514" i="3" s="1"/>
  <c r="C513" i="3"/>
  <c r="F513" i="3" s="1"/>
  <c r="C512" i="3"/>
  <c r="F512" i="3" s="1"/>
  <c r="C511" i="3"/>
  <c r="F511" i="3" s="1"/>
  <c r="C510" i="3"/>
  <c r="F510" i="3" s="1"/>
  <c r="C509" i="3"/>
  <c r="F509" i="3" s="1"/>
  <c r="C508" i="3"/>
  <c r="F508" i="3" s="1"/>
  <c r="C507" i="3"/>
  <c r="F507" i="3" s="1"/>
  <c r="C506" i="3"/>
  <c r="F506" i="3" s="1"/>
  <c r="C505" i="3"/>
  <c r="F505" i="3" s="1"/>
  <c r="C504" i="3"/>
  <c r="F504" i="3" s="1"/>
  <c r="C503" i="3"/>
  <c r="F503" i="3" s="1"/>
  <c r="C502" i="3"/>
  <c r="F502" i="3" s="1"/>
  <c r="C501" i="3"/>
  <c r="F501" i="3" s="1"/>
  <c r="C500" i="3"/>
  <c r="F500" i="3" s="1"/>
  <c r="C499" i="3"/>
  <c r="F499" i="3" s="1"/>
  <c r="C498" i="3"/>
  <c r="F498" i="3" s="1"/>
  <c r="C497" i="3"/>
  <c r="F497" i="3" s="1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F447" i="3" s="1"/>
  <c r="C446" i="3"/>
  <c r="F446" i="3" s="1"/>
  <c r="C445" i="3"/>
  <c r="F445" i="3" s="1"/>
  <c r="C444" i="3"/>
  <c r="F444" i="3" s="1"/>
  <c r="C443" i="3"/>
  <c r="F443" i="3" s="1"/>
  <c r="C442" i="3"/>
  <c r="F442" i="3" s="1"/>
  <c r="C441" i="3"/>
  <c r="F441" i="3" s="1"/>
  <c r="C440" i="3"/>
  <c r="F440" i="3" s="1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F336" i="3" s="1"/>
  <c r="C335" i="3"/>
  <c r="F335" i="3" s="1"/>
  <c r="C334" i="3"/>
  <c r="F334" i="3" s="1"/>
  <c r="C333" i="3"/>
  <c r="F333" i="3" s="1"/>
  <c r="C332" i="3"/>
  <c r="F332" i="3" s="1"/>
  <c r="C331" i="3"/>
  <c r="F331" i="3" s="1"/>
  <c r="C330" i="3"/>
  <c r="F330" i="3" s="1"/>
  <c r="C329" i="3"/>
  <c r="F329" i="3" s="1"/>
  <c r="C328" i="3"/>
  <c r="F328" i="3" s="1"/>
  <c r="C327" i="3"/>
  <c r="F327" i="3" s="1"/>
  <c r="C326" i="3"/>
  <c r="F326" i="3" s="1"/>
  <c r="C325" i="3"/>
  <c r="F325" i="3" s="1"/>
  <c r="C324" i="3"/>
  <c r="F324" i="3" s="1"/>
  <c r="C323" i="3"/>
  <c r="F323" i="3" s="1"/>
  <c r="C322" i="3"/>
  <c r="F322" i="3" s="1"/>
  <c r="C321" i="3"/>
  <c r="F321" i="3" s="1"/>
  <c r="C320" i="3"/>
  <c r="F320" i="3" s="1"/>
  <c r="C319" i="3"/>
  <c r="F319" i="3" s="1"/>
  <c r="C318" i="3"/>
  <c r="F318" i="3" s="1"/>
  <c r="C317" i="3"/>
  <c r="F317" i="3" s="1"/>
  <c r="C316" i="3"/>
  <c r="F316" i="3" s="1"/>
  <c r="C315" i="3"/>
  <c r="F315" i="3" s="1"/>
  <c r="C314" i="3"/>
  <c r="F314" i="3" s="1"/>
  <c r="C313" i="3"/>
  <c r="F313" i="3" s="1"/>
  <c r="C312" i="3"/>
  <c r="F312" i="3" s="1"/>
  <c r="C311" i="3"/>
  <c r="F311" i="3" s="1"/>
  <c r="C310" i="3"/>
  <c r="F310" i="3" s="1"/>
  <c r="C309" i="3"/>
  <c r="F309" i="3" s="1"/>
  <c r="C308" i="3"/>
  <c r="F308" i="3" s="1"/>
  <c r="C307" i="3"/>
  <c r="F307" i="3" s="1"/>
  <c r="C306" i="3"/>
  <c r="F306" i="3" s="1"/>
  <c r="C305" i="3"/>
  <c r="F305" i="3" s="1"/>
  <c r="C304" i="3"/>
  <c r="F304" i="3" s="1"/>
  <c r="C303" i="3"/>
  <c r="F303" i="3" s="1"/>
  <c r="C302" i="3"/>
  <c r="F302" i="3" s="1"/>
  <c r="C301" i="3"/>
  <c r="F301" i="3" s="1"/>
  <c r="C300" i="3"/>
  <c r="F300" i="3" s="1"/>
  <c r="C299" i="3"/>
  <c r="F299" i="3" s="1"/>
  <c r="C298" i="3"/>
  <c r="F298" i="3" s="1"/>
  <c r="C297" i="3"/>
  <c r="F297" i="3" s="1"/>
  <c r="C296" i="3"/>
  <c r="F296" i="3" s="1"/>
  <c r="C295" i="3"/>
  <c r="F295" i="3" s="1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F106" i="3" s="1"/>
  <c r="C105" i="3"/>
  <c r="F105" i="3" s="1"/>
  <c r="C104" i="3"/>
  <c r="F104" i="3" s="1"/>
  <c r="C103" i="3"/>
  <c r="F103" i="3" s="1"/>
  <c r="C102" i="3"/>
  <c r="F102" i="3" s="1"/>
  <c r="C101" i="3"/>
  <c r="F101" i="3" s="1"/>
  <c r="C100" i="3"/>
  <c r="F100" i="3" s="1"/>
  <c r="C99" i="3"/>
  <c r="F99" i="3" s="1"/>
  <c r="C98" i="3"/>
  <c r="F98" i="3" s="1"/>
  <c r="C97" i="3"/>
  <c r="F97" i="3" s="1"/>
  <c r="C96" i="3"/>
  <c r="F96" i="3" s="1"/>
  <c r="C95" i="3"/>
  <c r="F95" i="3" s="1"/>
  <c r="C94" i="3"/>
  <c r="F94" i="3" s="1"/>
  <c r="C93" i="3"/>
  <c r="F93" i="3" s="1"/>
  <c r="C92" i="3"/>
  <c r="F92" i="3" s="1"/>
  <c r="C91" i="3"/>
  <c r="F91" i="3" s="1"/>
  <c r="C90" i="3"/>
  <c r="F90" i="3" s="1"/>
  <c r="C89" i="3"/>
  <c r="F89" i="3" s="1"/>
  <c r="C88" i="3"/>
  <c r="F88" i="3" s="1"/>
  <c r="C87" i="3"/>
  <c r="F87" i="3" s="1"/>
  <c r="C86" i="3"/>
  <c r="F86" i="3" s="1"/>
  <c r="C85" i="3"/>
  <c r="F85" i="3" s="1"/>
  <c r="C84" i="3"/>
  <c r="F84" i="3" s="1"/>
  <c r="C83" i="3"/>
  <c r="F83" i="3" s="1"/>
  <c r="C82" i="3"/>
  <c r="F82" i="3" s="1"/>
  <c r="C81" i="3"/>
  <c r="F81" i="3" s="1"/>
  <c r="C80" i="3"/>
  <c r="F80" i="3" s="1"/>
  <c r="C79" i="3"/>
  <c r="F79" i="3" s="1"/>
  <c r="C78" i="3"/>
  <c r="F78" i="3" s="1"/>
  <c r="C77" i="3"/>
  <c r="F77" i="3" s="1"/>
  <c r="C76" i="3"/>
  <c r="F76" i="3" s="1"/>
  <c r="C75" i="3"/>
  <c r="F75" i="3" s="1"/>
  <c r="C74" i="3"/>
  <c r="F74" i="3" s="1"/>
  <c r="C73" i="3"/>
  <c r="F73" i="3" s="1"/>
  <c r="C72" i="3"/>
  <c r="F72" i="3" s="1"/>
  <c r="C71" i="3"/>
  <c r="F71" i="3" s="1"/>
  <c r="C70" i="3"/>
  <c r="F70" i="3" s="1"/>
  <c r="C69" i="3"/>
  <c r="F69" i="3" s="1"/>
  <c r="C68" i="3"/>
  <c r="F68" i="3" s="1"/>
  <c r="C67" i="3"/>
  <c r="F67" i="3" s="1"/>
  <c r="C66" i="3"/>
  <c r="F66" i="3" s="1"/>
  <c r="C65" i="3"/>
  <c r="F65" i="3" s="1"/>
  <c r="C64" i="3"/>
  <c r="F64" i="3" s="1"/>
  <c r="C63" i="3"/>
  <c r="F63" i="3" s="1"/>
  <c r="C62" i="3"/>
  <c r="F62" i="3" s="1"/>
  <c r="C61" i="3"/>
  <c r="F61" i="3" s="1"/>
  <c r="C60" i="3"/>
  <c r="F60" i="3" s="1"/>
  <c r="C59" i="3"/>
  <c r="F59" i="3" s="1"/>
  <c r="C58" i="3"/>
  <c r="F58" i="3" s="1"/>
  <c r="C57" i="3"/>
  <c r="F57" i="3" s="1"/>
  <c r="C56" i="3"/>
  <c r="F56" i="3" s="1"/>
  <c r="C55" i="3"/>
  <c r="F55" i="3" s="1"/>
  <c r="C54" i="3"/>
  <c r="F54" i="3" s="1"/>
  <c r="C53" i="3"/>
  <c r="F53" i="3" s="1"/>
  <c r="C52" i="3"/>
  <c r="F52" i="3" s="1"/>
  <c r="C51" i="3"/>
  <c r="F51" i="3" s="1"/>
  <c r="C50" i="3"/>
  <c r="F50" i="3" s="1"/>
  <c r="C49" i="3"/>
  <c r="F49" i="3" s="1"/>
  <c r="C48" i="3"/>
  <c r="F48" i="3" s="1"/>
  <c r="C47" i="3"/>
  <c r="F47" i="3" s="1"/>
  <c r="C46" i="3"/>
  <c r="F46" i="3" s="1"/>
  <c r="C45" i="3"/>
  <c r="F45" i="3" s="1"/>
  <c r="C44" i="3"/>
  <c r="F44" i="3" s="1"/>
  <c r="C43" i="3"/>
  <c r="F43" i="3" s="1"/>
  <c r="C42" i="3"/>
  <c r="F42" i="3" s="1"/>
  <c r="C41" i="3"/>
  <c r="F41" i="3" s="1"/>
  <c r="C40" i="3"/>
  <c r="F40" i="3" s="1"/>
  <c r="C39" i="3"/>
  <c r="F39" i="3" s="1"/>
  <c r="C38" i="3"/>
  <c r="F38" i="3" s="1"/>
  <c r="C37" i="3"/>
  <c r="F37" i="3" s="1"/>
  <c r="C36" i="3"/>
  <c r="F36" i="3" s="1"/>
  <c r="C35" i="3"/>
  <c r="F35" i="3" s="1"/>
  <c r="C34" i="3"/>
  <c r="F34" i="3" s="1"/>
  <c r="C33" i="3"/>
  <c r="F33" i="3" s="1"/>
  <c r="C32" i="3"/>
  <c r="F32" i="3" s="1"/>
  <c r="C31" i="3"/>
  <c r="F31" i="3" s="1"/>
  <c r="C30" i="3"/>
  <c r="F30" i="3" s="1"/>
  <c r="C29" i="3"/>
  <c r="F29" i="3" s="1"/>
  <c r="C28" i="3"/>
  <c r="F28" i="3" s="1"/>
  <c r="C27" i="3"/>
  <c r="F27" i="3" s="1"/>
  <c r="C26" i="3"/>
  <c r="F26" i="3" s="1"/>
  <c r="C25" i="3"/>
  <c r="F25" i="3" s="1"/>
  <c r="C24" i="3"/>
  <c r="F24" i="3" s="1"/>
  <c r="C23" i="3"/>
  <c r="F23" i="3" s="1"/>
  <c r="C22" i="3"/>
  <c r="F22" i="3" s="1"/>
  <c r="C21" i="3"/>
  <c r="F21" i="3" s="1"/>
  <c r="C20" i="3"/>
  <c r="F20" i="3" s="1"/>
  <c r="C19" i="3"/>
  <c r="F19" i="3" s="1"/>
  <c r="C18" i="3"/>
  <c r="F18" i="3" s="1"/>
  <c r="C17" i="3"/>
  <c r="F17" i="3" s="1"/>
  <c r="C16" i="3"/>
  <c r="F16" i="3" s="1"/>
  <c r="C15" i="3"/>
  <c r="F15" i="3" s="1"/>
  <c r="C14" i="3"/>
  <c r="F14" i="3" s="1"/>
  <c r="C13" i="3"/>
  <c r="F13" i="3" s="1"/>
  <c r="C12" i="3"/>
  <c r="F12" i="3" s="1"/>
  <c r="C11" i="3"/>
  <c r="F11" i="3" s="1"/>
  <c r="C10" i="3"/>
  <c r="F10" i="3" s="1"/>
  <c r="C9" i="3"/>
  <c r="F9" i="3" s="1"/>
  <c r="C8" i="3"/>
  <c r="F8" i="3" s="1"/>
  <c r="C7" i="3"/>
  <c r="F7" i="3" s="1"/>
  <c r="C6" i="3"/>
  <c r="F6" i="3" s="1"/>
  <c r="C5" i="3"/>
  <c r="F5" i="3" s="1"/>
  <c r="C4" i="3"/>
  <c r="F4" i="3" s="1"/>
  <c r="C3" i="3"/>
  <c r="F3" i="3" s="1"/>
  <c r="C2" i="3"/>
  <c r="F2" i="3" s="1"/>
  <c r="C5" i="2"/>
  <c r="D5" i="2"/>
  <c r="E5" i="2"/>
  <c r="H5" i="2"/>
  <c r="I5" i="2"/>
  <c r="L5" i="2"/>
  <c r="N5" i="2"/>
  <c r="O5" i="2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 s="1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 s="1"/>
  <c r="O4" i="2" a="1"/>
  <c r="O4" i="2" s="1"/>
  <c r="P4" i="2" a="1"/>
  <c r="P4" i="2" s="1"/>
  <c r="Q4" i="2" a="1"/>
  <c r="Q4" i="2" s="1"/>
  <c r="R4" i="2" a="1"/>
  <c r="R4" i="2" s="1"/>
  <c r="B4" i="2" a="1"/>
  <c r="B4" i="2" s="1"/>
  <c r="C3" i="2"/>
  <c r="D3" i="2"/>
  <c r="E3" i="2"/>
  <c r="H3" i="2"/>
  <c r="I3" i="2"/>
  <c r="L3" i="2"/>
  <c r="N3" i="2"/>
  <c r="O3" i="2"/>
  <c r="C2" i="2"/>
  <c r="D2" i="2"/>
  <c r="E2" i="2"/>
  <c r="H2" i="2"/>
  <c r="I2" i="2"/>
  <c r="L2" i="2"/>
  <c r="N2" i="2"/>
  <c r="O2" i="2"/>
  <c r="R1" i="2"/>
  <c r="P1" i="2"/>
  <c r="Q1" i="2"/>
  <c r="C1" i="2"/>
  <c r="D1" i="2"/>
  <c r="E1" i="2"/>
  <c r="F1" i="2"/>
  <c r="G1" i="2"/>
  <c r="H1" i="2"/>
  <c r="I1" i="2"/>
  <c r="J1" i="2"/>
  <c r="K1" i="2"/>
  <c r="L1" i="2"/>
  <c r="M1" i="2"/>
  <c r="N1" i="2"/>
  <c r="O1" i="2"/>
  <c r="B1" i="2"/>
  <c r="F1372" i="3" l="1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B9" i="2" s="1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2111" i="3"/>
  <c r="F2112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B14" i="2"/>
  <c r="B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<sst xmlns="http://schemas.openxmlformats.org/spreadsheetml/2006/main" count="19057" uniqueCount="67">
  <si>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</si>
  <si>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</si>
  <si>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</si>
  <si>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</si>
  <si>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</si>
  <si>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</si>
  <si>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</si>
  <si>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</si>
  <si>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</si>
  <si>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</si>
  <si>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</si>
  <si>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</si>
  <si>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</si>
  <si>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</si>
  <si>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</si>
  <si>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</si>
  <si>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</si>
  <si>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</si>
  <si>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</si>
  <si>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</si>
  <si>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</si>
  <si>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</si>
  <si>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</si>
  <si>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</si>
  <si>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</si>
  <si>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</si>
  <si>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</si>
  <si>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</si>
  <si>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</si>
  <si>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</si>
  <si>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</si>
  <si>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</si>
  <si>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</si>
  <si>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</si>
  <si>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</si>
  <si>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</si>
  <si>
    <t>Field</t>
  </si>
  <si>
    <t>Range</t>
  </si>
  <si>
    <t>Mean</t>
  </si>
  <si>
    <t>Mode</t>
  </si>
  <si>
    <t>Sample Variance</t>
  </si>
  <si>
    <t>BMI</t>
  </si>
  <si>
    <t>Overweight_Level_I Max</t>
  </si>
  <si>
    <t>Overweight_Level_II Min</t>
  </si>
  <si>
    <t>Insufficient_Weight Max</t>
  </si>
  <si>
    <t>Short Stature</t>
  </si>
  <si>
    <t>Mexico_Standard</t>
  </si>
  <si>
    <t>Class_Compare_Normal</t>
  </si>
  <si>
    <t>Class_Compare_Overweight</t>
  </si>
  <si>
    <t>Insufficient_Weight Min</t>
  </si>
  <si>
    <t>Normal Min</t>
  </si>
  <si>
    <t>Normal Max</t>
  </si>
  <si>
    <t>Overweight_Level_I Min</t>
  </si>
  <si>
    <t>Overweight_Level_II Max</t>
  </si>
  <si>
    <t>Obesity_Type_I Min</t>
  </si>
  <si>
    <t>Obesity_Type_I Max</t>
  </si>
  <si>
    <t>Obesity_Type_II Min</t>
  </si>
  <si>
    <t>Obesity_Type_II Max</t>
  </si>
  <si>
    <t>Obesity_Type_III Min</t>
  </si>
  <si>
    <t>Obesity_Type_III Max</t>
  </si>
  <si>
    <t>Classification</t>
  </si>
  <si>
    <t>Range over all</t>
  </si>
  <si>
    <t>Range first 498</t>
  </si>
  <si>
    <t>Counts</t>
  </si>
  <si>
    <t>First 498</t>
  </si>
  <si>
    <t>Normal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</si>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</sst>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580E-35EC-3D4E-A141-08C3C21AC006}">
  <dimension ref="A1:Q2112"/>
  <sheetViews>
    <sheetView tabSelected="1" workbookViewId="0">
      <pane ySplit="1" topLeftCell="A481" activePane="bottomLeft" state="frozen"/>
      <selection activeCell="C1" sqref="C1"/>
      <selection pane="bottomLeft" activeCell="A2" sqref="A2"/>
    </sheetView>
  </sheetViews>
  <sheetFormatPr baseColWidth="10" defaultRowHeight="16" x14ac:dyDescent="0.2"/>
  <cols>
    <col min="16" max="16" width="19" bestFit="1" customWidth="1"/>
    <col min="17" max="17" width="1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</row>
    <row r="3" spans="1:17" x14ac:dyDescent="0.2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</row>
    <row r="4" spans="1:17" x14ac:dyDescent="0.2">
      <c r="A4" t="s">
        <v>23</v>
      </c>
      <c r="B4">
        <v>23</v>
      </c>
      <c r="C4">
        <v>1.8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</row>
    <row r="5" spans="1:17" x14ac:dyDescent="0.2">
      <c r="A5" t="s">
        <v>23</v>
      </c>
      <c r="B5">
        <v>27</v>
      </c>
      <c r="C5">
        <v>1.8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</row>
    <row r="6" spans="1:17" x14ac:dyDescent="0.2">
      <c r="A6" t="s">
        <v>23</v>
      </c>
      <c r="B6">
        <v>22</v>
      </c>
      <c r="C6">
        <v>1.78</v>
      </c>
      <c r="D6">
        <v>89.8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</row>
    <row r="7" spans="1:17" x14ac:dyDescent="0.2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</row>
    <row r="8" spans="1:17" x14ac:dyDescent="0.2">
      <c r="A8" t="s">
        <v>17</v>
      </c>
      <c r="B8">
        <v>23</v>
      </c>
      <c r="C8">
        <v>1.5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</row>
    <row r="9" spans="1:17" x14ac:dyDescent="0.2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</row>
    <row r="10" spans="1:17" x14ac:dyDescent="0.2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</row>
    <row r="11" spans="1:17" x14ac:dyDescent="0.2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</row>
    <row r="12" spans="1:17" x14ac:dyDescent="0.2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</row>
    <row r="13" spans="1:17" x14ac:dyDescent="0.2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</row>
    <row r="14" spans="1:17" x14ac:dyDescent="0.2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</row>
    <row r="15" spans="1:17" x14ac:dyDescent="0.2">
      <c r="A15" t="s">
        <v>23</v>
      </c>
      <c r="B15">
        <v>41</v>
      </c>
      <c r="C15">
        <v>1.8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</row>
    <row r="16" spans="1:17" x14ac:dyDescent="0.2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</row>
    <row r="17" spans="1:17" x14ac:dyDescent="0.2">
      <c r="A17" t="s">
        <v>17</v>
      </c>
      <c r="B17">
        <v>22</v>
      </c>
      <c r="C17">
        <v>1.7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</row>
    <row r="18" spans="1:17" x14ac:dyDescent="0.2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</row>
    <row r="19" spans="1:17" x14ac:dyDescent="0.2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</row>
    <row r="20" spans="1:17" x14ac:dyDescent="0.2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</row>
    <row r="21" spans="1:17" x14ac:dyDescent="0.2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</row>
    <row r="22" spans="1:17" x14ac:dyDescent="0.2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</row>
    <row r="23" spans="1:17" x14ac:dyDescent="0.2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</row>
    <row r="24" spans="1:17" x14ac:dyDescent="0.2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</row>
    <row r="25" spans="1:17" x14ac:dyDescent="0.2">
      <c r="A25" t="s">
        <v>17</v>
      </c>
      <c r="B25">
        <v>22</v>
      </c>
      <c r="C25">
        <v>1.6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</row>
    <row r="26" spans="1:17" x14ac:dyDescent="0.2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</row>
    <row r="27" spans="1:17" x14ac:dyDescent="0.2">
      <c r="A27" t="s">
        <v>23</v>
      </c>
      <c r="B27">
        <v>20</v>
      </c>
      <c r="C27">
        <v>1.6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</row>
    <row r="28" spans="1:17" x14ac:dyDescent="0.2">
      <c r="A28" t="s">
        <v>23</v>
      </c>
      <c r="B28">
        <v>21</v>
      </c>
      <c r="C28">
        <v>1.7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</row>
    <row r="29" spans="1:17" x14ac:dyDescent="0.2">
      <c r="A29" t="s">
        <v>17</v>
      </c>
      <c r="B29">
        <v>23</v>
      </c>
      <c r="C29">
        <v>1.6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</row>
    <row r="30" spans="1:17" x14ac:dyDescent="0.2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</row>
    <row r="31" spans="1:17" x14ac:dyDescent="0.2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</row>
    <row r="32" spans="1:17" x14ac:dyDescent="0.2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</row>
    <row r="33" spans="1:17" x14ac:dyDescent="0.2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</row>
    <row r="34" spans="1:17" x14ac:dyDescent="0.2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</row>
    <row r="35" spans="1:17" x14ac:dyDescent="0.2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</row>
    <row r="36" spans="1:17" x14ac:dyDescent="0.2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</row>
    <row r="37" spans="1:17" x14ac:dyDescent="0.2">
      <c r="A37" t="s">
        <v>17</v>
      </c>
      <c r="B37">
        <v>21</v>
      </c>
      <c r="C37">
        <v>1.5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</row>
    <row r="38" spans="1:17" x14ac:dyDescent="0.2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</row>
    <row r="39" spans="1:17" x14ac:dyDescent="0.2">
      <c r="A39" t="s">
        <v>17</v>
      </c>
      <c r="B39">
        <v>21</v>
      </c>
      <c r="C39">
        <v>1.6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</row>
    <row r="40" spans="1:17" x14ac:dyDescent="0.2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</row>
    <row r="41" spans="1:17" x14ac:dyDescent="0.2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</row>
    <row r="42" spans="1:17" x14ac:dyDescent="0.2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</row>
    <row r="43" spans="1:17" x14ac:dyDescent="0.2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</row>
    <row r="44" spans="1:17" x14ac:dyDescent="0.2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</row>
    <row r="45" spans="1:17" x14ac:dyDescent="0.2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</row>
    <row r="46" spans="1:17" x14ac:dyDescent="0.2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</row>
    <row r="47" spans="1:17" x14ac:dyDescent="0.2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</row>
    <row r="48" spans="1:17" x14ac:dyDescent="0.2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</row>
    <row r="49" spans="1:17" x14ac:dyDescent="0.2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</row>
    <row r="50" spans="1:17" x14ac:dyDescent="0.2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</row>
    <row r="51" spans="1:17" x14ac:dyDescent="0.2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</row>
    <row r="52" spans="1:17" x14ac:dyDescent="0.2">
      <c r="A52" t="s">
        <v>17</v>
      </c>
      <c r="B52">
        <v>21</v>
      </c>
      <c r="C52">
        <v>1.61</v>
      </c>
      <c r="D52">
        <v>54.5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</row>
    <row r="53" spans="1:17" x14ac:dyDescent="0.2">
      <c r="A53" t="s">
        <v>17</v>
      </c>
      <c r="B53">
        <v>20</v>
      </c>
      <c r="C53">
        <v>1.5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</row>
    <row r="54" spans="1:17" x14ac:dyDescent="0.2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</row>
    <row r="55" spans="1:17" x14ac:dyDescent="0.2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</row>
    <row r="56" spans="1:17" x14ac:dyDescent="0.2">
      <c r="A56" t="s">
        <v>17</v>
      </c>
      <c r="B56">
        <v>22</v>
      </c>
      <c r="C56">
        <v>1.6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</row>
    <row r="57" spans="1:17" x14ac:dyDescent="0.2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</row>
    <row r="58" spans="1:17" x14ac:dyDescent="0.2">
      <c r="A58" t="s">
        <v>23</v>
      </c>
      <c r="B58">
        <v>22</v>
      </c>
      <c r="C58">
        <v>1.7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</row>
    <row r="59" spans="1:17" x14ac:dyDescent="0.2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</row>
    <row r="60" spans="1:17" x14ac:dyDescent="0.2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</row>
    <row r="61" spans="1:17" x14ac:dyDescent="0.2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</row>
    <row r="62" spans="1:17" x14ac:dyDescent="0.2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</row>
    <row r="63" spans="1:17" x14ac:dyDescent="0.2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</row>
    <row r="64" spans="1:17" x14ac:dyDescent="0.2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</row>
    <row r="65" spans="1:17" x14ac:dyDescent="0.2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</row>
    <row r="66" spans="1:17" x14ac:dyDescent="0.2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</row>
    <row r="67" spans="1:17" x14ac:dyDescent="0.2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</row>
    <row r="68" spans="1:17" x14ac:dyDescent="0.2">
      <c r="A68" t="s">
        <v>23</v>
      </c>
      <c r="B68">
        <v>23</v>
      </c>
      <c r="C68">
        <v>1.8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</row>
    <row r="69" spans="1:17" x14ac:dyDescent="0.2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</row>
    <row r="70" spans="1:17" x14ac:dyDescent="0.2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</row>
    <row r="71" spans="1:17" x14ac:dyDescent="0.2">
      <c r="A71" t="s">
        <v>23</v>
      </c>
      <c r="B71">
        <v>23</v>
      </c>
      <c r="C71">
        <v>1.8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</row>
    <row r="72" spans="1:17" x14ac:dyDescent="0.2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</row>
    <row r="73" spans="1:17" x14ac:dyDescent="0.2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</row>
    <row r="74" spans="1:17" x14ac:dyDescent="0.2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</row>
    <row r="75" spans="1:17" x14ac:dyDescent="0.2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</row>
    <row r="76" spans="1:17" x14ac:dyDescent="0.2">
      <c r="A76" t="s">
        <v>23</v>
      </c>
      <c r="B76">
        <v>24</v>
      </c>
      <c r="C76">
        <v>1.7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</row>
    <row r="77" spans="1:17" x14ac:dyDescent="0.2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</row>
    <row r="78" spans="1:17" x14ac:dyDescent="0.2">
      <c r="A78" t="s">
        <v>17</v>
      </c>
      <c r="B78">
        <v>24</v>
      </c>
      <c r="C78">
        <v>1.6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</row>
    <row r="79" spans="1:17" x14ac:dyDescent="0.2">
      <c r="A79" t="s">
        <v>17</v>
      </c>
      <c r="B79">
        <v>24</v>
      </c>
      <c r="C79">
        <v>1.7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</row>
    <row r="80" spans="1:17" x14ac:dyDescent="0.2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</row>
    <row r="81" spans="1:17" x14ac:dyDescent="0.2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</row>
    <row r="82" spans="1:17" x14ac:dyDescent="0.2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</row>
    <row r="83" spans="1:17" x14ac:dyDescent="0.2">
      <c r="A83" t="s">
        <v>23</v>
      </c>
      <c r="B83">
        <v>30</v>
      </c>
      <c r="C83">
        <v>1.8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</row>
    <row r="84" spans="1:17" x14ac:dyDescent="0.2">
      <c r="A84" t="s">
        <v>23</v>
      </c>
      <c r="B84">
        <v>23</v>
      </c>
      <c r="C84">
        <v>1.67</v>
      </c>
      <c r="D84">
        <v>85.5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</row>
    <row r="85" spans="1:17" x14ac:dyDescent="0.2">
      <c r="A85" t="s">
        <v>17</v>
      </c>
      <c r="B85">
        <v>19</v>
      </c>
      <c r="C85">
        <v>1.6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</row>
    <row r="86" spans="1:17" x14ac:dyDescent="0.2">
      <c r="A86" t="s">
        <v>23</v>
      </c>
      <c r="B86">
        <v>25</v>
      </c>
      <c r="C86">
        <v>1.7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</row>
    <row r="87" spans="1:17" x14ac:dyDescent="0.2">
      <c r="A87" t="s">
        <v>23</v>
      </c>
      <c r="B87">
        <v>23</v>
      </c>
      <c r="C87">
        <v>1.65</v>
      </c>
      <c r="D87">
        <v>58.5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</row>
    <row r="88" spans="1:17" x14ac:dyDescent="0.2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</row>
    <row r="89" spans="1:17" x14ac:dyDescent="0.2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</row>
    <row r="90" spans="1:17" x14ac:dyDescent="0.2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</row>
    <row r="91" spans="1:17" x14ac:dyDescent="0.2">
      <c r="A91" t="s">
        <v>17</v>
      </c>
      <c r="B91">
        <v>29</v>
      </c>
      <c r="C91">
        <v>1.7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</row>
    <row r="92" spans="1:17" x14ac:dyDescent="0.2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</row>
    <row r="93" spans="1:17" x14ac:dyDescent="0.2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</row>
    <row r="94" spans="1:17" x14ac:dyDescent="0.2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</row>
    <row r="95" spans="1:17" x14ac:dyDescent="0.2">
      <c r="A95" t="s">
        <v>17</v>
      </c>
      <c r="B95">
        <v>20</v>
      </c>
      <c r="C95">
        <v>1.6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</row>
    <row r="96" spans="1:17" x14ac:dyDescent="0.2">
      <c r="A96" t="s">
        <v>17</v>
      </c>
      <c r="B96">
        <v>24</v>
      </c>
      <c r="C96">
        <v>1.6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</row>
    <row r="97" spans="1:17" x14ac:dyDescent="0.2">
      <c r="A97" t="s">
        <v>23</v>
      </c>
      <c r="B97">
        <v>26</v>
      </c>
      <c r="C97">
        <v>1.7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</row>
    <row r="98" spans="1:17" x14ac:dyDescent="0.2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</row>
    <row r="99" spans="1:17" x14ac:dyDescent="0.2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</row>
    <row r="100" spans="1:17" x14ac:dyDescent="0.2">
      <c r="A100" t="s">
        <v>17</v>
      </c>
      <c r="B100">
        <v>21</v>
      </c>
      <c r="C100">
        <v>1.52</v>
      </c>
      <c r="D100">
        <v>42</v>
      </c>
      <c r="E100" t="s">
        <v>19</v>
      </c>
      <c r="F100" t="s">
        <v>19</v>
      </c>
      <c r="G100">
        <v>3</v>
      </c>
      <c r="H100">
        <v>1</v>
      </c>
      <c r="I100" t="s">
        <v>24</v>
      </c>
      <c r="J100" t="s">
        <v>19</v>
      </c>
      <c r="K100">
        <v>1</v>
      </c>
      <c r="L100" t="s">
        <v>19</v>
      </c>
      <c r="M100">
        <v>0</v>
      </c>
      <c r="N100">
        <v>0</v>
      </c>
      <c r="O100" t="s">
        <v>20</v>
      </c>
      <c r="P100" t="s">
        <v>21</v>
      </c>
      <c r="Q100" t="s">
        <v>32</v>
      </c>
    </row>
    <row r="101" spans="1:17" x14ac:dyDescent="0.2">
      <c r="A101" t="s">
        <v>23</v>
      </c>
      <c r="B101">
        <v>23</v>
      </c>
      <c r="C101">
        <v>1.72</v>
      </c>
      <c r="D101">
        <v>70</v>
      </c>
      <c r="E101" t="s">
        <v>19</v>
      </c>
      <c r="F101" t="s">
        <v>19</v>
      </c>
      <c r="G101">
        <v>2</v>
      </c>
      <c r="H101">
        <v>3</v>
      </c>
      <c r="I101" t="s">
        <v>20</v>
      </c>
      <c r="J101" t="s">
        <v>19</v>
      </c>
      <c r="K101">
        <v>2</v>
      </c>
      <c r="L101" t="s">
        <v>19</v>
      </c>
      <c r="M101">
        <v>3</v>
      </c>
      <c r="N101">
        <v>1</v>
      </c>
      <c r="O101" t="s">
        <v>24</v>
      </c>
      <c r="P101" t="s">
        <v>21</v>
      </c>
      <c r="Q101" t="s">
        <v>22</v>
      </c>
    </row>
    <row r="102" spans="1:17" x14ac:dyDescent="0.2">
      <c r="A102" t="s">
        <v>17</v>
      </c>
      <c r="B102">
        <v>21</v>
      </c>
      <c r="C102">
        <v>1.69</v>
      </c>
      <c r="D102">
        <v>63</v>
      </c>
      <c r="E102" t="s">
        <v>19</v>
      </c>
      <c r="F102" t="s">
        <v>18</v>
      </c>
      <c r="G102">
        <v>3</v>
      </c>
      <c r="H102">
        <v>1</v>
      </c>
      <c r="I102" t="s">
        <v>20</v>
      </c>
      <c r="J102" t="s">
        <v>19</v>
      </c>
      <c r="K102">
        <v>1</v>
      </c>
      <c r="L102" t="s">
        <v>19</v>
      </c>
      <c r="M102">
        <v>0</v>
      </c>
      <c r="N102">
        <v>0</v>
      </c>
      <c r="O102" t="s">
        <v>20</v>
      </c>
      <c r="P102" t="s">
        <v>21</v>
      </c>
      <c r="Q102" t="s">
        <v>22</v>
      </c>
    </row>
    <row r="103" spans="1:17" x14ac:dyDescent="0.2">
      <c r="A103" t="s">
        <v>23</v>
      </c>
      <c r="B103">
        <v>22</v>
      </c>
      <c r="C103">
        <v>1.7</v>
      </c>
      <c r="D103">
        <v>66.400000000000006</v>
      </c>
      <c r="E103" t="s">
        <v>18</v>
      </c>
      <c r="F103" t="s">
        <v>19</v>
      </c>
      <c r="G103">
        <v>2</v>
      </c>
      <c r="H103">
        <v>3</v>
      </c>
      <c r="I103" t="s">
        <v>24</v>
      </c>
      <c r="J103" t="s">
        <v>19</v>
      </c>
      <c r="K103">
        <v>2</v>
      </c>
      <c r="L103" t="s">
        <v>19</v>
      </c>
      <c r="M103">
        <v>0</v>
      </c>
      <c r="N103">
        <v>0</v>
      </c>
      <c r="O103" t="s">
        <v>19</v>
      </c>
      <c r="P103" t="s">
        <v>21</v>
      </c>
      <c r="Q103" t="s">
        <v>22</v>
      </c>
    </row>
    <row r="104" spans="1:17" x14ac:dyDescent="0.2">
      <c r="A104" t="s">
        <v>17</v>
      </c>
      <c r="B104">
        <v>21</v>
      </c>
      <c r="C104">
        <v>1.55</v>
      </c>
      <c r="D104">
        <v>57</v>
      </c>
      <c r="E104" t="s">
        <v>19</v>
      </c>
      <c r="F104" t="s">
        <v>18</v>
      </c>
      <c r="G104">
        <v>2</v>
      </c>
      <c r="H104">
        <v>4</v>
      </c>
      <c r="I104" t="s">
        <v>24</v>
      </c>
      <c r="J104" t="s">
        <v>19</v>
      </c>
      <c r="K104">
        <v>2</v>
      </c>
      <c r="L104" t="s">
        <v>18</v>
      </c>
      <c r="M104">
        <v>2</v>
      </c>
      <c r="N104">
        <v>0</v>
      </c>
      <c r="O104" t="s">
        <v>20</v>
      </c>
      <c r="P104" t="s">
        <v>28</v>
      </c>
      <c r="Q104" t="s">
        <v>22</v>
      </c>
    </row>
    <row r="105" spans="1:17" x14ac:dyDescent="0.2">
      <c r="A105" t="s">
        <v>17</v>
      </c>
      <c r="B105">
        <v>22</v>
      </c>
      <c r="C105">
        <v>1.65</v>
      </c>
      <c r="D105">
        <v>58</v>
      </c>
      <c r="E105" t="s">
        <v>18</v>
      </c>
      <c r="F105" t="s">
        <v>18</v>
      </c>
      <c r="G105">
        <v>3</v>
      </c>
      <c r="H105">
        <v>4</v>
      </c>
      <c r="I105" t="s">
        <v>24</v>
      </c>
      <c r="J105" t="s">
        <v>19</v>
      </c>
      <c r="K105">
        <v>2</v>
      </c>
      <c r="L105" t="s">
        <v>19</v>
      </c>
      <c r="M105">
        <v>1</v>
      </c>
      <c r="N105">
        <v>0</v>
      </c>
      <c r="O105" t="s">
        <v>20</v>
      </c>
      <c r="P105" t="s">
        <v>21</v>
      </c>
      <c r="Q105" t="s">
        <v>22</v>
      </c>
    </row>
    <row r="106" spans="1:17" x14ac:dyDescent="0.2">
      <c r="A106" t="s">
        <v>17</v>
      </c>
      <c r="B106">
        <v>38</v>
      </c>
      <c r="C106">
        <v>1.56</v>
      </c>
      <c r="D106">
        <v>80</v>
      </c>
      <c r="E106" t="s">
        <v>18</v>
      </c>
      <c r="F106" t="s">
        <v>18</v>
      </c>
      <c r="G106">
        <v>2</v>
      </c>
      <c r="H106">
        <v>3</v>
      </c>
      <c r="I106" t="s">
        <v>20</v>
      </c>
      <c r="J106" t="s">
        <v>19</v>
      </c>
      <c r="K106">
        <v>2</v>
      </c>
      <c r="L106" t="s">
        <v>19</v>
      </c>
      <c r="M106">
        <v>0</v>
      </c>
      <c r="N106">
        <v>0</v>
      </c>
      <c r="O106" t="s">
        <v>20</v>
      </c>
      <c r="P106" t="s">
        <v>28</v>
      </c>
      <c r="Q106" t="s">
        <v>30</v>
      </c>
    </row>
    <row r="107" spans="1:17" x14ac:dyDescent="0.2">
      <c r="A107" t="s">
        <v>17</v>
      </c>
      <c r="B107">
        <v>25</v>
      </c>
      <c r="C107">
        <v>1.57</v>
      </c>
      <c r="D107">
        <v>55</v>
      </c>
      <c r="E107" t="s">
        <v>19</v>
      </c>
      <c r="F107" t="s">
        <v>18</v>
      </c>
      <c r="G107">
        <v>2</v>
      </c>
      <c r="H107">
        <v>1</v>
      </c>
      <c r="I107" t="s">
        <v>20</v>
      </c>
      <c r="J107" t="s">
        <v>19</v>
      </c>
      <c r="K107">
        <v>2</v>
      </c>
      <c r="L107" t="s">
        <v>19</v>
      </c>
      <c r="M107">
        <v>2</v>
      </c>
      <c r="N107">
        <v>0</v>
      </c>
      <c r="O107" t="s">
        <v>20</v>
      </c>
      <c r="P107" t="s">
        <v>21</v>
      </c>
      <c r="Q107" t="s">
        <v>22</v>
      </c>
    </row>
    <row r="108" spans="1:17" x14ac:dyDescent="0.2">
      <c r="A108" t="s">
        <v>17</v>
      </c>
      <c r="B108">
        <v>25</v>
      </c>
      <c r="C108">
        <v>1.57</v>
      </c>
      <c r="D108">
        <v>55</v>
      </c>
      <c r="E108" t="s">
        <v>19</v>
      </c>
      <c r="F108" t="s">
        <v>18</v>
      </c>
      <c r="G108">
        <v>2</v>
      </c>
      <c r="H108">
        <v>1</v>
      </c>
      <c r="I108" t="s">
        <v>20</v>
      </c>
      <c r="J108" t="s">
        <v>19</v>
      </c>
      <c r="K108">
        <v>2</v>
      </c>
      <c r="L108" t="s">
        <v>19</v>
      </c>
      <c r="M108">
        <v>2</v>
      </c>
      <c r="N108">
        <v>0</v>
      </c>
      <c r="O108" t="s">
        <v>20</v>
      </c>
      <c r="P108" t="s">
        <v>21</v>
      </c>
      <c r="Q108" t="s">
        <v>22</v>
      </c>
    </row>
    <row r="109" spans="1:17" x14ac:dyDescent="0.2">
      <c r="A109" t="s">
        <v>23</v>
      </c>
      <c r="B109">
        <v>22</v>
      </c>
      <c r="C109">
        <v>1.88</v>
      </c>
      <c r="D109">
        <v>90</v>
      </c>
      <c r="E109" t="s">
        <v>18</v>
      </c>
      <c r="F109" t="s">
        <v>18</v>
      </c>
      <c r="G109">
        <v>2</v>
      </c>
      <c r="H109">
        <v>3</v>
      </c>
      <c r="I109" t="s">
        <v>31</v>
      </c>
      <c r="J109" t="s">
        <v>19</v>
      </c>
      <c r="K109">
        <v>1</v>
      </c>
      <c r="L109" t="s">
        <v>19</v>
      </c>
      <c r="M109">
        <v>0</v>
      </c>
      <c r="N109">
        <v>1</v>
      </c>
      <c r="O109" t="s">
        <v>20</v>
      </c>
      <c r="P109" t="s">
        <v>28</v>
      </c>
      <c r="Q109" t="s">
        <v>26</v>
      </c>
    </row>
    <row r="110" spans="1:17" x14ac:dyDescent="0.2">
      <c r="A110" t="s">
        <v>23</v>
      </c>
      <c r="B110">
        <v>22</v>
      </c>
      <c r="C110">
        <v>1.75</v>
      </c>
      <c r="D110">
        <v>95</v>
      </c>
      <c r="E110" t="s">
        <v>18</v>
      </c>
      <c r="F110" t="s">
        <v>19</v>
      </c>
      <c r="G110">
        <v>2</v>
      </c>
      <c r="H110">
        <v>3</v>
      </c>
      <c r="I110" t="s">
        <v>20</v>
      </c>
      <c r="J110" t="s">
        <v>19</v>
      </c>
      <c r="K110">
        <v>3</v>
      </c>
      <c r="L110" t="s">
        <v>19</v>
      </c>
      <c r="M110">
        <v>3</v>
      </c>
      <c r="N110">
        <v>2</v>
      </c>
      <c r="O110" t="s">
        <v>19</v>
      </c>
      <c r="P110" t="s">
        <v>25</v>
      </c>
      <c r="Q110" t="s">
        <v>30</v>
      </c>
    </row>
    <row r="111" spans="1:17" x14ac:dyDescent="0.2">
      <c r="A111" t="s">
        <v>17</v>
      </c>
      <c r="B111">
        <v>21</v>
      </c>
      <c r="C111">
        <v>1.65</v>
      </c>
      <c r="D111">
        <v>88</v>
      </c>
      <c r="E111" t="s">
        <v>18</v>
      </c>
      <c r="F111" t="s">
        <v>18</v>
      </c>
      <c r="G111">
        <v>3</v>
      </c>
      <c r="H111">
        <v>1</v>
      </c>
      <c r="I111" t="s">
        <v>20</v>
      </c>
      <c r="J111" t="s">
        <v>19</v>
      </c>
      <c r="K111">
        <v>3</v>
      </c>
      <c r="L111" t="s">
        <v>19</v>
      </c>
      <c r="M111">
        <v>2</v>
      </c>
      <c r="N111">
        <v>1</v>
      </c>
      <c r="O111" t="s">
        <v>19</v>
      </c>
      <c r="P111" t="s">
        <v>21</v>
      </c>
      <c r="Q111" t="s">
        <v>30</v>
      </c>
    </row>
    <row r="112" spans="1:17" x14ac:dyDescent="0.2">
      <c r="A112" t="s">
        <v>23</v>
      </c>
      <c r="B112">
        <v>21</v>
      </c>
      <c r="C112">
        <v>1.75</v>
      </c>
      <c r="D112">
        <v>75</v>
      </c>
      <c r="E112" t="s">
        <v>18</v>
      </c>
      <c r="F112" t="s">
        <v>18</v>
      </c>
      <c r="G112">
        <v>3</v>
      </c>
      <c r="H112">
        <v>3</v>
      </c>
      <c r="I112" t="s">
        <v>20</v>
      </c>
      <c r="J112" t="s">
        <v>19</v>
      </c>
      <c r="K112">
        <v>2</v>
      </c>
      <c r="L112" t="s">
        <v>19</v>
      </c>
      <c r="M112">
        <v>0</v>
      </c>
      <c r="N112">
        <v>1</v>
      </c>
      <c r="O112" t="s">
        <v>20</v>
      </c>
      <c r="P112" t="s">
        <v>21</v>
      </c>
      <c r="Q112" t="s">
        <v>22</v>
      </c>
    </row>
    <row r="113" spans="1:17" x14ac:dyDescent="0.2">
      <c r="A113" t="s">
        <v>17</v>
      </c>
      <c r="B113">
        <v>22</v>
      </c>
      <c r="C113">
        <v>1.58</v>
      </c>
      <c r="D113">
        <v>58</v>
      </c>
      <c r="E113" t="s">
        <v>18</v>
      </c>
      <c r="F113" t="s">
        <v>18</v>
      </c>
      <c r="G113">
        <v>2</v>
      </c>
      <c r="H113">
        <v>1</v>
      </c>
      <c r="I113" t="s">
        <v>20</v>
      </c>
      <c r="J113" t="s">
        <v>19</v>
      </c>
      <c r="K113">
        <v>1</v>
      </c>
      <c r="L113" t="s">
        <v>19</v>
      </c>
      <c r="M113">
        <v>0</v>
      </c>
      <c r="N113">
        <v>0</v>
      </c>
      <c r="O113" t="s">
        <v>19</v>
      </c>
      <c r="P113" t="s">
        <v>21</v>
      </c>
      <c r="Q113" t="s">
        <v>22</v>
      </c>
    </row>
    <row r="114" spans="1:17" x14ac:dyDescent="0.2">
      <c r="A114" t="s">
        <v>17</v>
      </c>
      <c r="B114">
        <v>18</v>
      </c>
      <c r="C114">
        <v>1.56</v>
      </c>
      <c r="D114">
        <v>51</v>
      </c>
      <c r="E114" t="s">
        <v>18</v>
      </c>
      <c r="F114" t="s">
        <v>18</v>
      </c>
      <c r="G114">
        <v>2</v>
      </c>
      <c r="H114">
        <v>4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20</v>
      </c>
      <c r="P114" t="s">
        <v>21</v>
      </c>
      <c r="Q114" t="s">
        <v>22</v>
      </c>
    </row>
    <row r="115" spans="1:17" x14ac:dyDescent="0.2">
      <c r="A115" t="s">
        <v>17</v>
      </c>
      <c r="B115">
        <v>22</v>
      </c>
      <c r="C115">
        <v>1.5</v>
      </c>
      <c r="D115">
        <v>49</v>
      </c>
      <c r="E115" t="s">
        <v>18</v>
      </c>
      <c r="F115" t="s">
        <v>19</v>
      </c>
      <c r="G115">
        <v>2</v>
      </c>
      <c r="H115">
        <v>1</v>
      </c>
      <c r="I115" t="s">
        <v>20</v>
      </c>
      <c r="J115" t="s">
        <v>19</v>
      </c>
      <c r="K115">
        <v>2</v>
      </c>
      <c r="L115" t="s">
        <v>19</v>
      </c>
      <c r="M115">
        <v>3</v>
      </c>
      <c r="N115">
        <v>0</v>
      </c>
      <c r="O115" t="s">
        <v>19</v>
      </c>
      <c r="P115" t="s">
        <v>25</v>
      </c>
      <c r="Q115" t="s">
        <v>22</v>
      </c>
    </row>
    <row r="116" spans="1:17" x14ac:dyDescent="0.2">
      <c r="A116" t="s">
        <v>17</v>
      </c>
      <c r="B116">
        <v>19</v>
      </c>
      <c r="C116">
        <v>1.61</v>
      </c>
      <c r="D116">
        <v>62</v>
      </c>
      <c r="E116" t="s">
        <v>18</v>
      </c>
      <c r="F116" t="s">
        <v>18</v>
      </c>
      <c r="G116">
        <v>3</v>
      </c>
      <c r="H116">
        <v>1</v>
      </c>
      <c r="I116" t="s">
        <v>24</v>
      </c>
      <c r="J116" t="s">
        <v>19</v>
      </c>
      <c r="K116">
        <v>2</v>
      </c>
      <c r="L116" t="s">
        <v>19</v>
      </c>
      <c r="M116">
        <v>1</v>
      </c>
      <c r="N116">
        <v>0</v>
      </c>
      <c r="O116" t="s">
        <v>24</v>
      </c>
      <c r="P116" t="s">
        <v>21</v>
      </c>
      <c r="Q116" t="s">
        <v>22</v>
      </c>
    </row>
    <row r="117" spans="1:17" x14ac:dyDescent="0.2">
      <c r="A117" t="s">
        <v>17</v>
      </c>
      <c r="B117">
        <v>17</v>
      </c>
      <c r="C117">
        <v>1.75</v>
      </c>
      <c r="D117">
        <v>57</v>
      </c>
      <c r="E117" t="s">
        <v>18</v>
      </c>
      <c r="F117" t="s">
        <v>18</v>
      </c>
      <c r="G117">
        <v>3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0</v>
      </c>
      <c r="N117">
        <v>1</v>
      </c>
      <c r="O117" t="s">
        <v>19</v>
      </c>
      <c r="P117" t="s">
        <v>21</v>
      </c>
      <c r="Q117" t="s">
        <v>22</v>
      </c>
    </row>
    <row r="118" spans="1:17" x14ac:dyDescent="0.2">
      <c r="A118" t="s">
        <v>17</v>
      </c>
      <c r="B118">
        <v>15</v>
      </c>
      <c r="C118">
        <v>1.65</v>
      </c>
      <c r="D118">
        <v>86</v>
      </c>
      <c r="E118" t="s">
        <v>18</v>
      </c>
      <c r="F118" t="s">
        <v>18</v>
      </c>
      <c r="G118">
        <v>3</v>
      </c>
      <c r="H118">
        <v>3</v>
      </c>
      <c r="I118" t="s">
        <v>20</v>
      </c>
      <c r="J118" t="s">
        <v>19</v>
      </c>
      <c r="K118">
        <v>1</v>
      </c>
      <c r="L118" t="s">
        <v>19</v>
      </c>
      <c r="M118">
        <v>3</v>
      </c>
      <c r="N118">
        <v>2</v>
      </c>
      <c r="O118" t="s">
        <v>19</v>
      </c>
      <c r="P118" t="s">
        <v>25</v>
      </c>
      <c r="Q118" t="s">
        <v>30</v>
      </c>
    </row>
    <row r="119" spans="1:17" x14ac:dyDescent="0.2">
      <c r="A119" t="s">
        <v>17</v>
      </c>
      <c r="B119">
        <v>17</v>
      </c>
      <c r="C119">
        <v>1.7</v>
      </c>
      <c r="D119">
        <v>85</v>
      </c>
      <c r="E119" t="s">
        <v>18</v>
      </c>
      <c r="F119" t="s">
        <v>19</v>
      </c>
      <c r="G119">
        <v>2</v>
      </c>
      <c r="H119">
        <v>3</v>
      </c>
      <c r="I119" t="s">
        <v>24</v>
      </c>
      <c r="J119" t="s">
        <v>19</v>
      </c>
      <c r="K119">
        <v>2</v>
      </c>
      <c r="L119" t="s">
        <v>19</v>
      </c>
      <c r="M119">
        <v>1</v>
      </c>
      <c r="N119">
        <v>1</v>
      </c>
      <c r="O119" t="s">
        <v>19</v>
      </c>
      <c r="P119" t="s">
        <v>21</v>
      </c>
      <c r="Q119" t="s">
        <v>27</v>
      </c>
    </row>
    <row r="120" spans="1:17" x14ac:dyDescent="0.2">
      <c r="A120" t="s">
        <v>23</v>
      </c>
      <c r="B120">
        <v>23</v>
      </c>
      <c r="C120">
        <v>1.62</v>
      </c>
      <c r="D120">
        <v>53</v>
      </c>
      <c r="E120" t="s">
        <v>18</v>
      </c>
      <c r="F120" t="s">
        <v>18</v>
      </c>
      <c r="G120">
        <v>2</v>
      </c>
      <c r="H120">
        <v>3</v>
      </c>
      <c r="I120" t="s">
        <v>20</v>
      </c>
      <c r="J120" t="s">
        <v>19</v>
      </c>
      <c r="K120">
        <v>2</v>
      </c>
      <c r="L120" t="s">
        <v>19</v>
      </c>
      <c r="M120">
        <v>1</v>
      </c>
      <c r="N120">
        <v>1</v>
      </c>
      <c r="O120" t="s">
        <v>20</v>
      </c>
      <c r="P120" t="s">
        <v>21</v>
      </c>
      <c r="Q120" t="s">
        <v>22</v>
      </c>
    </row>
    <row r="121" spans="1:17" x14ac:dyDescent="0.2">
      <c r="A121" t="s">
        <v>17</v>
      </c>
      <c r="B121">
        <v>19</v>
      </c>
      <c r="C121">
        <v>1.63</v>
      </c>
      <c r="D121">
        <v>76</v>
      </c>
      <c r="E121" t="s">
        <v>18</v>
      </c>
      <c r="F121" t="s">
        <v>19</v>
      </c>
      <c r="G121">
        <v>3</v>
      </c>
      <c r="H121">
        <v>3</v>
      </c>
      <c r="I121" t="s">
        <v>24</v>
      </c>
      <c r="J121" t="s">
        <v>18</v>
      </c>
      <c r="K121">
        <v>3</v>
      </c>
      <c r="L121" t="s">
        <v>19</v>
      </c>
      <c r="M121">
        <v>2</v>
      </c>
      <c r="N121">
        <v>1</v>
      </c>
      <c r="O121" t="s">
        <v>20</v>
      </c>
      <c r="P121" t="s">
        <v>28</v>
      </c>
      <c r="Q121" t="s">
        <v>27</v>
      </c>
    </row>
    <row r="122" spans="1:17" x14ac:dyDescent="0.2">
      <c r="A122" t="s">
        <v>17</v>
      </c>
      <c r="B122">
        <v>23</v>
      </c>
      <c r="C122">
        <v>1.67</v>
      </c>
      <c r="D122">
        <v>75</v>
      </c>
      <c r="E122" t="s">
        <v>18</v>
      </c>
      <c r="F122" t="s">
        <v>18</v>
      </c>
      <c r="G122">
        <v>2</v>
      </c>
      <c r="H122">
        <v>3</v>
      </c>
      <c r="I122" t="s">
        <v>24</v>
      </c>
      <c r="J122" t="s">
        <v>18</v>
      </c>
      <c r="K122">
        <v>2</v>
      </c>
      <c r="L122" t="s">
        <v>19</v>
      </c>
      <c r="M122">
        <v>0</v>
      </c>
      <c r="N122">
        <v>2</v>
      </c>
      <c r="O122" t="s">
        <v>19</v>
      </c>
      <c r="P122" t="s">
        <v>25</v>
      </c>
      <c r="Q122" t="s">
        <v>26</v>
      </c>
    </row>
    <row r="123" spans="1:17" x14ac:dyDescent="0.2">
      <c r="A123" t="s">
        <v>23</v>
      </c>
      <c r="B123">
        <v>23</v>
      </c>
      <c r="C123">
        <v>1.87</v>
      </c>
      <c r="D123">
        <v>95</v>
      </c>
      <c r="E123" t="s">
        <v>18</v>
      </c>
      <c r="F123" t="s">
        <v>18</v>
      </c>
      <c r="G123">
        <v>1</v>
      </c>
      <c r="H123">
        <v>3</v>
      </c>
      <c r="I123" t="s">
        <v>24</v>
      </c>
      <c r="J123" t="s">
        <v>19</v>
      </c>
      <c r="K123">
        <v>2</v>
      </c>
      <c r="L123" t="s">
        <v>19</v>
      </c>
      <c r="M123">
        <v>0</v>
      </c>
      <c r="N123">
        <v>2</v>
      </c>
      <c r="O123" t="s">
        <v>24</v>
      </c>
      <c r="P123" t="s">
        <v>21</v>
      </c>
      <c r="Q123" t="s">
        <v>27</v>
      </c>
    </row>
    <row r="124" spans="1:17" x14ac:dyDescent="0.2">
      <c r="A124" t="s">
        <v>23</v>
      </c>
      <c r="B124">
        <v>21</v>
      </c>
      <c r="C124">
        <v>1.75</v>
      </c>
      <c r="D124">
        <v>50</v>
      </c>
      <c r="E124" t="s">
        <v>18</v>
      </c>
      <c r="F124" t="s">
        <v>19</v>
      </c>
      <c r="G124">
        <v>3</v>
      </c>
      <c r="H124">
        <v>4</v>
      </c>
      <c r="I124" t="s">
        <v>24</v>
      </c>
      <c r="J124" t="s">
        <v>19</v>
      </c>
      <c r="K124">
        <v>1</v>
      </c>
      <c r="L124" t="s">
        <v>19</v>
      </c>
      <c r="M124">
        <v>1</v>
      </c>
      <c r="N124">
        <v>0</v>
      </c>
      <c r="O124" t="s">
        <v>19</v>
      </c>
      <c r="P124" t="s">
        <v>25</v>
      </c>
      <c r="Q124" t="s">
        <v>32</v>
      </c>
    </row>
    <row r="125" spans="1:17" x14ac:dyDescent="0.2">
      <c r="A125" t="s">
        <v>23</v>
      </c>
      <c r="B125">
        <v>24</v>
      </c>
      <c r="C125">
        <v>1.66</v>
      </c>
      <c r="D125">
        <v>67</v>
      </c>
      <c r="E125" t="s">
        <v>18</v>
      </c>
      <c r="F125" t="s">
        <v>18</v>
      </c>
      <c r="G125">
        <v>3</v>
      </c>
      <c r="H125">
        <v>1</v>
      </c>
      <c r="I125" t="s">
        <v>20</v>
      </c>
      <c r="J125" t="s">
        <v>19</v>
      </c>
      <c r="K125">
        <v>2</v>
      </c>
      <c r="L125" t="s">
        <v>19</v>
      </c>
      <c r="M125">
        <v>1</v>
      </c>
      <c r="N125">
        <v>0</v>
      </c>
      <c r="O125" t="s">
        <v>19</v>
      </c>
      <c r="P125" t="s">
        <v>21</v>
      </c>
      <c r="Q125" t="s">
        <v>22</v>
      </c>
    </row>
    <row r="126" spans="1:17" x14ac:dyDescent="0.2">
      <c r="A126" t="s">
        <v>23</v>
      </c>
      <c r="B126">
        <v>23</v>
      </c>
      <c r="C126">
        <v>1.76</v>
      </c>
      <c r="D126">
        <v>90</v>
      </c>
      <c r="E126" t="s">
        <v>19</v>
      </c>
      <c r="F126" t="s">
        <v>18</v>
      </c>
      <c r="G126">
        <v>3</v>
      </c>
      <c r="H126">
        <v>3</v>
      </c>
      <c r="I126" t="s">
        <v>20</v>
      </c>
      <c r="J126" t="s">
        <v>19</v>
      </c>
      <c r="K126">
        <v>1</v>
      </c>
      <c r="L126" t="s">
        <v>19</v>
      </c>
      <c r="M126">
        <v>0</v>
      </c>
      <c r="N126">
        <v>0</v>
      </c>
      <c r="O126" t="s">
        <v>19</v>
      </c>
      <c r="P126" t="s">
        <v>21</v>
      </c>
      <c r="Q126" t="s">
        <v>27</v>
      </c>
    </row>
    <row r="127" spans="1:17" x14ac:dyDescent="0.2">
      <c r="A127" t="s">
        <v>23</v>
      </c>
      <c r="B127">
        <v>18</v>
      </c>
      <c r="C127">
        <v>1.75</v>
      </c>
      <c r="D127">
        <v>80</v>
      </c>
      <c r="E127" t="s">
        <v>18</v>
      </c>
      <c r="F127" t="s">
        <v>18</v>
      </c>
      <c r="G127">
        <v>2</v>
      </c>
      <c r="H127">
        <v>3</v>
      </c>
      <c r="I127" t="s">
        <v>31</v>
      </c>
      <c r="J127" t="s">
        <v>19</v>
      </c>
      <c r="K127">
        <v>2</v>
      </c>
      <c r="L127" t="s">
        <v>19</v>
      </c>
      <c r="M127">
        <v>0</v>
      </c>
      <c r="N127">
        <v>0</v>
      </c>
      <c r="O127" t="s">
        <v>24</v>
      </c>
      <c r="P127" t="s">
        <v>21</v>
      </c>
      <c r="Q127" t="s">
        <v>26</v>
      </c>
    </row>
    <row r="128" spans="1:17" x14ac:dyDescent="0.2">
      <c r="A128" t="s">
        <v>23</v>
      </c>
      <c r="B128">
        <v>19</v>
      </c>
      <c r="C128">
        <v>1.67</v>
      </c>
      <c r="D128">
        <v>68</v>
      </c>
      <c r="E128" t="s">
        <v>19</v>
      </c>
      <c r="F128" t="s">
        <v>18</v>
      </c>
      <c r="G128">
        <v>2</v>
      </c>
      <c r="H128">
        <v>3</v>
      </c>
      <c r="I128" t="s">
        <v>20</v>
      </c>
      <c r="J128" t="s">
        <v>19</v>
      </c>
      <c r="K128">
        <v>2</v>
      </c>
      <c r="L128" t="s">
        <v>19</v>
      </c>
      <c r="M128">
        <v>1</v>
      </c>
      <c r="N128">
        <v>0</v>
      </c>
      <c r="O128" t="s">
        <v>20</v>
      </c>
      <c r="P128" t="s">
        <v>21</v>
      </c>
      <c r="Q128" t="s">
        <v>22</v>
      </c>
    </row>
    <row r="129" spans="1:17" x14ac:dyDescent="0.2">
      <c r="A129" t="s">
        <v>17</v>
      </c>
      <c r="B129">
        <v>19</v>
      </c>
      <c r="C129">
        <v>1.65</v>
      </c>
      <c r="D129">
        <v>61</v>
      </c>
      <c r="E129" t="s">
        <v>19</v>
      </c>
      <c r="F129" t="s">
        <v>18</v>
      </c>
      <c r="G129">
        <v>3</v>
      </c>
      <c r="H129">
        <v>1</v>
      </c>
      <c r="I129" t="s">
        <v>20</v>
      </c>
      <c r="J129" t="s">
        <v>19</v>
      </c>
      <c r="K129">
        <v>3</v>
      </c>
      <c r="L129" t="s">
        <v>18</v>
      </c>
      <c r="M129">
        <v>1</v>
      </c>
      <c r="N129">
        <v>0</v>
      </c>
      <c r="O129" t="s">
        <v>20</v>
      </c>
      <c r="P129" t="s">
        <v>21</v>
      </c>
      <c r="Q129" t="s">
        <v>22</v>
      </c>
    </row>
    <row r="130" spans="1:17" x14ac:dyDescent="0.2">
      <c r="A130" t="s">
        <v>23</v>
      </c>
      <c r="B130">
        <v>20</v>
      </c>
      <c r="C130">
        <v>1.72</v>
      </c>
      <c r="D130">
        <v>70</v>
      </c>
      <c r="E130" t="s">
        <v>18</v>
      </c>
      <c r="F130" t="s">
        <v>18</v>
      </c>
      <c r="G130">
        <v>3</v>
      </c>
      <c r="H130">
        <v>3</v>
      </c>
      <c r="I130" t="s">
        <v>24</v>
      </c>
      <c r="J130" t="s">
        <v>19</v>
      </c>
      <c r="K130">
        <v>1</v>
      </c>
      <c r="L130" t="s">
        <v>19</v>
      </c>
      <c r="M130">
        <v>0</v>
      </c>
      <c r="N130">
        <v>0</v>
      </c>
      <c r="O130" t="s">
        <v>20</v>
      </c>
      <c r="P130" t="s">
        <v>21</v>
      </c>
      <c r="Q130" t="s">
        <v>22</v>
      </c>
    </row>
    <row r="131" spans="1:17" x14ac:dyDescent="0.2">
      <c r="A131" t="s">
        <v>23</v>
      </c>
      <c r="B131">
        <v>27</v>
      </c>
      <c r="C131">
        <v>1.7</v>
      </c>
      <c r="D131">
        <v>78</v>
      </c>
      <c r="E131" t="s">
        <v>19</v>
      </c>
      <c r="F131" t="s">
        <v>18</v>
      </c>
      <c r="G131">
        <v>3</v>
      </c>
      <c r="H131">
        <v>3</v>
      </c>
      <c r="I131" t="s">
        <v>20</v>
      </c>
      <c r="J131" t="s">
        <v>19</v>
      </c>
      <c r="K131">
        <v>3</v>
      </c>
      <c r="L131" t="s">
        <v>19</v>
      </c>
      <c r="M131">
        <v>1</v>
      </c>
      <c r="N131">
        <v>1</v>
      </c>
      <c r="O131" t="s">
        <v>24</v>
      </c>
      <c r="P131" t="s">
        <v>21</v>
      </c>
      <c r="Q131" t="s">
        <v>27</v>
      </c>
    </row>
    <row r="132" spans="1:17" x14ac:dyDescent="0.2">
      <c r="A132" t="s">
        <v>17</v>
      </c>
      <c r="B132">
        <v>20</v>
      </c>
      <c r="C132">
        <v>1.58</v>
      </c>
      <c r="D132">
        <v>53</v>
      </c>
      <c r="E132" t="s">
        <v>18</v>
      </c>
      <c r="F132" t="s">
        <v>18</v>
      </c>
      <c r="G132">
        <v>2</v>
      </c>
      <c r="H132">
        <v>4</v>
      </c>
      <c r="I132" t="s">
        <v>24</v>
      </c>
      <c r="J132" t="s">
        <v>19</v>
      </c>
      <c r="K132">
        <v>2</v>
      </c>
      <c r="L132" t="s">
        <v>19</v>
      </c>
      <c r="M132">
        <v>1</v>
      </c>
      <c r="N132">
        <v>1</v>
      </c>
      <c r="O132" t="s">
        <v>19</v>
      </c>
      <c r="P132" t="s">
        <v>21</v>
      </c>
      <c r="Q132" t="s">
        <v>22</v>
      </c>
    </row>
    <row r="133" spans="1:17" x14ac:dyDescent="0.2">
      <c r="A133" t="s">
        <v>23</v>
      </c>
      <c r="B133">
        <v>23</v>
      </c>
      <c r="C133">
        <v>1.62</v>
      </c>
      <c r="D133">
        <v>58</v>
      </c>
      <c r="E133" t="s">
        <v>19</v>
      </c>
      <c r="F133" t="s">
        <v>19</v>
      </c>
      <c r="G133">
        <v>2</v>
      </c>
      <c r="H133">
        <v>3</v>
      </c>
      <c r="I133" t="s">
        <v>20</v>
      </c>
      <c r="J133" t="s">
        <v>19</v>
      </c>
      <c r="K133">
        <v>1</v>
      </c>
      <c r="L133" t="s">
        <v>19</v>
      </c>
      <c r="M133">
        <v>1</v>
      </c>
      <c r="N133">
        <v>0</v>
      </c>
      <c r="O133" t="s">
        <v>19</v>
      </c>
      <c r="P133" t="s">
        <v>21</v>
      </c>
      <c r="Q133" t="s">
        <v>22</v>
      </c>
    </row>
    <row r="134" spans="1:17" x14ac:dyDescent="0.2">
      <c r="A134" t="s">
        <v>17</v>
      </c>
      <c r="B134">
        <v>19</v>
      </c>
      <c r="C134">
        <v>1.65</v>
      </c>
      <c r="D134">
        <v>56</v>
      </c>
      <c r="E134" t="s">
        <v>18</v>
      </c>
      <c r="F134" t="s">
        <v>18</v>
      </c>
      <c r="G134">
        <v>3</v>
      </c>
      <c r="H134">
        <v>3</v>
      </c>
      <c r="I134" t="s">
        <v>24</v>
      </c>
      <c r="J134" t="s">
        <v>18</v>
      </c>
      <c r="K134">
        <v>3</v>
      </c>
      <c r="L134" t="s">
        <v>18</v>
      </c>
      <c r="M134">
        <v>1</v>
      </c>
      <c r="N134">
        <v>2</v>
      </c>
      <c r="O134" t="s">
        <v>24</v>
      </c>
      <c r="P134" t="s">
        <v>21</v>
      </c>
      <c r="Q134" t="s">
        <v>22</v>
      </c>
    </row>
    <row r="135" spans="1:17" x14ac:dyDescent="0.2">
      <c r="A135" t="s">
        <v>17</v>
      </c>
      <c r="B135">
        <v>61</v>
      </c>
      <c r="C135">
        <v>1.65</v>
      </c>
      <c r="D135">
        <v>66</v>
      </c>
      <c r="E135" t="s">
        <v>19</v>
      </c>
      <c r="F135" t="s">
        <v>18</v>
      </c>
      <c r="G135">
        <v>3</v>
      </c>
      <c r="H135">
        <v>3</v>
      </c>
      <c r="I135" t="s">
        <v>31</v>
      </c>
      <c r="J135" t="s">
        <v>19</v>
      </c>
      <c r="K135">
        <v>2</v>
      </c>
      <c r="L135" t="s">
        <v>19</v>
      </c>
      <c r="M135">
        <v>1</v>
      </c>
      <c r="N135">
        <v>1</v>
      </c>
      <c r="O135" t="s">
        <v>24</v>
      </c>
      <c r="P135" t="s">
        <v>21</v>
      </c>
      <c r="Q135" t="s">
        <v>22</v>
      </c>
    </row>
    <row r="136" spans="1:17" x14ac:dyDescent="0.2">
      <c r="A136" t="s">
        <v>23</v>
      </c>
      <c r="B136">
        <v>30</v>
      </c>
      <c r="C136">
        <v>1.77</v>
      </c>
      <c r="D136">
        <v>109</v>
      </c>
      <c r="E136" t="s">
        <v>18</v>
      </c>
      <c r="F136" t="s">
        <v>18</v>
      </c>
      <c r="G136">
        <v>3</v>
      </c>
      <c r="H136">
        <v>3</v>
      </c>
      <c r="I136" t="s">
        <v>20</v>
      </c>
      <c r="J136" t="s">
        <v>19</v>
      </c>
      <c r="K136">
        <v>1</v>
      </c>
      <c r="L136" t="s">
        <v>19</v>
      </c>
      <c r="M136">
        <v>2</v>
      </c>
      <c r="N136">
        <v>0</v>
      </c>
      <c r="O136" t="s">
        <v>20</v>
      </c>
      <c r="P136" t="s">
        <v>28</v>
      </c>
      <c r="Q136" t="s">
        <v>30</v>
      </c>
    </row>
    <row r="137" spans="1:17" x14ac:dyDescent="0.2">
      <c r="A137" t="s">
        <v>23</v>
      </c>
      <c r="B137">
        <v>24</v>
      </c>
      <c r="C137">
        <v>1.7</v>
      </c>
      <c r="D137">
        <v>75</v>
      </c>
      <c r="E137" t="s">
        <v>18</v>
      </c>
      <c r="F137" t="s">
        <v>18</v>
      </c>
      <c r="G137">
        <v>2</v>
      </c>
      <c r="H137">
        <v>3</v>
      </c>
      <c r="I137" t="s">
        <v>20</v>
      </c>
      <c r="J137" t="s">
        <v>19</v>
      </c>
      <c r="K137">
        <v>2</v>
      </c>
      <c r="L137" t="s">
        <v>19</v>
      </c>
      <c r="M137">
        <v>1</v>
      </c>
      <c r="N137">
        <v>0</v>
      </c>
      <c r="O137" t="s">
        <v>20</v>
      </c>
      <c r="P137" t="s">
        <v>28</v>
      </c>
      <c r="Q137" t="s">
        <v>26</v>
      </c>
    </row>
    <row r="138" spans="1:17" x14ac:dyDescent="0.2">
      <c r="A138" t="s">
        <v>23</v>
      </c>
      <c r="B138">
        <v>25</v>
      </c>
      <c r="C138">
        <v>1.79</v>
      </c>
      <c r="D138">
        <v>72</v>
      </c>
      <c r="E138" t="s">
        <v>18</v>
      </c>
      <c r="F138" t="s">
        <v>18</v>
      </c>
      <c r="G138">
        <v>2</v>
      </c>
      <c r="H138">
        <v>3</v>
      </c>
      <c r="I138" t="s">
        <v>20</v>
      </c>
      <c r="J138" t="s">
        <v>19</v>
      </c>
      <c r="K138">
        <v>2</v>
      </c>
      <c r="L138" t="s">
        <v>19</v>
      </c>
      <c r="M138">
        <v>1</v>
      </c>
      <c r="N138">
        <v>1</v>
      </c>
      <c r="O138" t="s">
        <v>20</v>
      </c>
      <c r="P138" t="s">
        <v>21</v>
      </c>
      <c r="Q138" t="s">
        <v>22</v>
      </c>
    </row>
    <row r="139" spans="1:17" x14ac:dyDescent="0.2">
      <c r="A139" t="s">
        <v>23</v>
      </c>
      <c r="B139">
        <v>44</v>
      </c>
      <c r="C139">
        <v>1.6</v>
      </c>
      <c r="D139">
        <v>80</v>
      </c>
      <c r="E139" t="s">
        <v>18</v>
      </c>
      <c r="F139" t="s">
        <v>19</v>
      </c>
      <c r="G139">
        <v>2</v>
      </c>
      <c r="H139">
        <v>3</v>
      </c>
      <c r="I139" t="s">
        <v>20</v>
      </c>
      <c r="J139" t="s">
        <v>18</v>
      </c>
      <c r="K139">
        <v>3</v>
      </c>
      <c r="L139" t="s">
        <v>19</v>
      </c>
      <c r="M139">
        <v>0</v>
      </c>
      <c r="N139">
        <v>0</v>
      </c>
      <c r="O139" t="s">
        <v>19</v>
      </c>
      <c r="P139" t="s">
        <v>29</v>
      </c>
      <c r="Q139" t="s">
        <v>30</v>
      </c>
    </row>
    <row r="140" spans="1:17" x14ac:dyDescent="0.2">
      <c r="A140" t="s">
        <v>23</v>
      </c>
      <c r="B140">
        <v>31</v>
      </c>
      <c r="C140">
        <v>1.76</v>
      </c>
      <c r="D140">
        <v>75</v>
      </c>
      <c r="E140" t="s">
        <v>18</v>
      </c>
      <c r="F140" t="s">
        <v>19</v>
      </c>
      <c r="G140">
        <v>3</v>
      </c>
      <c r="H140">
        <v>3</v>
      </c>
      <c r="I140" t="s">
        <v>31</v>
      </c>
      <c r="J140" t="s">
        <v>19</v>
      </c>
      <c r="K140">
        <v>3</v>
      </c>
      <c r="L140" t="s">
        <v>18</v>
      </c>
      <c r="M140">
        <v>3</v>
      </c>
      <c r="N140">
        <v>0</v>
      </c>
      <c r="O140" t="s">
        <v>19</v>
      </c>
      <c r="P140" t="s">
        <v>34</v>
      </c>
      <c r="Q140" t="s">
        <v>22</v>
      </c>
    </row>
    <row r="141" spans="1:17" x14ac:dyDescent="0.2">
      <c r="A141" t="s">
        <v>23</v>
      </c>
      <c r="B141">
        <v>25</v>
      </c>
      <c r="C141">
        <v>1.7</v>
      </c>
      <c r="D141">
        <v>68</v>
      </c>
      <c r="E141" t="s">
        <v>19</v>
      </c>
      <c r="F141" t="s">
        <v>18</v>
      </c>
      <c r="G141">
        <v>2</v>
      </c>
      <c r="H141">
        <v>3</v>
      </c>
      <c r="I141" t="s">
        <v>24</v>
      </c>
      <c r="J141" t="s">
        <v>19</v>
      </c>
      <c r="K141">
        <v>2</v>
      </c>
      <c r="L141" t="s">
        <v>19</v>
      </c>
      <c r="M141">
        <v>0</v>
      </c>
      <c r="N141">
        <v>1</v>
      </c>
      <c r="O141" t="s">
        <v>19</v>
      </c>
      <c r="P141" t="s">
        <v>21</v>
      </c>
      <c r="Q141" t="s">
        <v>22</v>
      </c>
    </row>
    <row r="142" spans="1:17" x14ac:dyDescent="0.2">
      <c r="A142" t="s">
        <v>23</v>
      </c>
      <c r="B142">
        <v>23</v>
      </c>
      <c r="C142">
        <v>1.89</v>
      </c>
      <c r="D142">
        <v>65</v>
      </c>
      <c r="E142" t="s">
        <v>18</v>
      </c>
      <c r="F142" t="s">
        <v>18</v>
      </c>
      <c r="G142">
        <v>3</v>
      </c>
      <c r="H142">
        <v>3</v>
      </c>
      <c r="I142" t="s">
        <v>24</v>
      </c>
      <c r="J142" t="s">
        <v>19</v>
      </c>
      <c r="K142">
        <v>3</v>
      </c>
      <c r="L142" t="s">
        <v>19</v>
      </c>
      <c r="M142">
        <v>1</v>
      </c>
      <c r="N142">
        <v>1</v>
      </c>
      <c r="O142" t="s">
        <v>20</v>
      </c>
      <c r="P142" t="s">
        <v>21</v>
      </c>
      <c r="Q142" t="s">
        <v>32</v>
      </c>
    </row>
    <row r="143" spans="1:17" x14ac:dyDescent="0.2">
      <c r="A143" t="s">
        <v>23</v>
      </c>
      <c r="B143">
        <v>25</v>
      </c>
      <c r="C143">
        <v>1.87</v>
      </c>
      <c r="D143">
        <v>66</v>
      </c>
      <c r="E143" t="s">
        <v>19</v>
      </c>
      <c r="F143" t="s">
        <v>18</v>
      </c>
      <c r="G143">
        <v>3</v>
      </c>
      <c r="H143">
        <v>3</v>
      </c>
      <c r="I143" t="s">
        <v>31</v>
      </c>
      <c r="J143" t="s">
        <v>19</v>
      </c>
      <c r="K143">
        <v>2</v>
      </c>
      <c r="L143" t="s">
        <v>19</v>
      </c>
      <c r="M143">
        <v>2</v>
      </c>
      <c r="N143">
        <v>0</v>
      </c>
      <c r="O143" t="s">
        <v>24</v>
      </c>
      <c r="P143" t="s">
        <v>21</v>
      </c>
      <c r="Q143" t="s">
        <v>22</v>
      </c>
    </row>
    <row r="144" spans="1:17" x14ac:dyDescent="0.2">
      <c r="A144" t="s">
        <v>23</v>
      </c>
      <c r="B144">
        <v>23</v>
      </c>
      <c r="C144">
        <v>1.74</v>
      </c>
      <c r="D144">
        <v>93.5</v>
      </c>
      <c r="E144" t="s">
        <v>19</v>
      </c>
      <c r="F144" t="s">
        <v>18</v>
      </c>
      <c r="G144">
        <v>2</v>
      </c>
      <c r="H144">
        <v>3</v>
      </c>
      <c r="I144" t="s">
        <v>24</v>
      </c>
      <c r="J144" t="s">
        <v>18</v>
      </c>
      <c r="K144">
        <v>1</v>
      </c>
      <c r="L144" t="s">
        <v>19</v>
      </c>
      <c r="M144">
        <v>1</v>
      </c>
      <c r="N144">
        <v>1</v>
      </c>
      <c r="O144" t="s">
        <v>24</v>
      </c>
      <c r="P144" t="s">
        <v>28</v>
      </c>
      <c r="Q144" t="s">
        <v>30</v>
      </c>
    </row>
    <row r="145" spans="1:17" x14ac:dyDescent="0.2">
      <c r="A145" t="s">
        <v>17</v>
      </c>
      <c r="B145">
        <v>34</v>
      </c>
      <c r="C145">
        <v>1.68</v>
      </c>
      <c r="D145">
        <v>75</v>
      </c>
      <c r="E145" t="s">
        <v>19</v>
      </c>
      <c r="F145" t="s">
        <v>18</v>
      </c>
      <c r="G145">
        <v>3</v>
      </c>
      <c r="H145">
        <v>1</v>
      </c>
      <c r="I145" t="s">
        <v>20</v>
      </c>
      <c r="J145" t="s">
        <v>19</v>
      </c>
      <c r="K145">
        <v>1</v>
      </c>
      <c r="L145" t="s">
        <v>19</v>
      </c>
      <c r="M145">
        <v>0</v>
      </c>
      <c r="N145">
        <v>0</v>
      </c>
      <c r="O145" t="s">
        <v>20</v>
      </c>
      <c r="P145" t="s">
        <v>28</v>
      </c>
      <c r="Q145" t="s">
        <v>26</v>
      </c>
    </row>
    <row r="146" spans="1:17" x14ac:dyDescent="0.2">
      <c r="A146" t="s">
        <v>23</v>
      </c>
      <c r="B146">
        <v>22</v>
      </c>
      <c r="C146">
        <v>1.61</v>
      </c>
      <c r="D146">
        <v>67</v>
      </c>
      <c r="E146" t="s">
        <v>18</v>
      </c>
      <c r="F146" t="s">
        <v>19</v>
      </c>
      <c r="G146">
        <v>2</v>
      </c>
      <c r="H146">
        <v>4</v>
      </c>
      <c r="I146" t="s">
        <v>20</v>
      </c>
      <c r="J146" t="s">
        <v>19</v>
      </c>
      <c r="K146">
        <v>3</v>
      </c>
      <c r="L146" t="s">
        <v>18</v>
      </c>
      <c r="M146">
        <v>2</v>
      </c>
      <c r="N146">
        <v>2</v>
      </c>
      <c r="O146" t="s">
        <v>20</v>
      </c>
      <c r="P146" t="s">
        <v>21</v>
      </c>
      <c r="Q146" t="s">
        <v>26</v>
      </c>
    </row>
    <row r="147" spans="1:17" x14ac:dyDescent="0.2">
      <c r="A147" t="s">
        <v>23</v>
      </c>
      <c r="B147">
        <v>21</v>
      </c>
      <c r="C147">
        <v>1.62</v>
      </c>
      <c r="D147">
        <v>70</v>
      </c>
      <c r="E147" t="s">
        <v>19</v>
      </c>
      <c r="F147" t="s">
        <v>18</v>
      </c>
      <c r="G147">
        <v>2</v>
      </c>
      <c r="H147">
        <v>1</v>
      </c>
      <c r="I147" t="s">
        <v>19</v>
      </c>
      <c r="J147" t="s">
        <v>19</v>
      </c>
      <c r="K147">
        <v>3</v>
      </c>
      <c r="L147" t="s">
        <v>19</v>
      </c>
      <c r="M147">
        <v>1</v>
      </c>
      <c r="N147">
        <v>0</v>
      </c>
      <c r="O147" t="s">
        <v>20</v>
      </c>
      <c r="P147" t="s">
        <v>21</v>
      </c>
      <c r="Q147" t="s">
        <v>26</v>
      </c>
    </row>
    <row r="148" spans="1:17" x14ac:dyDescent="0.2">
      <c r="A148" t="s">
        <v>17</v>
      </c>
      <c r="B148">
        <v>24</v>
      </c>
      <c r="C148">
        <v>1.56</v>
      </c>
      <c r="D148">
        <v>51</v>
      </c>
      <c r="E148" t="s">
        <v>19</v>
      </c>
      <c r="F148" t="s">
        <v>19</v>
      </c>
      <c r="G148">
        <v>3</v>
      </c>
      <c r="H148">
        <v>3</v>
      </c>
      <c r="I148" t="s">
        <v>24</v>
      </c>
      <c r="J148" t="s">
        <v>19</v>
      </c>
      <c r="K148">
        <v>2</v>
      </c>
      <c r="L148" t="s">
        <v>19</v>
      </c>
      <c r="M148">
        <v>2</v>
      </c>
      <c r="N148">
        <v>2</v>
      </c>
      <c r="O148" t="s">
        <v>24</v>
      </c>
      <c r="P148" t="s">
        <v>21</v>
      </c>
      <c r="Q148" t="s">
        <v>22</v>
      </c>
    </row>
    <row r="149" spans="1:17" x14ac:dyDescent="0.2">
      <c r="A149" t="s">
        <v>17</v>
      </c>
      <c r="B149">
        <v>36</v>
      </c>
      <c r="C149">
        <v>1.63</v>
      </c>
      <c r="D149">
        <v>80</v>
      </c>
      <c r="E149" t="s">
        <v>18</v>
      </c>
      <c r="F149" t="s">
        <v>19</v>
      </c>
      <c r="G149">
        <v>3</v>
      </c>
      <c r="H149">
        <v>3</v>
      </c>
      <c r="I149" t="s">
        <v>20</v>
      </c>
      <c r="J149" t="s">
        <v>19</v>
      </c>
      <c r="K149">
        <v>1</v>
      </c>
      <c r="L149" t="s">
        <v>19</v>
      </c>
      <c r="M149">
        <v>0</v>
      </c>
      <c r="N149">
        <v>0</v>
      </c>
      <c r="O149" t="s">
        <v>20</v>
      </c>
      <c r="P149" t="s">
        <v>28</v>
      </c>
      <c r="Q149" t="s">
        <v>30</v>
      </c>
    </row>
    <row r="150" spans="1:17" x14ac:dyDescent="0.2">
      <c r="A150" t="s">
        <v>17</v>
      </c>
      <c r="B150">
        <v>27</v>
      </c>
      <c r="C150">
        <v>1.6</v>
      </c>
      <c r="D150">
        <v>61</v>
      </c>
      <c r="E150" t="s">
        <v>19</v>
      </c>
      <c r="F150" t="s">
        <v>18</v>
      </c>
      <c r="G150">
        <v>3</v>
      </c>
      <c r="H150">
        <v>3</v>
      </c>
      <c r="I150" t="s">
        <v>31</v>
      </c>
      <c r="J150" t="s">
        <v>19</v>
      </c>
      <c r="K150">
        <v>2</v>
      </c>
      <c r="L150" t="s">
        <v>19</v>
      </c>
      <c r="M150">
        <v>0</v>
      </c>
      <c r="N150">
        <v>0</v>
      </c>
      <c r="O150" t="s">
        <v>20</v>
      </c>
      <c r="P150" t="s">
        <v>28</v>
      </c>
      <c r="Q150" t="s">
        <v>22</v>
      </c>
    </row>
    <row r="151" spans="1:17" x14ac:dyDescent="0.2">
      <c r="A151" t="s">
        <v>17</v>
      </c>
      <c r="B151">
        <v>32</v>
      </c>
      <c r="C151">
        <v>1.67</v>
      </c>
      <c r="D151">
        <v>90</v>
      </c>
      <c r="E151" t="s">
        <v>18</v>
      </c>
      <c r="F151" t="s">
        <v>18</v>
      </c>
      <c r="G151">
        <v>3</v>
      </c>
      <c r="H151">
        <v>1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30</v>
      </c>
    </row>
    <row r="152" spans="1:17" x14ac:dyDescent="0.2">
      <c r="A152" t="s">
        <v>23</v>
      </c>
      <c r="B152">
        <v>25</v>
      </c>
      <c r="C152">
        <v>1.78</v>
      </c>
      <c r="D152">
        <v>78</v>
      </c>
      <c r="E152" t="s">
        <v>18</v>
      </c>
      <c r="F152" t="s">
        <v>18</v>
      </c>
      <c r="G152">
        <v>2</v>
      </c>
      <c r="H152">
        <v>1</v>
      </c>
      <c r="I152" t="s">
        <v>20</v>
      </c>
      <c r="J152" t="s">
        <v>19</v>
      </c>
      <c r="K152">
        <v>2</v>
      </c>
      <c r="L152" t="s">
        <v>19</v>
      </c>
      <c r="M152">
        <v>2</v>
      </c>
      <c r="N152">
        <v>1</v>
      </c>
      <c r="O152" t="s">
        <v>20</v>
      </c>
      <c r="P152" t="s">
        <v>21</v>
      </c>
      <c r="Q152" t="s">
        <v>22</v>
      </c>
    </row>
    <row r="153" spans="1:17" x14ac:dyDescent="0.2">
      <c r="A153" t="s">
        <v>17</v>
      </c>
      <c r="B153">
        <v>30</v>
      </c>
      <c r="C153">
        <v>1.62</v>
      </c>
      <c r="D153">
        <v>59</v>
      </c>
      <c r="E153" t="s">
        <v>18</v>
      </c>
      <c r="F153" t="s">
        <v>18</v>
      </c>
      <c r="G153">
        <v>3</v>
      </c>
      <c r="H153">
        <v>3</v>
      </c>
      <c r="I153" t="s">
        <v>20</v>
      </c>
      <c r="J153" t="s">
        <v>19</v>
      </c>
      <c r="K153">
        <v>2</v>
      </c>
      <c r="L153" t="s">
        <v>19</v>
      </c>
      <c r="M153">
        <v>2</v>
      </c>
      <c r="N153">
        <v>0</v>
      </c>
      <c r="O153" t="s">
        <v>20</v>
      </c>
      <c r="P153" t="s">
        <v>28</v>
      </c>
      <c r="Q153" t="s">
        <v>22</v>
      </c>
    </row>
    <row r="154" spans="1:17" x14ac:dyDescent="0.2">
      <c r="A154" t="s">
        <v>17</v>
      </c>
      <c r="B154">
        <v>38</v>
      </c>
      <c r="C154">
        <v>1.5</v>
      </c>
      <c r="D154">
        <v>60</v>
      </c>
      <c r="E154" t="s">
        <v>18</v>
      </c>
      <c r="F154" t="s">
        <v>18</v>
      </c>
      <c r="G154">
        <v>2</v>
      </c>
      <c r="H154">
        <v>1</v>
      </c>
      <c r="I154" t="s">
        <v>31</v>
      </c>
      <c r="J154" t="s">
        <v>18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28</v>
      </c>
      <c r="Q154" t="s">
        <v>26</v>
      </c>
    </row>
    <row r="155" spans="1:17" x14ac:dyDescent="0.2">
      <c r="A155" t="s">
        <v>23</v>
      </c>
      <c r="B155">
        <v>34</v>
      </c>
      <c r="C155">
        <v>1.69</v>
      </c>
      <c r="D155">
        <v>84</v>
      </c>
      <c r="E155" t="s">
        <v>18</v>
      </c>
      <c r="F155" t="s">
        <v>19</v>
      </c>
      <c r="G155">
        <v>2</v>
      </c>
      <c r="H155">
        <v>3</v>
      </c>
      <c r="I155" t="s">
        <v>20</v>
      </c>
      <c r="J155" t="s">
        <v>19</v>
      </c>
      <c r="K155">
        <v>3</v>
      </c>
      <c r="L155" t="s">
        <v>19</v>
      </c>
      <c r="M155">
        <v>2</v>
      </c>
      <c r="N155">
        <v>0</v>
      </c>
      <c r="O155" t="s">
        <v>19</v>
      </c>
      <c r="P155" t="s">
        <v>28</v>
      </c>
      <c r="Q155" t="s">
        <v>27</v>
      </c>
    </row>
    <row r="156" spans="1:17" x14ac:dyDescent="0.2">
      <c r="A156" t="s">
        <v>23</v>
      </c>
      <c r="B156">
        <v>22</v>
      </c>
      <c r="C156">
        <v>1.74</v>
      </c>
      <c r="D156">
        <v>94</v>
      </c>
      <c r="E156" t="s">
        <v>18</v>
      </c>
      <c r="F156" t="s">
        <v>18</v>
      </c>
      <c r="G156">
        <v>2</v>
      </c>
      <c r="H156">
        <v>3</v>
      </c>
      <c r="I156" t="s">
        <v>20</v>
      </c>
      <c r="J156" t="s">
        <v>19</v>
      </c>
      <c r="K156">
        <v>2</v>
      </c>
      <c r="L156" t="s">
        <v>19</v>
      </c>
      <c r="M156">
        <v>0</v>
      </c>
      <c r="N156">
        <v>0</v>
      </c>
      <c r="O156" t="s">
        <v>20</v>
      </c>
      <c r="P156" t="s">
        <v>21</v>
      </c>
      <c r="Q156" t="s">
        <v>30</v>
      </c>
    </row>
    <row r="157" spans="1:17" x14ac:dyDescent="0.2">
      <c r="A157" t="s">
        <v>17</v>
      </c>
      <c r="B157">
        <v>31</v>
      </c>
      <c r="C157">
        <v>1.68</v>
      </c>
      <c r="D157">
        <v>63</v>
      </c>
      <c r="E157" t="s">
        <v>18</v>
      </c>
      <c r="F157" t="s">
        <v>18</v>
      </c>
      <c r="G157">
        <v>3</v>
      </c>
      <c r="H157">
        <v>1</v>
      </c>
      <c r="I157" t="s">
        <v>24</v>
      </c>
      <c r="J157" t="s">
        <v>19</v>
      </c>
      <c r="K157">
        <v>2</v>
      </c>
      <c r="L157" t="s">
        <v>19</v>
      </c>
      <c r="M157">
        <v>1</v>
      </c>
      <c r="N157">
        <v>1</v>
      </c>
      <c r="O157" t="s">
        <v>20</v>
      </c>
      <c r="P157" t="s">
        <v>28</v>
      </c>
      <c r="Q157" t="s">
        <v>22</v>
      </c>
    </row>
    <row r="158" spans="1:17" x14ac:dyDescent="0.2">
      <c r="A158" t="s">
        <v>17</v>
      </c>
      <c r="B158">
        <v>35</v>
      </c>
      <c r="C158">
        <v>1.53</v>
      </c>
      <c r="D158">
        <v>45</v>
      </c>
      <c r="E158" t="s">
        <v>18</v>
      </c>
      <c r="F158" t="s">
        <v>19</v>
      </c>
      <c r="G158">
        <v>3</v>
      </c>
      <c r="H158">
        <v>3</v>
      </c>
      <c r="I158" t="s">
        <v>24</v>
      </c>
      <c r="J158" t="s">
        <v>19</v>
      </c>
      <c r="K158">
        <v>1</v>
      </c>
      <c r="L158" t="s">
        <v>19</v>
      </c>
      <c r="M158">
        <v>0</v>
      </c>
      <c r="N158">
        <v>1</v>
      </c>
      <c r="O158" t="s">
        <v>19</v>
      </c>
      <c r="P158" t="s">
        <v>28</v>
      </c>
      <c r="Q158" t="s">
        <v>22</v>
      </c>
    </row>
    <row r="159" spans="1:17" x14ac:dyDescent="0.2">
      <c r="A159" t="s">
        <v>23</v>
      </c>
      <c r="B159">
        <v>21</v>
      </c>
      <c r="C159">
        <v>1.67</v>
      </c>
      <c r="D159">
        <v>60</v>
      </c>
      <c r="E159" t="s">
        <v>18</v>
      </c>
      <c r="F159" t="s">
        <v>18</v>
      </c>
      <c r="G159">
        <v>2</v>
      </c>
      <c r="H159">
        <v>3</v>
      </c>
      <c r="I159" t="s">
        <v>24</v>
      </c>
      <c r="J159" t="s">
        <v>19</v>
      </c>
      <c r="K159">
        <v>2</v>
      </c>
      <c r="L159" t="s">
        <v>19</v>
      </c>
      <c r="M159">
        <v>2</v>
      </c>
      <c r="N159">
        <v>1</v>
      </c>
      <c r="O159" t="s">
        <v>20</v>
      </c>
      <c r="P159" t="s">
        <v>21</v>
      </c>
      <c r="Q159" t="s">
        <v>22</v>
      </c>
    </row>
    <row r="160" spans="1:17" x14ac:dyDescent="0.2">
      <c r="A160" t="s">
        <v>17</v>
      </c>
      <c r="B160">
        <v>40</v>
      </c>
      <c r="C160">
        <v>1.55</v>
      </c>
      <c r="D160">
        <v>62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19</v>
      </c>
      <c r="K160">
        <v>3</v>
      </c>
      <c r="L160" t="s">
        <v>19</v>
      </c>
      <c r="M160">
        <v>0</v>
      </c>
      <c r="N160">
        <v>0</v>
      </c>
      <c r="O160" t="s">
        <v>20</v>
      </c>
      <c r="P160" t="s">
        <v>28</v>
      </c>
      <c r="Q160" t="s">
        <v>26</v>
      </c>
    </row>
    <row r="161" spans="1:17" x14ac:dyDescent="0.2">
      <c r="A161" t="s">
        <v>23</v>
      </c>
      <c r="B161">
        <v>27</v>
      </c>
      <c r="C161">
        <v>1.64</v>
      </c>
      <c r="D161">
        <v>78</v>
      </c>
      <c r="E161" t="s">
        <v>18</v>
      </c>
      <c r="F161" t="s">
        <v>18</v>
      </c>
      <c r="G161">
        <v>2</v>
      </c>
      <c r="H161">
        <v>1</v>
      </c>
      <c r="I161" t="s">
        <v>20</v>
      </c>
      <c r="J161" t="s">
        <v>19</v>
      </c>
      <c r="K161">
        <v>2</v>
      </c>
      <c r="L161" t="s">
        <v>19</v>
      </c>
      <c r="M161">
        <v>0</v>
      </c>
      <c r="N161">
        <v>0</v>
      </c>
      <c r="O161" t="s">
        <v>24</v>
      </c>
      <c r="P161" t="s">
        <v>28</v>
      </c>
      <c r="Q161" t="s">
        <v>27</v>
      </c>
    </row>
    <row r="162" spans="1:17" x14ac:dyDescent="0.2">
      <c r="A162" t="s">
        <v>23</v>
      </c>
      <c r="B162">
        <v>20</v>
      </c>
      <c r="C162">
        <v>1.83</v>
      </c>
      <c r="D162">
        <v>72</v>
      </c>
      <c r="E162" t="s">
        <v>18</v>
      </c>
      <c r="F162" t="s">
        <v>19</v>
      </c>
      <c r="G162">
        <v>3</v>
      </c>
      <c r="H162">
        <v>3</v>
      </c>
      <c r="I162" t="s">
        <v>20</v>
      </c>
      <c r="J162" t="s">
        <v>18</v>
      </c>
      <c r="K162">
        <v>1</v>
      </c>
      <c r="L162" t="s">
        <v>19</v>
      </c>
      <c r="M162">
        <v>2</v>
      </c>
      <c r="N162">
        <v>1</v>
      </c>
      <c r="O162" t="s">
        <v>20</v>
      </c>
      <c r="P162" t="s">
        <v>21</v>
      </c>
      <c r="Q162" t="s">
        <v>22</v>
      </c>
    </row>
    <row r="163" spans="1:17" x14ac:dyDescent="0.2">
      <c r="A163" t="s">
        <v>23</v>
      </c>
      <c r="B163">
        <v>55</v>
      </c>
      <c r="C163">
        <v>1.65</v>
      </c>
      <c r="D163">
        <v>80</v>
      </c>
      <c r="E163" t="s">
        <v>19</v>
      </c>
      <c r="F163" t="s">
        <v>18</v>
      </c>
      <c r="G163">
        <v>2</v>
      </c>
      <c r="H163">
        <v>3</v>
      </c>
      <c r="I163" t="s">
        <v>20</v>
      </c>
      <c r="J163" t="s">
        <v>19</v>
      </c>
      <c r="K163">
        <v>2</v>
      </c>
      <c r="L163" t="s">
        <v>19</v>
      </c>
      <c r="M163">
        <v>1</v>
      </c>
      <c r="N163">
        <v>0</v>
      </c>
      <c r="O163" t="s">
        <v>19</v>
      </c>
      <c r="P163" t="s">
        <v>28</v>
      </c>
      <c r="Q163" t="s">
        <v>27</v>
      </c>
    </row>
    <row r="164" spans="1:17" x14ac:dyDescent="0.2">
      <c r="A164" t="s">
        <v>17</v>
      </c>
      <c r="B164">
        <v>21</v>
      </c>
      <c r="C164">
        <v>1.63</v>
      </c>
      <c r="D164">
        <v>60</v>
      </c>
      <c r="E164" t="s">
        <v>18</v>
      </c>
      <c r="F164" t="s">
        <v>18</v>
      </c>
      <c r="G164">
        <v>3</v>
      </c>
      <c r="H164">
        <v>3</v>
      </c>
      <c r="I164" t="s">
        <v>31</v>
      </c>
      <c r="J164" t="s">
        <v>18</v>
      </c>
      <c r="K164">
        <v>2</v>
      </c>
      <c r="L164" t="s">
        <v>19</v>
      </c>
      <c r="M164">
        <v>2</v>
      </c>
      <c r="N164">
        <v>0</v>
      </c>
      <c r="O164" t="s">
        <v>20</v>
      </c>
      <c r="P164" t="s">
        <v>21</v>
      </c>
      <c r="Q164" t="s">
        <v>22</v>
      </c>
    </row>
    <row r="165" spans="1:17" x14ac:dyDescent="0.2">
      <c r="A165" t="s">
        <v>23</v>
      </c>
      <c r="B165">
        <v>25</v>
      </c>
      <c r="C165">
        <v>1.89</v>
      </c>
      <c r="D165">
        <v>75</v>
      </c>
      <c r="E165" t="s">
        <v>19</v>
      </c>
      <c r="F165" t="s">
        <v>19</v>
      </c>
      <c r="G165">
        <v>3</v>
      </c>
      <c r="H165">
        <v>3</v>
      </c>
      <c r="I165" t="s">
        <v>24</v>
      </c>
      <c r="J165" t="s">
        <v>19</v>
      </c>
      <c r="K165">
        <v>2</v>
      </c>
      <c r="L165" t="s">
        <v>18</v>
      </c>
      <c r="M165">
        <v>3</v>
      </c>
      <c r="N165">
        <v>0</v>
      </c>
      <c r="O165" t="s">
        <v>19</v>
      </c>
      <c r="P165" t="s">
        <v>21</v>
      </c>
      <c r="Q165" t="s">
        <v>22</v>
      </c>
    </row>
    <row r="166" spans="1:17" x14ac:dyDescent="0.2">
      <c r="A166" t="s">
        <v>23</v>
      </c>
      <c r="B166">
        <v>35</v>
      </c>
      <c r="C166">
        <v>1.77</v>
      </c>
      <c r="D166">
        <v>85</v>
      </c>
      <c r="E166" t="s">
        <v>18</v>
      </c>
      <c r="F166" t="s">
        <v>19</v>
      </c>
      <c r="G166">
        <v>3</v>
      </c>
      <c r="H166">
        <v>3</v>
      </c>
      <c r="I166" t="s">
        <v>24</v>
      </c>
      <c r="J166" t="s">
        <v>19</v>
      </c>
      <c r="K166">
        <v>3</v>
      </c>
      <c r="L166" t="s">
        <v>19</v>
      </c>
      <c r="M166">
        <v>2</v>
      </c>
      <c r="N166">
        <v>1</v>
      </c>
      <c r="O166" t="s">
        <v>20</v>
      </c>
      <c r="P166" t="s">
        <v>28</v>
      </c>
      <c r="Q166" t="s">
        <v>27</v>
      </c>
    </row>
    <row r="167" spans="1:17" x14ac:dyDescent="0.2">
      <c r="A167" t="s">
        <v>23</v>
      </c>
      <c r="B167">
        <v>30</v>
      </c>
      <c r="C167">
        <v>1.92</v>
      </c>
      <c r="D167">
        <v>130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18</v>
      </c>
      <c r="K167">
        <v>1</v>
      </c>
      <c r="L167" t="s">
        <v>19</v>
      </c>
      <c r="M167">
        <v>1</v>
      </c>
      <c r="N167">
        <v>0</v>
      </c>
      <c r="O167" t="s">
        <v>20</v>
      </c>
      <c r="P167" t="s">
        <v>21</v>
      </c>
      <c r="Q167" t="s">
        <v>33</v>
      </c>
    </row>
    <row r="168" spans="1:17" x14ac:dyDescent="0.2">
      <c r="A168" t="s">
        <v>17</v>
      </c>
      <c r="B168">
        <v>29</v>
      </c>
      <c r="C168">
        <v>1.74</v>
      </c>
      <c r="D168">
        <v>72</v>
      </c>
      <c r="E168" t="s">
        <v>18</v>
      </c>
      <c r="F168" t="s">
        <v>19</v>
      </c>
      <c r="G168">
        <v>3</v>
      </c>
      <c r="H168">
        <v>3</v>
      </c>
      <c r="I168" t="s">
        <v>31</v>
      </c>
      <c r="J168" t="s">
        <v>19</v>
      </c>
      <c r="K168">
        <v>2</v>
      </c>
      <c r="L168" t="s">
        <v>19</v>
      </c>
      <c r="M168">
        <v>0</v>
      </c>
      <c r="N168">
        <v>0</v>
      </c>
      <c r="O168" t="s">
        <v>20</v>
      </c>
      <c r="P168" t="s">
        <v>28</v>
      </c>
      <c r="Q168" t="s">
        <v>22</v>
      </c>
    </row>
    <row r="169" spans="1:17" x14ac:dyDescent="0.2">
      <c r="A169" t="s">
        <v>23</v>
      </c>
      <c r="B169">
        <v>20</v>
      </c>
      <c r="C169">
        <v>1.65</v>
      </c>
      <c r="D169">
        <v>80</v>
      </c>
      <c r="E169" t="s">
        <v>18</v>
      </c>
      <c r="F169" t="s">
        <v>19</v>
      </c>
      <c r="G169">
        <v>2</v>
      </c>
      <c r="H169">
        <v>3</v>
      </c>
      <c r="I169" t="s">
        <v>20</v>
      </c>
      <c r="J169" t="s">
        <v>19</v>
      </c>
      <c r="K169">
        <v>2</v>
      </c>
      <c r="L169" t="s">
        <v>19</v>
      </c>
      <c r="M169">
        <v>1</v>
      </c>
      <c r="N169">
        <v>2</v>
      </c>
      <c r="O169" t="s">
        <v>19</v>
      </c>
      <c r="P169" t="s">
        <v>25</v>
      </c>
      <c r="Q169" t="s">
        <v>27</v>
      </c>
    </row>
    <row r="170" spans="1:17" x14ac:dyDescent="0.2">
      <c r="A170" t="s">
        <v>17</v>
      </c>
      <c r="B170">
        <v>22</v>
      </c>
      <c r="C170">
        <v>1.73</v>
      </c>
      <c r="D170">
        <v>79</v>
      </c>
      <c r="E170" t="s">
        <v>18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1</v>
      </c>
      <c r="N170">
        <v>0</v>
      </c>
      <c r="O170" t="s">
        <v>20</v>
      </c>
      <c r="P170" t="s">
        <v>21</v>
      </c>
      <c r="Q170" t="s">
        <v>26</v>
      </c>
    </row>
    <row r="171" spans="1:17" x14ac:dyDescent="0.2">
      <c r="A171" t="s">
        <v>17</v>
      </c>
      <c r="B171">
        <v>45</v>
      </c>
      <c r="C171">
        <v>1.63</v>
      </c>
      <c r="D171">
        <v>77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1</v>
      </c>
      <c r="L171" t="s">
        <v>19</v>
      </c>
      <c r="M171">
        <v>0</v>
      </c>
      <c r="N171">
        <v>0</v>
      </c>
      <c r="O171" t="s">
        <v>19</v>
      </c>
      <c r="P171" t="s">
        <v>28</v>
      </c>
      <c r="Q171" t="s">
        <v>27</v>
      </c>
    </row>
    <row r="172" spans="1:17" x14ac:dyDescent="0.2">
      <c r="A172" t="s">
        <v>23</v>
      </c>
      <c r="B172">
        <v>22</v>
      </c>
      <c r="C172">
        <v>1.72</v>
      </c>
      <c r="D172">
        <v>82</v>
      </c>
      <c r="E172" t="s">
        <v>19</v>
      </c>
      <c r="F172" t="s">
        <v>18</v>
      </c>
      <c r="G172">
        <v>2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2</v>
      </c>
      <c r="N172">
        <v>1</v>
      </c>
      <c r="O172" t="s">
        <v>20</v>
      </c>
      <c r="P172" t="s">
        <v>21</v>
      </c>
      <c r="Q172" t="s">
        <v>27</v>
      </c>
    </row>
    <row r="173" spans="1:17" x14ac:dyDescent="0.2">
      <c r="A173" t="s">
        <v>23</v>
      </c>
      <c r="B173">
        <v>18</v>
      </c>
      <c r="C173">
        <v>1.6</v>
      </c>
      <c r="D173">
        <v>58</v>
      </c>
      <c r="E173" t="s">
        <v>18</v>
      </c>
      <c r="F173" t="s">
        <v>18</v>
      </c>
      <c r="G173">
        <v>2</v>
      </c>
      <c r="H173">
        <v>3</v>
      </c>
      <c r="I173" t="s">
        <v>24</v>
      </c>
      <c r="J173" t="s">
        <v>19</v>
      </c>
      <c r="K173">
        <v>2</v>
      </c>
      <c r="L173" t="s">
        <v>19</v>
      </c>
      <c r="M173">
        <v>1</v>
      </c>
      <c r="N173">
        <v>0</v>
      </c>
      <c r="O173" t="s">
        <v>20</v>
      </c>
      <c r="P173" t="s">
        <v>21</v>
      </c>
      <c r="Q173" t="s">
        <v>22</v>
      </c>
    </row>
    <row r="174" spans="1:17" x14ac:dyDescent="0.2">
      <c r="A174" t="s">
        <v>17</v>
      </c>
      <c r="B174">
        <v>23</v>
      </c>
      <c r="C174">
        <v>1.65</v>
      </c>
      <c r="D174">
        <v>59</v>
      </c>
      <c r="E174" t="s">
        <v>19</v>
      </c>
      <c r="F174" t="s">
        <v>19</v>
      </c>
      <c r="G174">
        <v>3</v>
      </c>
      <c r="H174">
        <v>1</v>
      </c>
      <c r="I174" t="s">
        <v>20</v>
      </c>
      <c r="J174" t="s">
        <v>19</v>
      </c>
      <c r="K174">
        <v>2</v>
      </c>
      <c r="L174" t="s">
        <v>19</v>
      </c>
      <c r="M174">
        <v>1</v>
      </c>
      <c r="N174">
        <v>2</v>
      </c>
      <c r="O174" t="s">
        <v>20</v>
      </c>
      <c r="P174" t="s">
        <v>21</v>
      </c>
      <c r="Q174" t="s">
        <v>22</v>
      </c>
    </row>
    <row r="175" spans="1:17" x14ac:dyDescent="0.2">
      <c r="A175" t="s">
        <v>23</v>
      </c>
      <c r="B175">
        <v>18</v>
      </c>
      <c r="C175">
        <v>1.74</v>
      </c>
      <c r="D175">
        <v>64</v>
      </c>
      <c r="E175" t="s">
        <v>19</v>
      </c>
      <c r="F175" t="s">
        <v>19</v>
      </c>
      <c r="G175">
        <v>3</v>
      </c>
      <c r="H175">
        <v>3</v>
      </c>
      <c r="I175" t="s">
        <v>20</v>
      </c>
      <c r="J175" t="s">
        <v>19</v>
      </c>
      <c r="K175">
        <v>2</v>
      </c>
      <c r="L175" t="s">
        <v>18</v>
      </c>
      <c r="M175">
        <v>0</v>
      </c>
      <c r="N175">
        <v>1</v>
      </c>
      <c r="O175" t="s">
        <v>19</v>
      </c>
      <c r="P175" t="s">
        <v>21</v>
      </c>
      <c r="Q175" t="s">
        <v>22</v>
      </c>
    </row>
    <row r="176" spans="1:17" x14ac:dyDescent="0.2">
      <c r="A176" t="s">
        <v>23</v>
      </c>
      <c r="B176">
        <v>21</v>
      </c>
      <c r="C176">
        <v>1.62</v>
      </c>
      <c r="D176">
        <v>70</v>
      </c>
      <c r="E176" t="s">
        <v>19</v>
      </c>
      <c r="F176" t="s">
        <v>18</v>
      </c>
      <c r="G176">
        <v>2</v>
      </c>
      <c r="H176">
        <v>1</v>
      </c>
      <c r="I176" t="s">
        <v>19</v>
      </c>
      <c r="J176" t="s">
        <v>19</v>
      </c>
      <c r="K176">
        <v>3</v>
      </c>
      <c r="L176" t="s">
        <v>19</v>
      </c>
      <c r="M176">
        <v>1</v>
      </c>
      <c r="N176">
        <v>0</v>
      </c>
      <c r="O176" t="s">
        <v>20</v>
      </c>
      <c r="P176" t="s">
        <v>21</v>
      </c>
      <c r="Q176" t="s">
        <v>26</v>
      </c>
    </row>
    <row r="177" spans="1:17" x14ac:dyDescent="0.2">
      <c r="A177" t="s">
        <v>17</v>
      </c>
      <c r="B177">
        <v>38</v>
      </c>
      <c r="C177">
        <v>1.64</v>
      </c>
      <c r="D177">
        <v>59.8</v>
      </c>
      <c r="E177" t="s">
        <v>18</v>
      </c>
      <c r="F177" t="s">
        <v>18</v>
      </c>
      <c r="G177">
        <v>2</v>
      </c>
      <c r="H177">
        <v>3</v>
      </c>
      <c r="I177" t="s">
        <v>20</v>
      </c>
      <c r="J177" t="s">
        <v>19</v>
      </c>
      <c r="K177">
        <v>2</v>
      </c>
      <c r="L177" t="s">
        <v>19</v>
      </c>
      <c r="M177">
        <v>2</v>
      </c>
      <c r="N177">
        <v>0</v>
      </c>
      <c r="O177" t="s">
        <v>19</v>
      </c>
      <c r="P177" t="s">
        <v>21</v>
      </c>
      <c r="Q177" t="s">
        <v>22</v>
      </c>
    </row>
    <row r="178" spans="1:17" x14ac:dyDescent="0.2">
      <c r="A178" t="s">
        <v>17</v>
      </c>
      <c r="B178">
        <v>18</v>
      </c>
      <c r="C178">
        <v>1.57</v>
      </c>
      <c r="D178">
        <v>48</v>
      </c>
      <c r="E178" t="s">
        <v>18</v>
      </c>
      <c r="F178" t="s">
        <v>18</v>
      </c>
      <c r="G178">
        <v>3</v>
      </c>
      <c r="H178">
        <v>1</v>
      </c>
      <c r="I178" t="s">
        <v>31</v>
      </c>
      <c r="J178" t="s">
        <v>19</v>
      </c>
      <c r="K178">
        <v>1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</row>
    <row r="179" spans="1:17" x14ac:dyDescent="0.2">
      <c r="A179" t="s">
        <v>23</v>
      </c>
      <c r="B179">
        <v>22</v>
      </c>
      <c r="C179">
        <v>1.84</v>
      </c>
      <c r="D179">
        <v>84</v>
      </c>
      <c r="E179" t="s">
        <v>18</v>
      </c>
      <c r="F179" t="s">
        <v>18</v>
      </c>
      <c r="G179">
        <v>3</v>
      </c>
      <c r="H179">
        <v>3</v>
      </c>
      <c r="I179" t="s">
        <v>24</v>
      </c>
      <c r="J179" t="s">
        <v>19</v>
      </c>
      <c r="K179">
        <v>2</v>
      </c>
      <c r="L179" t="s">
        <v>18</v>
      </c>
      <c r="M179">
        <v>3</v>
      </c>
      <c r="N179">
        <v>0</v>
      </c>
      <c r="O179" t="s">
        <v>20</v>
      </c>
      <c r="P179" t="s">
        <v>21</v>
      </c>
      <c r="Q179" t="s">
        <v>22</v>
      </c>
    </row>
    <row r="180" spans="1:17" x14ac:dyDescent="0.2">
      <c r="A180" t="s">
        <v>23</v>
      </c>
      <c r="B180">
        <v>26</v>
      </c>
      <c r="C180">
        <v>1.91</v>
      </c>
      <c r="D180">
        <v>84</v>
      </c>
      <c r="E180" t="s">
        <v>18</v>
      </c>
      <c r="F180" t="s">
        <v>18</v>
      </c>
      <c r="G180">
        <v>3</v>
      </c>
      <c r="H180">
        <v>3</v>
      </c>
      <c r="I180" t="s">
        <v>24</v>
      </c>
      <c r="J180" t="s">
        <v>18</v>
      </c>
      <c r="K180">
        <v>2</v>
      </c>
      <c r="L180" t="s">
        <v>19</v>
      </c>
      <c r="M180">
        <v>2</v>
      </c>
      <c r="N180">
        <v>2</v>
      </c>
      <c r="O180" t="s">
        <v>24</v>
      </c>
      <c r="P180" t="s">
        <v>21</v>
      </c>
      <c r="Q180" t="s">
        <v>22</v>
      </c>
    </row>
    <row r="181" spans="1:17" x14ac:dyDescent="0.2">
      <c r="A181" t="s">
        <v>23</v>
      </c>
      <c r="B181">
        <v>21</v>
      </c>
      <c r="C181">
        <v>1.62</v>
      </c>
      <c r="D181">
        <v>70</v>
      </c>
      <c r="E181" t="s">
        <v>19</v>
      </c>
      <c r="F181" t="s">
        <v>18</v>
      </c>
      <c r="G181">
        <v>2</v>
      </c>
      <c r="H181">
        <v>1</v>
      </c>
      <c r="I181" t="s">
        <v>19</v>
      </c>
      <c r="J181" t="s">
        <v>19</v>
      </c>
      <c r="K181">
        <v>3</v>
      </c>
      <c r="L181" t="s">
        <v>19</v>
      </c>
      <c r="M181">
        <v>1</v>
      </c>
      <c r="N181">
        <v>0</v>
      </c>
      <c r="O181" t="s">
        <v>20</v>
      </c>
      <c r="P181" t="s">
        <v>21</v>
      </c>
      <c r="Q181" t="s">
        <v>26</v>
      </c>
    </row>
    <row r="182" spans="1:17" x14ac:dyDescent="0.2">
      <c r="A182" t="s">
        <v>17</v>
      </c>
      <c r="B182">
        <v>18</v>
      </c>
      <c r="C182">
        <v>1.58</v>
      </c>
      <c r="D182">
        <v>48</v>
      </c>
      <c r="E182" t="s">
        <v>19</v>
      </c>
      <c r="F182" t="s">
        <v>18</v>
      </c>
      <c r="G182">
        <v>2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19</v>
      </c>
      <c r="P182" t="s">
        <v>21</v>
      </c>
      <c r="Q182" t="s">
        <v>22</v>
      </c>
    </row>
    <row r="183" spans="1:17" x14ac:dyDescent="0.2">
      <c r="A183" t="s">
        <v>17</v>
      </c>
      <c r="B183">
        <v>23</v>
      </c>
      <c r="C183">
        <v>1.68</v>
      </c>
      <c r="D183">
        <v>67</v>
      </c>
      <c r="E183" t="s">
        <v>18</v>
      </c>
      <c r="F183" t="s">
        <v>18</v>
      </c>
      <c r="G183">
        <v>2</v>
      </c>
      <c r="H183">
        <v>3</v>
      </c>
      <c r="I183" t="s">
        <v>24</v>
      </c>
      <c r="J183" t="s">
        <v>19</v>
      </c>
      <c r="K183">
        <v>1</v>
      </c>
      <c r="L183" t="s">
        <v>19</v>
      </c>
      <c r="M183">
        <v>0</v>
      </c>
      <c r="N183">
        <v>0</v>
      </c>
      <c r="O183" t="s">
        <v>20</v>
      </c>
      <c r="P183" t="s">
        <v>21</v>
      </c>
      <c r="Q183" t="s">
        <v>22</v>
      </c>
    </row>
    <row r="184" spans="1:17" x14ac:dyDescent="0.2">
      <c r="A184" t="s">
        <v>17</v>
      </c>
      <c r="B184">
        <v>22</v>
      </c>
      <c r="C184">
        <v>1.68</v>
      </c>
      <c r="D184">
        <v>52</v>
      </c>
      <c r="E184" t="s">
        <v>19</v>
      </c>
      <c r="F184" t="s">
        <v>18</v>
      </c>
      <c r="G184">
        <v>3</v>
      </c>
      <c r="H184">
        <v>3</v>
      </c>
      <c r="I184" t="s">
        <v>24</v>
      </c>
      <c r="J184" t="s">
        <v>19</v>
      </c>
      <c r="K184">
        <v>2</v>
      </c>
      <c r="L184" t="s">
        <v>19</v>
      </c>
      <c r="M184">
        <v>0</v>
      </c>
      <c r="N184">
        <v>1</v>
      </c>
      <c r="O184" t="s">
        <v>19</v>
      </c>
      <c r="P184" t="s">
        <v>21</v>
      </c>
      <c r="Q184" t="s">
        <v>32</v>
      </c>
    </row>
    <row r="185" spans="1:17" x14ac:dyDescent="0.2">
      <c r="A185" t="s">
        <v>17</v>
      </c>
      <c r="B185">
        <v>23</v>
      </c>
      <c r="C185">
        <v>1.48</v>
      </c>
      <c r="D185">
        <v>60</v>
      </c>
      <c r="E185" t="s">
        <v>18</v>
      </c>
      <c r="F185" t="s">
        <v>18</v>
      </c>
      <c r="G185">
        <v>2</v>
      </c>
      <c r="H185">
        <v>1</v>
      </c>
      <c r="I185" t="s">
        <v>20</v>
      </c>
      <c r="J185" t="s">
        <v>18</v>
      </c>
      <c r="K185">
        <v>1</v>
      </c>
      <c r="L185" t="s">
        <v>19</v>
      </c>
      <c r="M185">
        <v>0</v>
      </c>
      <c r="N185">
        <v>0</v>
      </c>
      <c r="O185" t="s">
        <v>20</v>
      </c>
      <c r="P185" t="s">
        <v>21</v>
      </c>
      <c r="Q185" t="s">
        <v>27</v>
      </c>
    </row>
    <row r="186" spans="1:17" x14ac:dyDescent="0.2">
      <c r="A186" t="s">
        <v>23</v>
      </c>
      <c r="B186">
        <v>21</v>
      </c>
      <c r="C186">
        <v>1.62</v>
      </c>
      <c r="D186">
        <v>70</v>
      </c>
      <c r="E186" t="s">
        <v>19</v>
      </c>
      <c r="F186" t="s">
        <v>18</v>
      </c>
      <c r="G186">
        <v>2</v>
      </c>
      <c r="H186">
        <v>1</v>
      </c>
      <c r="I186" t="s">
        <v>19</v>
      </c>
      <c r="J186" t="s">
        <v>19</v>
      </c>
      <c r="K186">
        <v>3</v>
      </c>
      <c r="L186" t="s">
        <v>19</v>
      </c>
      <c r="M186">
        <v>1</v>
      </c>
      <c r="N186">
        <v>0</v>
      </c>
      <c r="O186" t="s">
        <v>20</v>
      </c>
      <c r="P186" t="s">
        <v>21</v>
      </c>
      <c r="Q186" t="s">
        <v>26</v>
      </c>
    </row>
    <row r="187" spans="1:17" x14ac:dyDescent="0.2">
      <c r="A187" t="s">
        <v>17</v>
      </c>
      <c r="B187">
        <v>31</v>
      </c>
      <c r="C187">
        <v>1.62</v>
      </c>
      <c r="D187">
        <v>68</v>
      </c>
      <c r="E187" t="s">
        <v>19</v>
      </c>
      <c r="F187" t="s">
        <v>19</v>
      </c>
      <c r="G187">
        <v>3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28</v>
      </c>
      <c r="Q187" t="s">
        <v>26</v>
      </c>
    </row>
    <row r="188" spans="1:17" x14ac:dyDescent="0.2">
      <c r="A188" t="s">
        <v>23</v>
      </c>
      <c r="B188">
        <v>39</v>
      </c>
      <c r="C188">
        <v>1.78</v>
      </c>
      <c r="D188">
        <v>96</v>
      </c>
      <c r="E188" t="s">
        <v>18</v>
      </c>
      <c r="F188" t="s">
        <v>19</v>
      </c>
      <c r="G188">
        <v>2</v>
      </c>
      <c r="H188">
        <v>3</v>
      </c>
      <c r="I188" t="s">
        <v>20</v>
      </c>
      <c r="J188" t="s">
        <v>19</v>
      </c>
      <c r="K188">
        <v>3</v>
      </c>
      <c r="L188" t="s">
        <v>19</v>
      </c>
      <c r="M188">
        <v>1</v>
      </c>
      <c r="N188">
        <v>0</v>
      </c>
      <c r="O188" t="s">
        <v>24</v>
      </c>
      <c r="P188" t="s">
        <v>28</v>
      </c>
      <c r="Q188" t="s">
        <v>30</v>
      </c>
    </row>
    <row r="189" spans="1:17" x14ac:dyDescent="0.2">
      <c r="A189" t="s">
        <v>23</v>
      </c>
      <c r="B189">
        <v>25</v>
      </c>
      <c r="C189">
        <v>1.78</v>
      </c>
      <c r="D189">
        <v>98</v>
      </c>
      <c r="E189" t="s">
        <v>18</v>
      </c>
      <c r="F189" t="s">
        <v>19</v>
      </c>
      <c r="G189">
        <v>2</v>
      </c>
      <c r="H189">
        <v>3</v>
      </c>
      <c r="I189" t="s">
        <v>20</v>
      </c>
      <c r="J189" t="s">
        <v>19</v>
      </c>
      <c r="K189">
        <v>3</v>
      </c>
      <c r="L189" t="s">
        <v>19</v>
      </c>
      <c r="M189">
        <v>3</v>
      </c>
      <c r="N189">
        <v>2</v>
      </c>
      <c r="O189" t="s">
        <v>19</v>
      </c>
      <c r="P189" t="s">
        <v>21</v>
      </c>
      <c r="Q189" t="s">
        <v>30</v>
      </c>
    </row>
    <row r="190" spans="1:17" x14ac:dyDescent="0.2">
      <c r="A190" t="s">
        <v>23</v>
      </c>
      <c r="B190">
        <v>35</v>
      </c>
      <c r="C190">
        <v>1.78</v>
      </c>
      <c r="D190">
        <v>105</v>
      </c>
      <c r="E190" t="s">
        <v>18</v>
      </c>
      <c r="F190" t="s">
        <v>18</v>
      </c>
      <c r="G190">
        <v>3</v>
      </c>
      <c r="H190">
        <v>1</v>
      </c>
      <c r="I190" t="s">
        <v>19</v>
      </c>
      <c r="J190" t="s">
        <v>19</v>
      </c>
      <c r="K190">
        <v>3</v>
      </c>
      <c r="L190" t="s">
        <v>19</v>
      </c>
      <c r="M190">
        <v>3</v>
      </c>
      <c r="N190">
        <v>1</v>
      </c>
      <c r="O190" t="s">
        <v>24</v>
      </c>
      <c r="P190" t="s">
        <v>28</v>
      </c>
      <c r="Q190" t="s">
        <v>30</v>
      </c>
    </row>
    <row r="191" spans="1:17" x14ac:dyDescent="0.2">
      <c r="A191" t="s">
        <v>17</v>
      </c>
      <c r="B191">
        <v>33</v>
      </c>
      <c r="C191">
        <v>1.63</v>
      </c>
      <c r="D191">
        <v>62</v>
      </c>
      <c r="E191" t="s">
        <v>18</v>
      </c>
      <c r="F191" t="s">
        <v>18</v>
      </c>
      <c r="G191">
        <v>2</v>
      </c>
      <c r="H191">
        <v>3</v>
      </c>
      <c r="I191" t="s">
        <v>20</v>
      </c>
      <c r="J191" t="s">
        <v>19</v>
      </c>
      <c r="K191">
        <v>2</v>
      </c>
      <c r="L191" t="s">
        <v>19</v>
      </c>
      <c r="M191">
        <v>1</v>
      </c>
      <c r="N191">
        <v>1</v>
      </c>
      <c r="O191" t="s">
        <v>19</v>
      </c>
      <c r="P191" t="s">
        <v>21</v>
      </c>
      <c r="Q191" t="s">
        <v>22</v>
      </c>
    </row>
    <row r="192" spans="1:17" x14ac:dyDescent="0.2">
      <c r="A192" t="s">
        <v>23</v>
      </c>
      <c r="B192">
        <v>20</v>
      </c>
      <c r="C192">
        <v>1.6</v>
      </c>
      <c r="D192">
        <v>56</v>
      </c>
      <c r="E192" t="s">
        <v>19</v>
      </c>
      <c r="F192" t="s">
        <v>18</v>
      </c>
      <c r="G192">
        <v>2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0</v>
      </c>
      <c r="O192" t="s">
        <v>20</v>
      </c>
      <c r="P192" t="s">
        <v>21</v>
      </c>
      <c r="Q192" t="s">
        <v>22</v>
      </c>
    </row>
    <row r="193" spans="1:17" x14ac:dyDescent="0.2">
      <c r="A193" t="s">
        <v>23</v>
      </c>
      <c r="B193">
        <v>26</v>
      </c>
      <c r="C193">
        <v>1.75</v>
      </c>
      <c r="D193">
        <v>80</v>
      </c>
      <c r="E193" t="s">
        <v>18</v>
      </c>
      <c r="F193" t="s">
        <v>18</v>
      </c>
      <c r="G193">
        <v>3</v>
      </c>
      <c r="H193">
        <v>1</v>
      </c>
      <c r="I193" t="s">
        <v>24</v>
      </c>
      <c r="J193" t="s">
        <v>18</v>
      </c>
      <c r="K193">
        <v>2</v>
      </c>
      <c r="L193" t="s">
        <v>18</v>
      </c>
      <c r="M193">
        <v>2</v>
      </c>
      <c r="N193">
        <v>0</v>
      </c>
      <c r="O193" t="s">
        <v>20</v>
      </c>
      <c r="P193" t="s">
        <v>21</v>
      </c>
      <c r="Q193" t="s">
        <v>26</v>
      </c>
    </row>
    <row r="194" spans="1:17" x14ac:dyDescent="0.2">
      <c r="A194" t="s">
        <v>23</v>
      </c>
      <c r="B194">
        <v>20</v>
      </c>
      <c r="C194">
        <v>1.83</v>
      </c>
      <c r="D194">
        <v>85</v>
      </c>
      <c r="E194" t="s">
        <v>18</v>
      </c>
      <c r="F194" t="s">
        <v>19</v>
      </c>
      <c r="G194">
        <v>3</v>
      </c>
      <c r="H194">
        <v>3</v>
      </c>
      <c r="I194" t="s">
        <v>20</v>
      </c>
      <c r="J194" t="s">
        <v>19</v>
      </c>
      <c r="K194">
        <v>3</v>
      </c>
      <c r="L194" t="s">
        <v>18</v>
      </c>
      <c r="M194">
        <v>3</v>
      </c>
      <c r="N194">
        <v>0</v>
      </c>
      <c r="O194" t="s">
        <v>20</v>
      </c>
      <c r="P194" t="s">
        <v>28</v>
      </c>
      <c r="Q194" t="s">
        <v>26</v>
      </c>
    </row>
    <row r="195" spans="1:17" x14ac:dyDescent="0.2">
      <c r="A195" t="s">
        <v>23</v>
      </c>
      <c r="B195">
        <v>20</v>
      </c>
      <c r="C195">
        <v>1.78</v>
      </c>
      <c r="D195">
        <v>68</v>
      </c>
      <c r="E195" t="s">
        <v>19</v>
      </c>
      <c r="F195" t="s">
        <v>19</v>
      </c>
      <c r="G195">
        <v>2</v>
      </c>
      <c r="H195">
        <v>1</v>
      </c>
      <c r="I195" t="s">
        <v>24</v>
      </c>
      <c r="J195" t="s">
        <v>19</v>
      </c>
      <c r="K195">
        <v>3</v>
      </c>
      <c r="L195" t="s">
        <v>18</v>
      </c>
      <c r="M195">
        <v>2</v>
      </c>
      <c r="N195">
        <v>1</v>
      </c>
      <c r="O195" t="s">
        <v>19</v>
      </c>
      <c r="P195" t="s">
        <v>21</v>
      </c>
      <c r="Q195" t="s">
        <v>22</v>
      </c>
    </row>
    <row r="196" spans="1:17" x14ac:dyDescent="0.2">
      <c r="A196" t="s">
        <v>17</v>
      </c>
      <c r="B196">
        <v>23</v>
      </c>
      <c r="C196">
        <v>1.6</v>
      </c>
      <c r="D196">
        <v>83</v>
      </c>
      <c r="E196" t="s">
        <v>18</v>
      </c>
      <c r="F196" t="s">
        <v>18</v>
      </c>
      <c r="G196">
        <v>3</v>
      </c>
      <c r="H196">
        <v>3</v>
      </c>
      <c r="I196" t="s">
        <v>24</v>
      </c>
      <c r="J196" t="s">
        <v>19</v>
      </c>
      <c r="K196">
        <v>3</v>
      </c>
      <c r="L196" t="s">
        <v>19</v>
      </c>
      <c r="M196">
        <v>3</v>
      </c>
      <c r="N196">
        <v>0</v>
      </c>
      <c r="O196" t="s">
        <v>19</v>
      </c>
      <c r="P196" t="s">
        <v>21</v>
      </c>
      <c r="Q196" t="s">
        <v>30</v>
      </c>
    </row>
    <row r="197" spans="1:17" x14ac:dyDescent="0.2">
      <c r="A197" t="s">
        <v>23</v>
      </c>
      <c r="B197">
        <v>19</v>
      </c>
      <c r="C197">
        <v>1.8</v>
      </c>
      <c r="D197">
        <v>85</v>
      </c>
      <c r="E197" t="s">
        <v>18</v>
      </c>
      <c r="F197" t="s">
        <v>18</v>
      </c>
      <c r="G197">
        <v>3</v>
      </c>
      <c r="H197">
        <v>3</v>
      </c>
      <c r="I197" t="s">
        <v>20</v>
      </c>
      <c r="J197" t="s">
        <v>19</v>
      </c>
      <c r="K197">
        <v>2</v>
      </c>
      <c r="L197" t="s">
        <v>19</v>
      </c>
      <c r="M197">
        <v>1</v>
      </c>
      <c r="N197">
        <v>1</v>
      </c>
      <c r="O197" t="s">
        <v>20</v>
      </c>
      <c r="P197" t="s">
        <v>25</v>
      </c>
      <c r="Q197" t="s">
        <v>26</v>
      </c>
    </row>
    <row r="198" spans="1:17" x14ac:dyDescent="0.2">
      <c r="A198" t="s">
        <v>23</v>
      </c>
      <c r="B198">
        <v>22</v>
      </c>
      <c r="C198">
        <v>1.75</v>
      </c>
      <c r="D198">
        <v>74</v>
      </c>
      <c r="E198" t="s">
        <v>18</v>
      </c>
      <c r="F198" t="s">
        <v>19</v>
      </c>
      <c r="G198">
        <v>2</v>
      </c>
      <c r="H198">
        <v>3</v>
      </c>
      <c r="I198" t="s">
        <v>20</v>
      </c>
      <c r="J198" t="s">
        <v>19</v>
      </c>
      <c r="K198">
        <v>2</v>
      </c>
      <c r="L198" t="s">
        <v>19</v>
      </c>
      <c r="M198">
        <v>1</v>
      </c>
      <c r="N198">
        <v>2</v>
      </c>
      <c r="O198" t="s">
        <v>20</v>
      </c>
      <c r="P198" t="s">
        <v>34</v>
      </c>
      <c r="Q198" t="s">
        <v>22</v>
      </c>
    </row>
    <row r="199" spans="1:17" x14ac:dyDescent="0.2">
      <c r="A199" t="s">
        <v>23</v>
      </c>
      <c r="B199">
        <v>41</v>
      </c>
      <c r="C199">
        <v>1.75</v>
      </c>
      <c r="D199">
        <v>118</v>
      </c>
      <c r="E199" t="s">
        <v>18</v>
      </c>
      <c r="F199" t="s">
        <v>18</v>
      </c>
      <c r="G199">
        <v>2</v>
      </c>
      <c r="H199">
        <v>3</v>
      </c>
      <c r="I199" t="s">
        <v>20</v>
      </c>
      <c r="J199" t="s">
        <v>19</v>
      </c>
      <c r="K199">
        <v>2</v>
      </c>
      <c r="L199" t="s">
        <v>19</v>
      </c>
      <c r="M199">
        <v>0</v>
      </c>
      <c r="N199">
        <v>0</v>
      </c>
      <c r="O199" t="s">
        <v>20</v>
      </c>
      <c r="P199" t="s">
        <v>34</v>
      </c>
      <c r="Q199" t="s">
        <v>33</v>
      </c>
    </row>
    <row r="200" spans="1:17" x14ac:dyDescent="0.2">
      <c r="A200" t="s">
        <v>17</v>
      </c>
      <c r="B200">
        <v>18</v>
      </c>
      <c r="C200">
        <v>1.59</v>
      </c>
      <c r="D200">
        <v>40</v>
      </c>
      <c r="E200" t="s">
        <v>18</v>
      </c>
      <c r="F200" t="s">
        <v>18</v>
      </c>
      <c r="G200">
        <v>2</v>
      </c>
      <c r="H200">
        <v>1</v>
      </c>
      <c r="I200" t="s">
        <v>24</v>
      </c>
      <c r="J200" t="s">
        <v>19</v>
      </c>
      <c r="K200">
        <v>1</v>
      </c>
      <c r="L200" t="s">
        <v>19</v>
      </c>
      <c r="M200">
        <v>0</v>
      </c>
      <c r="N200">
        <v>2</v>
      </c>
      <c r="O200" t="s">
        <v>19</v>
      </c>
      <c r="P200" t="s">
        <v>21</v>
      </c>
      <c r="Q200" t="s">
        <v>32</v>
      </c>
    </row>
    <row r="201" spans="1:17" x14ac:dyDescent="0.2">
      <c r="A201" t="s">
        <v>17</v>
      </c>
      <c r="B201">
        <v>23</v>
      </c>
      <c r="C201">
        <v>1.66</v>
      </c>
      <c r="D201">
        <v>60</v>
      </c>
      <c r="E201" t="s">
        <v>18</v>
      </c>
      <c r="F201" t="s">
        <v>18</v>
      </c>
      <c r="G201">
        <v>2</v>
      </c>
      <c r="H201">
        <v>1</v>
      </c>
      <c r="I201" t="s">
        <v>20</v>
      </c>
      <c r="J201" t="s">
        <v>19</v>
      </c>
      <c r="K201">
        <v>1</v>
      </c>
      <c r="L201" t="s">
        <v>19</v>
      </c>
      <c r="M201">
        <v>1</v>
      </c>
      <c r="N201">
        <v>1</v>
      </c>
      <c r="O201" t="s">
        <v>20</v>
      </c>
      <c r="P201" t="s">
        <v>21</v>
      </c>
      <c r="Q201" t="s">
        <v>22</v>
      </c>
    </row>
    <row r="202" spans="1:17" x14ac:dyDescent="0.2">
      <c r="A202" t="s">
        <v>17</v>
      </c>
      <c r="B202">
        <v>23</v>
      </c>
      <c r="C202">
        <v>1.63</v>
      </c>
      <c r="D202">
        <v>83</v>
      </c>
      <c r="E202" t="s">
        <v>18</v>
      </c>
      <c r="F202" t="s">
        <v>19</v>
      </c>
      <c r="G202">
        <v>3</v>
      </c>
      <c r="H202">
        <v>1</v>
      </c>
      <c r="I202" t="s">
        <v>20</v>
      </c>
      <c r="J202" t="s">
        <v>18</v>
      </c>
      <c r="K202">
        <v>3</v>
      </c>
      <c r="L202" t="s">
        <v>19</v>
      </c>
      <c r="M202">
        <v>1</v>
      </c>
      <c r="N202">
        <v>2</v>
      </c>
      <c r="O202" t="s">
        <v>20</v>
      </c>
      <c r="P202" t="s">
        <v>21</v>
      </c>
      <c r="Q202" t="s">
        <v>30</v>
      </c>
    </row>
    <row r="203" spans="1:17" x14ac:dyDescent="0.2">
      <c r="A203" t="s">
        <v>17</v>
      </c>
      <c r="B203">
        <v>41</v>
      </c>
      <c r="C203">
        <v>1.54</v>
      </c>
      <c r="D203">
        <v>80</v>
      </c>
      <c r="E203" t="s">
        <v>18</v>
      </c>
      <c r="F203" t="s">
        <v>18</v>
      </c>
      <c r="G203">
        <v>2</v>
      </c>
      <c r="H203">
        <v>3</v>
      </c>
      <c r="I203" t="s">
        <v>31</v>
      </c>
      <c r="J203" t="s">
        <v>19</v>
      </c>
      <c r="K203">
        <v>1</v>
      </c>
      <c r="L203" t="s">
        <v>19</v>
      </c>
      <c r="M203">
        <v>0</v>
      </c>
      <c r="N203">
        <v>0</v>
      </c>
      <c r="O203" t="s">
        <v>20</v>
      </c>
      <c r="P203" t="s">
        <v>28</v>
      </c>
      <c r="Q203" t="s">
        <v>30</v>
      </c>
    </row>
    <row r="204" spans="1:17" x14ac:dyDescent="0.2">
      <c r="A204" t="s">
        <v>17</v>
      </c>
      <c r="B204">
        <v>26</v>
      </c>
      <c r="C204">
        <v>1.56</v>
      </c>
      <c r="D204">
        <v>102</v>
      </c>
      <c r="E204" t="s">
        <v>18</v>
      </c>
      <c r="F204" t="s">
        <v>18</v>
      </c>
      <c r="G204">
        <v>3</v>
      </c>
      <c r="H204">
        <v>3</v>
      </c>
      <c r="I204" t="s">
        <v>20</v>
      </c>
      <c r="J204" t="s">
        <v>18</v>
      </c>
      <c r="K204">
        <v>1</v>
      </c>
      <c r="L204" t="s">
        <v>19</v>
      </c>
      <c r="M204">
        <v>0</v>
      </c>
      <c r="N204">
        <v>1</v>
      </c>
      <c r="O204" t="s">
        <v>20</v>
      </c>
      <c r="P204" t="s">
        <v>21</v>
      </c>
      <c r="Q204" t="s">
        <v>35</v>
      </c>
    </row>
    <row r="205" spans="1:17" x14ac:dyDescent="0.2">
      <c r="A205" t="s">
        <v>23</v>
      </c>
      <c r="B205">
        <v>29</v>
      </c>
      <c r="C205">
        <v>1.69</v>
      </c>
      <c r="D205">
        <v>90</v>
      </c>
      <c r="E205" t="s">
        <v>18</v>
      </c>
      <c r="F205" t="s">
        <v>19</v>
      </c>
      <c r="G205">
        <v>2</v>
      </c>
      <c r="H205">
        <v>3</v>
      </c>
      <c r="I205" t="s">
        <v>20</v>
      </c>
      <c r="J205" t="s">
        <v>19</v>
      </c>
      <c r="K205">
        <v>3</v>
      </c>
      <c r="L205" t="s">
        <v>19</v>
      </c>
      <c r="M205">
        <v>1</v>
      </c>
      <c r="N205">
        <v>0</v>
      </c>
      <c r="O205" t="s">
        <v>20</v>
      </c>
      <c r="P205" t="s">
        <v>28</v>
      </c>
      <c r="Q205" t="s">
        <v>30</v>
      </c>
    </row>
    <row r="206" spans="1:17" x14ac:dyDescent="0.2">
      <c r="A206" t="s">
        <v>23</v>
      </c>
      <c r="B206">
        <v>27</v>
      </c>
      <c r="C206">
        <v>1.83</v>
      </c>
      <c r="D206">
        <v>71</v>
      </c>
      <c r="E206" t="s">
        <v>18</v>
      </c>
      <c r="F206" t="s">
        <v>18</v>
      </c>
      <c r="G206">
        <v>2</v>
      </c>
      <c r="H206">
        <v>3</v>
      </c>
      <c r="I206" t="s">
        <v>20</v>
      </c>
      <c r="J206" t="s">
        <v>19</v>
      </c>
      <c r="K206">
        <v>2</v>
      </c>
      <c r="L206" t="s">
        <v>19</v>
      </c>
      <c r="M206">
        <v>3</v>
      </c>
      <c r="N206">
        <v>2</v>
      </c>
      <c r="O206" t="s">
        <v>19</v>
      </c>
      <c r="P206" t="s">
        <v>28</v>
      </c>
      <c r="Q206" t="s">
        <v>22</v>
      </c>
    </row>
    <row r="207" spans="1:17" x14ac:dyDescent="0.2">
      <c r="A207" t="s">
        <v>17</v>
      </c>
      <c r="B207">
        <v>23</v>
      </c>
      <c r="C207">
        <v>1.6</v>
      </c>
      <c r="D207">
        <v>78</v>
      </c>
      <c r="E207" t="s">
        <v>18</v>
      </c>
      <c r="F207" t="s">
        <v>18</v>
      </c>
      <c r="G207">
        <v>2</v>
      </c>
      <c r="H207">
        <v>1</v>
      </c>
      <c r="I207" t="s">
        <v>20</v>
      </c>
      <c r="J207" t="s">
        <v>18</v>
      </c>
      <c r="K207">
        <v>2</v>
      </c>
      <c r="L207" t="s">
        <v>19</v>
      </c>
      <c r="M207">
        <v>1</v>
      </c>
      <c r="N207">
        <v>0</v>
      </c>
      <c r="O207" t="s">
        <v>24</v>
      </c>
      <c r="P207" t="s">
        <v>21</v>
      </c>
      <c r="Q207" t="s">
        <v>30</v>
      </c>
    </row>
    <row r="208" spans="1:17" x14ac:dyDescent="0.2">
      <c r="A208" t="s">
        <v>23</v>
      </c>
      <c r="B208">
        <v>19</v>
      </c>
      <c r="C208">
        <v>1.75</v>
      </c>
      <c r="D208">
        <v>100</v>
      </c>
      <c r="E208" t="s">
        <v>18</v>
      </c>
      <c r="F208" t="s">
        <v>18</v>
      </c>
      <c r="G208">
        <v>2</v>
      </c>
      <c r="H208">
        <v>3</v>
      </c>
      <c r="I208" t="s">
        <v>24</v>
      </c>
      <c r="J208" t="s">
        <v>19</v>
      </c>
      <c r="K208">
        <v>2</v>
      </c>
      <c r="L208" t="s">
        <v>19</v>
      </c>
      <c r="M208">
        <v>2</v>
      </c>
      <c r="N208">
        <v>0</v>
      </c>
      <c r="O208" t="s">
        <v>19</v>
      </c>
      <c r="P208" t="s">
        <v>21</v>
      </c>
      <c r="Q208" t="s">
        <v>30</v>
      </c>
    </row>
    <row r="209" spans="1:17" x14ac:dyDescent="0.2">
      <c r="A209" t="s">
        <v>23</v>
      </c>
      <c r="B209">
        <v>30</v>
      </c>
      <c r="C209">
        <v>1.75</v>
      </c>
      <c r="D209">
        <v>73</v>
      </c>
      <c r="E209" t="s">
        <v>18</v>
      </c>
      <c r="F209" t="s">
        <v>19</v>
      </c>
      <c r="G209">
        <v>2</v>
      </c>
      <c r="H209">
        <v>3</v>
      </c>
      <c r="I209" t="s">
        <v>19</v>
      </c>
      <c r="J209" t="s">
        <v>19</v>
      </c>
      <c r="K209">
        <v>2</v>
      </c>
      <c r="L209" t="s">
        <v>18</v>
      </c>
      <c r="M209">
        <v>1</v>
      </c>
      <c r="N209">
        <v>0</v>
      </c>
      <c r="O209" t="s">
        <v>20</v>
      </c>
      <c r="P209" t="s">
        <v>25</v>
      </c>
      <c r="Q209" t="s">
        <v>22</v>
      </c>
    </row>
    <row r="210" spans="1:17" x14ac:dyDescent="0.2">
      <c r="A210" t="s">
        <v>17</v>
      </c>
      <c r="B210">
        <v>22</v>
      </c>
      <c r="C210">
        <v>1.69</v>
      </c>
      <c r="D210">
        <v>65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1</v>
      </c>
      <c r="O210" t="s">
        <v>20</v>
      </c>
      <c r="P210" t="s">
        <v>21</v>
      </c>
      <c r="Q210" t="s">
        <v>22</v>
      </c>
    </row>
    <row r="211" spans="1:17" x14ac:dyDescent="0.2">
      <c r="A211" t="s">
        <v>17</v>
      </c>
      <c r="B211">
        <v>22</v>
      </c>
      <c r="C211">
        <v>1.69</v>
      </c>
      <c r="D211">
        <v>65</v>
      </c>
      <c r="E211" t="s">
        <v>18</v>
      </c>
      <c r="F211" t="s">
        <v>18</v>
      </c>
      <c r="G211">
        <v>2</v>
      </c>
      <c r="H211">
        <v>3</v>
      </c>
      <c r="I211" t="s">
        <v>20</v>
      </c>
      <c r="J211" t="s">
        <v>19</v>
      </c>
      <c r="K211">
        <v>2</v>
      </c>
      <c r="L211" t="s">
        <v>19</v>
      </c>
      <c r="M211">
        <v>1</v>
      </c>
      <c r="N211">
        <v>1</v>
      </c>
      <c r="O211" t="s">
        <v>20</v>
      </c>
      <c r="P211" t="s">
        <v>21</v>
      </c>
      <c r="Q211" t="s">
        <v>22</v>
      </c>
    </row>
    <row r="212" spans="1:17" x14ac:dyDescent="0.2">
      <c r="A212" t="s">
        <v>23</v>
      </c>
      <c r="B212">
        <v>20</v>
      </c>
      <c r="C212">
        <v>1.8</v>
      </c>
      <c r="D212">
        <v>114</v>
      </c>
      <c r="E212" t="s">
        <v>18</v>
      </c>
      <c r="F212" t="s">
        <v>18</v>
      </c>
      <c r="G212">
        <v>2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0</v>
      </c>
      <c r="N212">
        <v>1</v>
      </c>
      <c r="O212" t="s">
        <v>19</v>
      </c>
      <c r="P212" t="s">
        <v>21</v>
      </c>
      <c r="Q212" t="s">
        <v>33</v>
      </c>
    </row>
    <row r="213" spans="1:17" x14ac:dyDescent="0.2">
      <c r="A213" t="s">
        <v>17</v>
      </c>
      <c r="B213">
        <v>21</v>
      </c>
      <c r="C213">
        <v>1.63</v>
      </c>
      <c r="D213">
        <v>51</v>
      </c>
      <c r="E213" t="s">
        <v>19</v>
      </c>
      <c r="F213" t="s">
        <v>18</v>
      </c>
      <c r="G213">
        <v>2</v>
      </c>
      <c r="H213">
        <v>1</v>
      </c>
      <c r="I213" t="s">
        <v>20</v>
      </c>
      <c r="J213" t="s">
        <v>19</v>
      </c>
      <c r="K213">
        <v>1</v>
      </c>
      <c r="L213" t="s">
        <v>19</v>
      </c>
      <c r="M213">
        <v>1</v>
      </c>
      <c r="N213">
        <v>1</v>
      </c>
      <c r="O213" t="s">
        <v>19</v>
      </c>
      <c r="P213" t="s">
        <v>21</v>
      </c>
      <c r="Q213" t="s">
        <v>22</v>
      </c>
    </row>
    <row r="214" spans="1:17" x14ac:dyDescent="0.2">
      <c r="A214" t="s">
        <v>17</v>
      </c>
      <c r="B214">
        <v>24</v>
      </c>
      <c r="C214">
        <v>1.5</v>
      </c>
      <c r="D214">
        <v>63</v>
      </c>
      <c r="E214" t="s">
        <v>18</v>
      </c>
      <c r="F214" t="s">
        <v>19</v>
      </c>
      <c r="G214">
        <v>2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0</v>
      </c>
      <c r="N214">
        <v>0</v>
      </c>
      <c r="O214" t="s">
        <v>19</v>
      </c>
      <c r="P214" t="s">
        <v>21</v>
      </c>
      <c r="Q214" t="s">
        <v>27</v>
      </c>
    </row>
    <row r="215" spans="1:17" x14ac:dyDescent="0.2">
      <c r="A215" t="s">
        <v>23</v>
      </c>
      <c r="B215">
        <v>21</v>
      </c>
      <c r="C215">
        <v>1.8</v>
      </c>
      <c r="D215">
        <v>62</v>
      </c>
      <c r="E215" t="s">
        <v>18</v>
      </c>
      <c r="F215" t="s">
        <v>18</v>
      </c>
      <c r="G215">
        <v>3</v>
      </c>
      <c r="H215">
        <v>3</v>
      </c>
      <c r="I215" t="s">
        <v>20</v>
      </c>
      <c r="J215" t="s">
        <v>19</v>
      </c>
      <c r="K215">
        <v>2</v>
      </c>
      <c r="L215" t="s">
        <v>19</v>
      </c>
      <c r="M215">
        <v>1</v>
      </c>
      <c r="N215">
        <v>0</v>
      </c>
      <c r="O215" t="s">
        <v>19</v>
      </c>
      <c r="P215" t="s">
        <v>21</v>
      </c>
      <c r="Q215" t="s">
        <v>22</v>
      </c>
    </row>
    <row r="216" spans="1:17" x14ac:dyDescent="0.2">
      <c r="A216" t="s">
        <v>23</v>
      </c>
      <c r="B216">
        <v>21</v>
      </c>
      <c r="C216">
        <v>1.65</v>
      </c>
      <c r="D216">
        <v>53</v>
      </c>
      <c r="E216" t="s">
        <v>18</v>
      </c>
      <c r="F216" t="s">
        <v>18</v>
      </c>
      <c r="G216">
        <v>2</v>
      </c>
      <c r="H216">
        <v>3</v>
      </c>
      <c r="I216" t="s">
        <v>20</v>
      </c>
      <c r="J216" t="s">
        <v>19</v>
      </c>
      <c r="K216">
        <v>2</v>
      </c>
      <c r="L216" t="s">
        <v>19</v>
      </c>
      <c r="M216">
        <v>1</v>
      </c>
      <c r="N216">
        <v>0</v>
      </c>
      <c r="O216" t="s">
        <v>20</v>
      </c>
      <c r="P216" t="s">
        <v>21</v>
      </c>
      <c r="Q216" t="s">
        <v>22</v>
      </c>
    </row>
    <row r="217" spans="1:17" x14ac:dyDescent="0.2">
      <c r="A217" t="s">
        <v>23</v>
      </c>
      <c r="B217">
        <v>21</v>
      </c>
      <c r="C217">
        <v>1.68</v>
      </c>
      <c r="D217">
        <v>70</v>
      </c>
      <c r="E217" t="s">
        <v>18</v>
      </c>
      <c r="F217" t="s">
        <v>18</v>
      </c>
      <c r="G217">
        <v>3</v>
      </c>
      <c r="H217">
        <v>3</v>
      </c>
      <c r="I217" t="s">
        <v>20</v>
      </c>
      <c r="J217" t="s">
        <v>19</v>
      </c>
      <c r="K217">
        <v>3</v>
      </c>
      <c r="L217" t="s">
        <v>19</v>
      </c>
      <c r="M217">
        <v>0</v>
      </c>
      <c r="N217">
        <v>2</v>
      </c>
      <c r="O217" t="s">
        <v>20</v>
      </c>
      <c r="P217" t="s">
        <v>21</v>
      </c>
      <c r="Q217" t="s">
        <v>22</v>
      </c>
    </row>
    <row r="218" spans="1:17" x14ac:dyDescent="0.2">
      <c r="A218" t="s">
        <v>17</v>
      </c>
      <c r="B218">
        <v>23</v>
      </c>
      <c r="C218">
        <v>1.6</v>
      </c>
      <c r="D218">
        <v>63</v>
      </c>
      <c r="E218" t="s">
        <v>18</v>
      </c>
      <c r="F218" t="s">
        <v>19</v>
      </c>
      <c r="G218">
        <v>3</v>
      </c>
      <c r="H218">
        <v>3</v>
      </c>
      <c r="I218" t="s">
        <v>24</v>
      </c>
      <c r="J218" t="s">
        <v>19</v>
      </c>
      <c r="K218">
        <v>2</v>
      </c>
      <c r="L218" t="s">
        <v>19</v>
      </c>
      <c r="M218">
        <v>3</v>
      </c>
      <c r="N218">
        <v>0</v>
      </c>
      <c r="O218" t="s">
        <v>20</v>
      </c>
      <c r="P218" t="s">
        <v>25</v>
      </c>
      <c r="Q218" t="s">
        <v>22</v>
      </c>
    </row>
    <row r="219" spans="1:17" x14ac:dyDescent="0.2">
      <c r="A219" t="s">
        <v>23</v>
      </c>
      <c r="B219">
        <v>21</v>
      </c>
      <c r="C219">
        <v>1.71</v>
      </c>
      <c r="D219">
        <v>75</v>
      </c>
      <c r="E219" t="s">
        <v>19</v>
      </c>
      <c r="F219" t="s">
        <v>19</v>
      </c>
      <c r="G219">
        <v>2</v>
      </c>
      <c r="H219">
        <v>3</v>
      </c>
      <c r="I219" t="s">
        <v>24</v>
      </c>
      <c r="J219" t="s">
        <v>19</v>
      </c>
      <c r="K219">
        <v>3</v>
      </c>
      <c r="L219" t="s">
        <v>18</v>
      </c>
      <c r="M219">
        <v>3</v>
      </c>
      <c r="N219">
        <v>1</v>
      </c>
      <c r="O219" t="s">
        <v>24</v>
      </c>
      <c r="P219" t="s">
        <v>28</v>
      </c>
      <c r="Q219" t="s">
        <v>26</v>
      </c>
    </row>
    <row r="220" spans="1:17" x14ac:dyDescent="0.2">
      <c r="A220" t="s">
        <v>17</v>
      </c>
      <c r="B220">
        <v>21</v>
      </c>
      <c r="C220">
        <v>1.5</v>
      </c>
      <c r="D220">
        <v>42.3</v>
      </c>
      <c r="E220" t="s">
        <v>18</v>
      </c>
      <c r="F220" t="s">
        <v>19</v>
      </c>
      <c r="G220">
        <v>1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3</v>
      </c>
      <c r="N220">
        <v>0</v>
      </c>
      <c r="O220" t="s">
        <v>19</v>
      </c>
      <c r="P220" t="s">
        <v>21</v>
      </c>
      <c r="Q220" t="s">
        <v>22</v>
      </c>
    </row>
    <row r="221" spans="1:17" x14ac:dyDescent="0.2">
      <c r="A221" t="s">
        <v>17</v>
      </c>
      <c r="B221">
        <v>21</v>
      </c>
      <c r="C221">
        <v>1.6</v>
      </c>
      <c r="D221">
        <v>68</v>
      </c>
      <c r="E221" t="s">
        <v>18</v>
      </c>
      <c r="F221" t="s">
        <v>18</v>
      </c>
      <c r="G221">
        <v>2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1</v>
      </c>
      <c r="N221">
        <v>0</v>
      </c>
      <c r="O221" t="s">
        <v>20</v>
      </c>
      <c r="P221" t="s">
        <v>21</v>
      </c>
      <c r="Q221" t="s">
        <v>26</v>
      </c>
    </row>
    <row r="222" spans="1:17" x14ac:dyDescent="0.2">
      <c r="A222" t="s">
        <v>17</v>
      </c>
      <c r="B222">
        <v>21</v>
      </c>
      <c r="C222">
        <v>1.75</v>
      </c>
      <c r="D222">
        <v>78</v>
      </c>
      <c r="E222" t="s">
        <v>18</v>
      </c>
      <c r="F222" t="s">
        <v>19</v>
      </c>
      <c r="G222">
        <v>2</v>
      </c>
      <c r="H222">
        <v>3</v>
      </c>
      <c r="I222" t="s">
        <v>24</v>
      </c>
      <c r="J222" t="s">
        <v>19</v>
      </c>
      <c r="K222">
        <v>2</v>
      </c>
      <c r="L222" t="s">
        <v>18</v>
      </c>
      <c r="M222">
        <v>0</v>
      </c>
      <c r="N222">
        <v>2</v>
      </c>
      <c r="O222" t="s">
        <v>24</v>
      </c>
      <c r="P222" t="s">
        <v>21</v>
      </c>
      <c r="Q222" t="s">
        <v>26</v>
      </c>
    </row>
    <row r="223" spans="1:17" x14ac:dyDescent="0.2">
      <c r="A223" t="s">
        <v>23</v>
      </c>
      <c r="B223">
        <v>23</v>
      </c>
      <c r="C223">
        <v>1.72</v>
      </c>
      <c r="D223">
        <v>82</v>
      </c>
      <c r="E223" t="s">
        <v>18</v>
      </c>
      <c r="F223" t="s">
        <v>18</v>
      </c>
      <c r="G223">
        <v>2</v>
      </c>
      <c r="H223">
        <v>1</v>
      </c>
      <c r="I223" t="s">
        <v>20</v>
      </c>
      <c r="J223" t="s">
        <v>19</v>
      </c>
      <c r="K223">
        <v>1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27</v>
      </c>
    </row>
    <row r="224" spans="1:17" x14ac:dyDescent="0.2">
      <c r="A224" t="s">
        <v>17</v>
      </c>
      <c r="B224">
        <v>21</v>
      </c>
      <c r="C224">
        <v>1.72</v>
      </c>
      <c r="D224">
        <v>66.5</v>
      </c>
      <c r="E224" t="s">
        <v>18</v>
      </c>
      <c r="F224" t="s">
        <v>18</v>
      </c>
      <c r="G224">
        <v>3</v>
      </c>
      <c r="H224">
        <v>4</v>
      </c>
      <c r="I224" t="s">
        <v>31</v>
      </c>
      <c r="J224" t="s">
        <v>19</v>
      </c>
      <c r="K224">
        <v>3</v>
      </c>
      <c r="L224" t="s">
        <v>19</v>
      </c>
      <c r="M224">
        <v>0</v>
      </c>
      <c r="N224">
        <v>2</v>
      </c>
      <c r="O224" t="s">
        <v>19</v>
      </c>
      <c r="P224" t="s">
        <v>21</v>
      </c>
      <c r="Q224" t="s">
        <v>22</v>
      </c>
    </row>
    <row r="225" spans="1:17" x14ac:dyDescent="0.2">
      <c r="A225" t="s">
        <v>17</v>
      </c>
      <c r="B225">
        <v>22</v>
      </c>
      <c r="C225">
        <v>1.61</v>
      </c>
      <c r="D225">
        <v>63</v>
      </c>
      <c r="E225" t="s">
        <v>18</v>
      </c>
      <c r="F225" t="s">
        <v>18</v>
      </c>
      <c r="G225">
        <v>3</v>
      </c>
      <c r="H225">
        <v>3</v>
      </c>
      <c r="I225" t="s">
        <v>24</v>
      </c>
      <c r="J225" t="s">
        <v>19</v>
      </c>
      <c r="K225">
        <v>3</v>
      </c>
      <c r="L225" t="s">
        <v>19</v>
      </c>
      <c r="M225">
        <v>1</v>
      </c>
      <c r="N225">
        <v>0</v>
      </c>
      <c r="O225" t="s">
        <v>19</v>
      </c>
      <c r="P225" t="s">
        <v>21</v>
      </c>
      <c r="Q225" t="s">
        <v>22</v>
      </c>
    </row>
    <row r="226" spans="1:17" x14ac:dyDescent="0.2">
      <c r="A226" t="s">
        <v>17</v>
      </c>
      <c r="B226">
        <v>23</v>
      </c>
      <c r="C226">
        <v>1.63</v>
      </c>
      <c r="D226">
        <v>82</v>
      </c>
      <c r="E226" t="s">
        <v>18</v>
      </c>
      <c r="F226" t="s">
        <v>18</v>
      </c>
      <c r="G226">
        <v>2</v>
      </c>
      <c r="H226">
        <v>1</v>
      </c>
      <c r="I226" t="s">
        <v>20</v>
      </c>
      <c r="J226" t="s">
        <v>19</v>
      </c>
      <c r="K226">
        <v>2</v>
      </c>
      <c r="L226" t="s">
        <v>19</v>
      </c>
      <c r="M226">
        <v>0</v>
      </c>
      <c r="N226">
        <v>0</v>
      </c>
      <c r="O226" t="s">
        <v>19</v>
      </c>
      <c r="P226" t="s">
        <v>21</v>
      </c>
      <c r="Q226" t="s">
        <v>30</v>
      </c>
    </row>
    <row r="227" spans="1:17" x14ac:dyDescent="0.2">
      <c r="A227" t="s">
        <v>23</v>
      </c>
      <c r="B227">
        <v>25</v>
      </c>
      <c r="C227">
        <v>1.83</v>
      </c>
      <c r="D227">
        <v>121</v>
      </c>
      <c r="E227" t="s">
        <v>18</v>
      </c>
      <c r="F227" t="s">
        <v>19</v>
      </c>
      <c r="G227">
        <v>3</v>
      </c>
      <c r="H227">
        <v>3</v>
      </c>
      <c r="I227" t="s">
        <v>20</v>
      </c>
      <c r="J227" t="s">
        <v>19</v>
      </c>
      <c r="K227">
        <v>3</v>
      </c>
      <c r="L227" t="s">
        <v>19</v>
      </c>
      <c r="M227">
        <v>2</v>
      </c>
      <c r="N227">
        <v>0</v>
      </c>
      <c r="O227" t="s">
        <v>20</v>
      </c>
      <c r="P227" t="s">
        <v>25</v>
      </c>
      <c r="Q227" t="s">
        <v>33</v>
      </c>
    </row>
    <row r="228" spans="1:17" x14ac:dyDescent="0.2">
      <c r="A228" t="s">
        <v>17</v>
      </c>
      <c r="B228">
        <v>20</v>
      </c>
      <c r="C228">
        <v>1.6</v>
      </c>
      <c r="D228">
        <v>50</v>
      </c>
      <c r="E228" t="s">
        <v>19</v>
      </c>
      <c r="F228" t="s">
        <v>18</v>
      </c>
      <c r="G228">
        <v>2</v>
      </c>
      <c r="H228">
        <v>3</v>
      </c>
      <c r="I228" t="s">
        <v>20</v>
      </c>
      <c r="J228" t="s">
        <v>19</v>
      </c>
      <c r="K228">
        <v>1</v>
      </c>
      <c r="L228" t="s">
        <v>19</v>
      </c>
      <c r="M228">
        <v>0</v>
      </c>
      <c r="N228">
        <v>1</v>
      </c>
      <c r="O228" t="s">
        <v>19</v>
      </c>
      <c r="P228" t="s">
        <v>28</v>
      </c>
      <c r="Q228" t="s">
        <v>22</v>
      </c>
    </row>
    <row r="229" spans="1:17" x14ac:dyDescent="0.2">
      <c r="A229" t="s">
        <v>17</v>
      </c>
      <c r="B229">
        <v>24</v>
      </c>
      <c r="C229">
        <v>1.62</v>
      </c>
      <c r="D229">
        <v>58</v>
      </c>
      <c r="E229" t="s">
        <v>19</v>
      </c>
      <c r="F229" t="s">
        <v>18</v>
      </c>
      <c r="G229">
        <v>3</v>
      </c>
      <c r="H229">
        <v>3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1</v>
      </c>
      <c r="O229" t="s">
        <v>20</v>
      </c>
      <c r="P229" t="s">
        <v>21</v>
      </c>
      <c r="Q229" t="s">
        <v>22</v>
      </c>
    </row>
    <row r="230" spans="1:17" x14ac:dyDescent="0.2">
      <c r="A230" t="s">
        <v>17</v>
      </c>
      <c r="B230">
        <v>40</v>
      </c>
      <c r="C230">
        <v>1.68</v>
      </c>
      <c r="D230">
        <v>80</v>
      </c>
      <c r="E230" t="s">
        <v>19</v>
      </c>
      <c r="F230" t="s">
        <v>19</v>
      </c>
      <c r="G230">
        <v>3</v>
      </c>
      <c r="H230">
        <v>3</v>
      </c>
      <c r="I230" t="s">
        <v>20</v>
      </c>
      <c r="J230" t="s">
        <v>19</v>
      </c>
      <c r="K230">
        <v>3</v>
      </c>
      <c r="L230" t="s">
        <v>19</v>
      </c>
      <c r="M230">
        <v>0</v>
      </c>
      <c r="N230">
        <v>0</v>
      </c>
      <c r="O230" t="s">
        <v>19</v>
      </c>
      <c r="P230" t="s">
        <v>28</v>
      </c>
      <c r="Q230" t="s">
        <v>27</v>
      </c>
    </row>
    <row r="231" spans="1:17" x14ac:dyDescent="0.2">
      <c r="A231" t="s">
        <v>23</v>
      </c>
      <c r="B231">
        <v>32</v>
      </c>
      <c r="C231">
        <v>1.75</v>
      </c>
      <c r="D231">
        <v>120</v>
      </c>
      <c r="E231" t="s">
        <v>18</v>
      </c>
      <c r="F231" t="s">
        <v>19</v>
      </c>
      <c r="G231">
        <v>3</v>
      </c>
      <c r="H231">
        <v>3</v>
      </c>
      <c r="I231" t="s">
        <v>20</v>
      </c>
      <c r="J231" t="s">
        <v>19</v>
      </c>
      <c r="K231">
        <v>3</v>
      </c>
      <c r="L231" t="s">
        <v>19</v>
      </c>
      <c r="M231">
        <v>0</v>
      </c>
      <c r="N231">
        <v>2</v>
      </c>
      <c r="O231" t="s">
        <v>19</v>
      </c>
      <c r="P231" t="s">
        <v>28</v>
      </c>
      <c r="Q231" t="s">
        <v>33</v>
      </c>
    </row>
    <row r="232" spans="1:17" x14ac:dyDescent="0.2">
      <c r="A232" t="s">
        <v>23</v>
      </c>
      <c r="B232">
        <v>20</v>
      </c>
      <c r="C232">
        <v>1.9</v>
      </c>
      <c r="D232">
        <v>91</v>
      </c>
      <c r="E232" t="s">
        <v>18</v>
      </c>
      <c r="F232" t="s">
        <v>18</v>
      </c>
      <c r="G232">
        <v>3</v>
      </c>
      <c r="H232">
        <v>4</v>
      </c>
      <c r="I232" t="s">
        <v>20</v>
      </c>
      <c r="J232" t="s">
        <v>19</v>
      </c>
      <c r="K232">
        <v>3</v>
      </c>
      <c r="L232" t="s">
        <v>19</v>
      </c>
      <c r="M232">
        <v>2</v>
      </c>
      <c r="N232">
        <v>0</v>
      </c>
      <c r="O232" t="s">
        <v>20</v>
      </c>
      <c r="P232" t="s">
        <v>25</v>
      </c>
      <c r="Q232" t="s">
        <v>26</v>
      </c>
    </row>
    <row r="233" spans="1:17" x14ac:dyDescent="0.2">
      <c r="A233" t="s">
        <v>17</v>
      </c>
      <c r="B233">
        <v>21</v>
      </c>
      <c r="C233">
        <v>1.63</v>
      </c>
      <c r="D233">
        <v>66</v>
      </c>
      <c r="E233" t="s">
        <v>18</v>
      </c>
      <c r="F233" t="s">
        <v>18</v>
      </c>
      <c r="G233">
        <v>3</v>
      </c>
      <c r="H233">
        <v>1</v>
      </c>
      <c r="I233" t="s">
        <v>20</v>
      </c>
      <c r="J233" t="s">
        <v>18</v>
      </c>
      <c r="K233">
        <v>3</v>
      </c>
      <c r="L233" t="s">
        <v>19</v>
      </c>
      <c r="M233">
        <v>0</v>
      </c>
      <c r="N233">
        <v>0</v>
      </c>
      <c r="O233" t="s">
        <v>20</v>
      </c>
      <c r="P233" t="s">
        <v>21</v>
      </c>
      <c r="Q233" t="s">
        <v>22</v>
      </c>
    </row>
    <row r="234" spans="1:17" x14ac:dyDescent="0.2">
      <c r="A234" t="s">
        <v>17</v>
      </c>
      <c r="B234">
        <v>51</v>
      </c>
      <c r="C234">
        <v>1.59</v>
      </c>
      <c r="D234">
        <v>50</v>
      </c>
      <c r="E234" t="s">
        <v>18</v>
      </c>
      <c r="F234" t="s">
        <v>19</v>
      </c>
      <c r="G234">
        <v>3</v>
      </c>
      <c r="H234">
        <v>3</v>
      </c>
      <c r="I234" t="s">
        <v>20</v>
      </c>
      <c r="J234" t="s">
        <v>18</v>
      </c>
      <c r="K234">
        <v>3</v>
      </c>
      <c r="L234" t="s">
        <v>18</v>
      </c>
      <c r="M234">
        <v>2</v>
      </c>
      <c r="N234">
        <v>0</v>
      </c>
      <c r="O234" t="s">
        <v>19</v>
      </c>
      <c r="P234" t="s">
        <v>21</v>
      </c>
      <c r="Q234" t="s">
        <v>22</v>
      </c>
    </row>
    <row r="235" spans="1:17" x14ac:dyDescent="0.2">
      <c r="A235" t="s">
        <v>17</v>
      </c>
      <c r="B235">
        <v>34</v>
      </c>
      <c r="C235">
        <v>1.68</v>
      </c>
      <c r="D235">
        <v>77</v>
      </c>
      <c r="E235" t="s">
        <v>18</v>
      </c>
      <c r="F235" t="s">
        <v>19</v>
      </c>
      <c r="G235">
        <v>3</v>
      </c>
      <c r="H235">
        <v>1</v>
      </c>
      <c r="I235" t="s">
        <v>20</v>
      </c>
      <c r="J235" t="s">
        <v>19</v>
      </c>
      <c r="K235">
        <v>2</v>
      </c>
      <c r="L235" t="s">
        <v>19</v>
      </c>
      <c r="M235">
        <v>1</v>
      </c>
      <c r="N235">
        <v>0</v>
      </c>
      <c r="O235" t="s">
        <v>20</v>
      </c>
      <c r="P235" t="s">
        <v>28</v>
      </c>
      <c r="Q235" t="s">
        <v>27</v>
      </c>
    </row>
    <row r="236" spans="1:17" x14ac:dyDescent="0.2">
      <c r="A236" t="s">
        <v>17</v>
      </c>
      <c r="B236">
        <v>19</v>
      </c>
      <c r="C236">
        <v>1.59</v>
      </c>
      <c r="D236">
        <v>49</v>
      </c>
      <c r="E236" t="s">
        <v>18</v>
      </c>
      <c r="F236" t="s">
        <v>18</v>
      </c>
      <c r="G236">
        <v>2</v>
      </c>
      <c r="H236">
        <v>1</v>
      </c>
      <c r="I236" t="s">
        <v>19</v>
      </c>
      <c r="J236" t="s">
        <v>19</v>
      </c>
      <c r="K236">
        <v>2</v>
      </c>
      <c r="L236" t="s">
        <v>19</v>
      </c>
      <c r="M236">
        <v>2</v>
      </c>
      <c r="N236">
        <v>0</v>
      </c>
      <c r="O236" t="s">
        <v>19</v>
      </c>
      <c r="P236" t="s">
        <v>21</v>
      </c>
      <c r="Q236" t="s">
        <v>22</v>
      </c>
    </row>
    <row r="237" spans="1:17" x14ac:dyDescent="0.2">
      <c r="A237" t="s">
        <v>17</v>
      </c>
      <c r="B237">
        <v>19</v>
      </c>
      <c r="C237">
        <v>1.69</v>
      </c>
      <c r="D237">
        <v>70</v>
      </c>
      <c r="E237" t="s">
        <v>18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>
        <v>2</v>
      </c>
      <c r="L237" t="s">
        <v>19</v>
      </c>
      <c r="M237">
        <v>2</v>
      </c>
      <c r="N237">
        <v>0</v>
      </c>
      <c r="O237" t="s">
        <v>19</v>
      </c>
      <c r="P237" t="s">
        <v>21</v>
      </c>
      <c r="Q237" t="s">
        <v>22</v>
      </c>
    </row>
    <row r="238" spans="1:17" x14ac:dyDescent="0.2">
      <c r="A238" t="s">
        <v>17</v>
      </c>
      <c r="B238">
        <v>21</v>
      </c>
      <c r="C238">
        <v>1.66</v>
      </c>
      <c r="D238">
        <v>59</v>
      </c>
      <c r="E238" t="s">
        <v>19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18</v>
      </c>
      <c r="M238">
        <v>3</v>
      </c>
      <c r="N238">
        <v>0</v>
      </c>
      <c r="O238" t="s">
        <v>19</v>
      </c>
      <c r="P238" t="s">
        <v>28</v>
      </c>
      <c r="Q238" t="s">
        <v>22</v>
      </c>
    </row>
    <row r="239" spans="1:17" x14ac:dyDescent="0.2">
      <c r="A239" t="s">
        <v>17</v>
      </c>
      <c r="B239">
        <v>19</v>
      </c>
      <c r="C239">
        <v>1.64</v>
      </c>
      <c r="D239">
        <v>53</v>
      </c>
      <c r="E239" t="s">
        <v>18</v>
      </c>
      <c r="F239" t="s">
        <v>18</v>
      </c>
      <c r="G239">
        <v>3</v>
      </c>
      <c r="H239">
        <v>3</v>
      </c>
      <c r="I239" t="s">
        <v>20</v>
      </c>
      <c r="J239" t="s">
        <v>19</v>
      </c>
      <c r="K239">
        <v>1</v>
      </c>
      <c r="L239" t="s">
        <v>19</v>
      </c>
      <c r="M239">
        <v>1</v>
      </c>
      <c r="N239">
        <v>1</v>
      </c>
      <c r="O239" t="s">
        <v>19</v>
      </c>
      <c r="P239" t="s">
        <v>21</v>
      </c>
      <c r="Q239" t="s">
        <v>22</v>
      </c>
    </row>
    <row r="240" spans="1:17" x14ac:dyDescent="0.2">
      <c r="A240" t="s">
        <v>17</v>
      </c>
      <c r="B240">
        <v>20</v>
      </c>
      <c r="C240">
        <v>1.62</v>
      </c>
      <c r="D240">
        <v>53</v>
      </c>
      <c r="E240" t="s">
        <v>19</v>
      </c>
      <c r="F240" t="s">
        <v>18</v>
      </c>
      <c r="G240">
        <v>3</v>
      </c>
      <c r="H240">
        <v>1</v>
      </c>
      <c r="I240" t="s">
        <v>20</v>
      </c>
      <c r="J240" t="s">
        <v>19</v>
      </c>
      <c r="K240">
        <v>3</v>
      </c>
      <c r="L240" t="s">
        <v>19</v>
      </c>
      <c r="M240">
        <v>1</v>
      </c>
      <c r="N240">
        <v>1</v>
      </c>
      <c r="O240" t="s">
        <v>19</v>
      </c>
      <c r="P240" t="s">
        <v>21</v>
      </c>
      <c r="Q240" t="s">
        <v>22</v>
      </c>
    </row>
    <row r="241" spans="1:17" x14ac:dyDescent="0.2">
      <c r="A241" t="s">
        <v>17</v>
      </c>
      <c r="B241">
        <v>19</v>
      </c>
      <c r="C241">
        <v>1.7</v>
      </c>
      <c r="D241">
        <v>64</v>
      </c>
      <c r="E241" t="s">
        <v>18</v>
      </c>
      <c r="F241" t="s">
        <v>18</v>
      </c>
      <c r="G241">
        <v>3</v>
      </c>
      <c r="H241">
        <v>3</v>
      </c>
      <c r="I241" t="s">
        <v>19</v>
      </c>
      <c r="J241" t="s">
        <v>19</v>
      </c>
      <c r="K241">
        <v>3</v>
      </c>
      <c r="L241" t="s">
        <v>18</v>
      </c>
      <c r="M241">
        <v>3</v>
      </c>
      <c r="N241">
        <v>1</v>
      </c>
      <c r="O241" t="s">
        <v>19</v>
      </c>
      <c r="P241" t="s">
        <v>21</v>
      </c>
      <c r="Q241" t="s">
        <v>22</v>
      </c>
    </row>
    <row r="242" spans="1:17" x14ac:dyDescent="0.2">
      <c r="A242" t="s">
        <v>17</v>
      </c>
      <c r="B242">
        <v>17</v>
      </c>
      <c r="C242">
        <v>1.63</v>
      </c>
      <c r="D242">
        <v>65</v>
      </c>
      <c r="E242" t="s">
        <v>19</v>
      </c>
      <c r="F242" t="s">
        <v>18</v>
      </c>
      <c r="G242">
        <v>2</v>
      </c>
      <c r="H242">
        <v>1</v>
      </c>
      <c r="I242" t="s">
        <v>20</v>
      </c>
      <c r="J242" t="s">
        <v>19</v>
      </c>
      <c r="K242">
        <v>3</v>
      </c>
      <c r="L242" t="s">
        <v>19</v>
      </c>
      <c r="M242">
        <v>1</v>
      </c>
      <c r="N242">
        <v>1</v>
      </c>
      <c r="O242" t="s">
        <v>19</v>
      </c>
      <c r="P242" t="s">
        <v>21</v>
      </c>
      <c r="Q242" t="s">
        <v>22</v>
      </c>
    </row>
    <row r="243" spans="1:17" x14ac:dyDescent="0.2">
      <c r="A243" t="s">
        <v>23</v>
      </c>
      <c r="B243">
        <v>22</v>
      </c>
      <c r="C243">
        <v>1.6</v>
      </c>
      <c r="D243">
        <v>66</v>
      </c>
      <c r="E243" t="s">
        <v>19</v>
      </c>
      <c r="F243" t="s">
        <v>18</v>
      </c>
      <c r="G243">
        <v>3</v>
      </c>
      <c r="H243">
        <v>3</v>
      </c>
      <c r="I243" t="s">
        <v>20</v>
      </c>
      <c r="J243" t="s">
        <v>19</v>
      </c>
      <c r="K243">
        <v>2</v>
      </c>
      <c r="L243" t="s">
        <v>19</v>
      </c>
      <c r="M243">
        <v>3</v>
      </c>
      <c r="N243">
        <v>0</v>
      </c>
      <c r="O243" t="s">
        <v>19</v>
      </c>
      <c r="P243" t="s">
        <v>34</v>
      </c>
      <c r="Q243" t="s">
        <v>26</v>
      </c>
    </row>
    <row r="244" spans="1:17" x14ac:dyDescent="0.2">
      <c r="A244" t="s">
        <v>17</v>
      </c>
      <c r="B244">
        <v>20</v>
      </c>
      <c r="C244">
        <v>1.63</v>
      </c>
      <c r="D244">
        <v>64</v>
      </c>
      <c r="E244" t="s">
        <v>18</v>
      </c>
      <c r="F244" t="s">
        <v>18</v>
      </c>
      <c r="G244">
        <v>1</v>
      </c>
      <c r="H244">
        <v>3</v>
      </c>
      <c r="I244" t="s">
        <v>31</v>
      </c>
      <c r="J244" t="s">
        <v>19</v>
      </c>
      <c r="K244">
        <v>2</v>
      </c>
      <c r="L244" t="s">
        <v>19</v>
      </c>
      <c r="M244">
        <v>0</v>
      </c>
      <c r="N244">
        <v>2</v>
      </c>
      <c r="O244" t="s">
        <v>19</v>
      </c>
      <c r="P244" t="s">
        <v>28</v>
      </c>
      <c r="Q244" t="s">
        <v>22</v>
      </c>
    </row>
    <row r="245" spans="1:17" x14ac:dyDescent="0.2">
      <c r="A245" t="s">
        <v>23</v>
      </c>
      <c r="B245">
        <v>33</v>
      </c>
      <c r="C245">
        <v>1.85</v>
      </c>
      <c r="D245">
        <v>99</v>
      </c>
      <c r="E245" t="s">
        <v>18</v>
      </c>
      <c r="F245" t="s">
        <v>18</v>
      </c>
      <c r="G245">
        <v>2</v>
      </c>
      <c r="H245">
        <v>3</v>
      </c>
      <c r="I245" t="s">
        <v>20</v>
      </c>
      <c r="J245" t="s">
        <v>18</v>
      </c>
      <c r="K245">
        <v>3</v>
      </c>
      <c r="L245" t="s">
        <v>19</v>
      </c>
      <c r="M245">
        <v>1</v>
      </c>
      <c r="N245">
        <v>0</v>
      </c>
      <c r="O245" t="s">
        <v>20</v>
      </c>
      <c r="P245" t="s">
        <v>28</v>
      </c>
      <c r="Q245" t="s">
        <v>27</v>
      </c>
    </row>
    <row r="246" spans="1:17" x14ac:dyDescent="0.2">
      <c r="A246" t="s">
        <v>17</v>
      </c>
      <c r="B246">
        <v>21</v>
      </c>
      <c r="C246">
        <v>1.54</v>
      </c>
      <c r="D246">
        <v>49</v>
      </c>
      <c r="E246" t="s">
        <v>18</v>
      </c>
      <c r="F246" t="s">
        <v>19</v>
      </c>
      <c r="G246">
        <v>2</v>
      </c>
      <c r="H246">
        <v>1</v>
      </c>
      <c r="I246" t="s">
        <v>20</v>
      </c>
      <c r="J246" t="s">
        <v>19</v>
      </c>
      <c r="K246">
        <v>2</v>
      </c>
      <c r="L246" t="s">
        <v>18</v>
      </c>
      <c r="M246">
        <v>2</v>
      </c>
      <c r="N246">
        <v>0</v>
      </c>
      <c r="O246" t="s">
        <v>20</v>
      </c>
      <c r="P246" t="s">
        <v>21</v>
      </c>
      <c r="Q246" t="s">
        <v>22</v>
      </c>
    </row>
    <row r="247" spans="1:17" x14ac:dyDescent="0.2">
      <c r="A247" t="s">
        <v>17</v>
      </c>
      <c r="B247">
        <v>20</v>
      </c>
      <c r="C247">
        <v>1.64</v>
      </c>
      <c r="D247">
        <v>49</v>
      </c>
      <c r="E247" t="s">
        <v>19</v>
      </c>
      <c r="F247" t="s">
        <v>19</v>
      </c>
      <c r="G247">
        <v>3</v>
      </c>
      <c r="H247">
        <v>3</v>
      </c>
      <c r="I247" t="s">
        <v>20</v>
      </c>
      <c r="J247" t="s">
        <v>18</v>
      </c>
      <c r="K247">
        <v>2</v>
      </c>
      <c r="L247" t="s">
        <v>19</v>
      </c>
      <c r="M247">
        <v>2</v>
      </c>
      <c r="N247">
        <v>1</v>
      </c>
      <c r="O247" t="s">
        <v>20</v>
      </c>
      <c r="P247" t="s">
        <v>28</v>
      </c>
      <c r="Q247" t="s">
        <v>32</v>
      </c>
    </row>
    <row r="248" spans="1:17" x14ac:dyDescent="0.2">
      <c r="A248" t="s">
        <v>17</v>
      </c>
      <c r="B248">
        <v>20</v>
      </c>
      <c r="C248">
        <v>1.57</v>
      </c>
      <c r="D248">
        <v>60</v>
      </c>
      <c r="E248" t="s">
        <v>19</v>
      </c>
      <c r="F248" t="s">
        <v>18</v>
      </c>
      <c r="G248">
        <v>3</v>
      </c>
      <c r="H248">
        <v>3</v>
      </c>
      <c r="I248" t="s">
        <v>20</v>
      </c>
      <c r="J248" t="s">
        <v>19</v>
      </c>
      <c r="K248">
        <v>3</v>
      </c>
      <c r="L248" t="s">
        <v>19</v>
      </c>
      <c r="M248">
        <v>0</v>
      </c>
      <c r="N248">
        <v>1</v>
      </c>
      <c r="O248" t="s">
        <v>20</v>
      </c>
      <c r="P248" t="s">
        <v>21</v>
      </c>
      <c r="Q248" t="s">
        <v>22</v>
      </c>
    </row>
    <row r="249" spans="1:17" x14ac:dyDescent="0.2">
      <c r="A249" t="s">
        <v>17</v>
      </c>
      <c r="B249">
        <v>20</v>
      </c>
      <c r="C249">
        <v>1.62</v>
      </c>
      <c r="D249">
        <v>52</v>
      </c>
      <c r="E249" t="s">
        <v>19</v>
      </c>
      <c r="F249" t="s">
        <v>18</v>
      </c>
      <c r="G249">
        <v>3</v>
      </c>
      <c r="H249">
        <v>3</v>
      </c>
      <c r="I249" t="s">
        <v>24</v>
      </c>
      <c r="J249" t="s">
        <v>19</v>
      </c>
      <c r="K249">
        <v>1</v>
      </c>
      <c r="L249" t="s">
        <v>19</v>
      </c>
      <c r="M249">
        <v>3</v>
      </c>
      <c r="N249">
        <v>1</v>
      </c>
      <c r="O249" t="s">
        <v>19</v>
      </c>
      <c r="P249" t="s">
        <v>28</v>
      </c>
      <c r="Q249" t="s">
        <v>22</v>
      </c>
    </row>
    <row r="250" spans="1:17" x14ac:dyDescent="0.2">
      <c r="A250" t="s">
        <v>23</v>
      </c>
      <c r="B250">
        <v>21</v>
      </c>
      <c r="C250">
        <v>1.72</v>
      </c>
      <c r="D250">
        <v>72</v>
      </c>
      <c r="E250" t="s">
        <v>18</v>
      </c>
      <c r="F250" t="s">
        <v>18</v>
      </c>
      <c r="G250">
        <v>3</v>
      </c>
      <c r="H250">
        <v>3</v>
      </c>
      <c r="I250" t="s">
        <v>31</v>
      </c>
      <c r="J250" t="s">
        <v>19</v>
      </c>
      <c r="K250">
        <v>3</v>
      </c>
      <c r="L250" t="s">
        <v>18</v>
      </c>
      <c r="M250">
        <v>3</v>
      </c>
      <c r="N250">
        <v>0</v>
      </c>
      <c r="O250" t="s">
        <v>20</v>
      </c>
      <c r="P250" t="s">
        <v>28</v>
      </c>
      <c r="Q250" t="s">
        <v>22</v>
      </c>
    </row>
    <row r="251" spans="1:17" x14ac:dyDescent="0.2">
      <c r="A251" t="s">
        <v>23</v>
      </c>
      <c r="B251">
        <v>21</v>
      </c>
      <c r="C251">
        <v>1.76</v>
      </c>
      <c r="D251">
        <v>78</v>
      </c>
      <c r="E251" t="s">
        <v>18</v>
      </c>
      <c r="F251" t="s">
        <v>18</v>
      </c>
      <c r="G251">
        <v>3</v>
      </c>
      <c r="H251">
        <v>1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20</v>
      </c>
      <c r="P251" t="s">
        <v>25</v>
      </c>
      <c r="Q251" t="s">
        <v>26</v>
      </c>
    </row>
    <row r="252" spans="1:17" x14ac:dyDescent="0.2">
      <c r="A252" t="s">
        <v>17</v>
      </c>
      <c r="B252">
        <v>20</v>
      </c>
      <c r="C252">
        <v>1.65</v>
      </c>
      <c r="D252">
        <v>75</v>
      </c>
      <c r="E252" t="s">
        <v>18</v>
      </c>
      <c r="F252" t="s">
        <v>18</v>
      </c>
      <c r="G252">
        <v>3</v>
      </c>
      <c r="H252">
        <v>1</v>
      </c>
      <c r="I252" t="s">
        <v>20</v>
      </c>
      <c r="J252" t="s">
        <v>19</v>
      </c>
      <c r="K252">
        <v>2</v>
      </c>
      <c r="L252" t="s">
        <v>19</v>
      </c>
      <c r="M252">
        <v>1</v>
      </c>
      <c r="N252">
        <v>1</v>
      </c>
      <c r="O252" t="s">
        <v>19</v>
      </c>
      <c r="P252" t="s">
        <v>21</v>
      </c>
      <c r="Q252" t="s">
        <v>27</v>
      </c>
    </row>
    <row r="253" spans="1:17" x14ac:dyDescent="0.2">
      <c r="A253" t="s">
        <v>23</v>
      </c>
      <c r="B253">
        <v>20</v>
      </c>
      <c r="C253">
        <v>1.67</v>
      </c>
      <c r="D253">
        <v>78</v>
      </c>
      <c r="E253" t="s">
        <v>18</v>
      </c>
      <c r="F253" t="s">
        <v>19</v>
      </c>
      <c r="G253">
        <v>2</v>
      </c>
      <c r="H253">
        <v>1</v>
      </c>
      <c r="I253" t="s">
        <v>20</v>
      </c>
      <c r="J253" t="s">
        <v>19</v>
      </c>
      <c r="K253">
        <v>3</v>
      </c>
      <c r="L253" t="s">
        <v>19</v>
      </c>
      <c r="M253">
        <v>0</v>
      </c>
      <c r="N253">
        <v>0</v>
      </c>
      <c r="O253" t="s">
        <v>24</v>
      </c>
      <c r="P253" t="s">
        <v>28</v>
      </c>
      <c r="Q253" t="s">
        <v>27</v>
      </c>
    </row>
    <row r="254" spans="1:17" x14ac:dyDescent="0.2">
      <c r="A254" t="s">
        <v>23</v>
      </c>
      <c r="B254">
        <v>56</v>
      </c>
      <c r="C254">
        <v>1.79</v>
      </c>
      <c r="D254">
        <v>90</v>
      </c>
      <c r="E254" t="s">
        <v>18</v>
      </c>
      <c r="F254" t="s">
        <v>19</v>
      </c>
      <c r="G254">
        <v>2</v>
      </c>
      <c r="H254">
        <v>3</v>
      </c>
      <c r="I254" t="s">
        <v>20</v>
      </c>
      <c r="J254" t="s">
        <v>18</v>
      </c>
      <c r="K254">
        <v>2</v>
      </c>
      <c r="L254" t="s">
        <v>19</v>
      </c>
      <c r="M254">
        <v>1</v>
      </c>
      <c r="N254">
        <v>0</v>
      </c>
      <c r="O254" t="s">
        <v>24</v>
      </c>
      <c r="P254" t="s">
        <v>28</v>
      </c>
      <c r="Q254" t="s">
        <v>27</v>
      </c>
    </row>
    <row r="255" spans="1:17" x14ac:dyDescent="0.2">
      <c r="A255" t="s">
        <v>17</v>
      </c>
      <c r="B255">
        <v>26</v>
      </c>
      <c r="C255">
        <v>1.59</v>
      </c>
      <c r="D255">
        <v>47</v>
      </c>
      <c r="E255" t="s">
        <v>18</v>
      </c>
      <c r="F255" t="s">
        <v>18</v>
      </c>
      <c r="G255">
        <v>2</v>
      </c>
      <c r="H255">
        <v>1</v>
      </c>
      <c r="I255" t="s">
        <v>20</v>
      </c>
      <c r="J255" t="s">
        <v>19</v>
      </c>
      <c r="K255">
        <v>2</v>
      </c>
      <c r="L255" t="s">
        <v>19</v>
      </c>
      <c r="M255">
        <v>0</v>
      </c>
      <c r="N255">
        <v>2</v>
      </c>
      <c r="O255" t="s">
        <v>20</v>
      </c>
      <c r="P255" t="s">
        <v>21</v>
      </c>
      <c r="Q255" t="s">
        <v>22</v>
      </c>
    </row>
    <row r="256" spans="1:17" x14ac:dyDescent="0.2">
      <c r="A256" t="s">
        <v>17</v>
      </c>
      <c r="B256">
        <v>22</v>
      </c>
      <c r="C256">
        <v>1.64</v>
      </c>
      <c r="D256">
        <v>56</v>
      </c>
      <c r="E256" t="s">
        <v>18</v>
      </c>
      <c r="F256" t="s">
        <v>19</v>
      </c>
      <c r="G256">
        <v>3</v>
      </c>
      <c r="H256">
        <v>3</v>
      </c>
      <c r="I256" t="s">
        <v>20</v>
      </c>
      <c r="J256" t="s">
        <v>19</v>
      </c>
      <c r="K256">
        <v>2</v>
      </c>
      <c r="L256" t="s">
        <v>19</v>
      </c>
      <c r="M256">
        <v>0</v>
      </c>
      <c r="N256">
        <v>0</v>
      </c>
      <c r="O256" t="s">
        <v>19</v>
      </c>
      <c r="P256" t="s">
        <v>21</v>
      </c>
      <c r="Q256" t="s">
        <v>22</v>
      </c>
    </row>
    <row r="257" spans="1:17" x14ac:dyDescent="0.2">
      <c r="A257" t="s">
        <v>23</v>
      </c>
      <c r="B257">
        <v>19</v>
      </c>
      <c r="C257">
        <v>1.78</v>
      </c>
      <c r="D257">
        <v>81</v>
      </c>
      <c r="E257" t="s">
        <v>18</v>
      </c>
      <c r="F257" t="s">
        <v>19</v>
      </c>
      <c r="G257">
        <v>1</v>
      </c>
      <c r="H257">
        <v>3</v>
      </c>
      <c r="I257" t="s">
        <v>20</v>
      </c>
      <c r="J257" t="s">
        <v>19</v>
      </c>
      <c r="K257">
        <v>2</v>
      </c>
      <c r="L257" t="s">
        <v>19</v>
      </c>
      <c r="M257">
        <v>3</v>
      </c>
      <c r="N257">
        <v>0</v>
      </c>
      <c r="O257" t="s">
        <v>19</v>
      </c>
      <c r="P257" t="s">
        <v>34</v>
      </c>
      <c r="Q257" t="s">
        <v>26</v>
      </c>
    </row>
    <row r="258" spans="1:17" x14ac:dyDescent="0.2">
      <c r="A258" t="s">
        <v>23</v>
      </c>
      <c r="B258">
        <v>18</v>
      </c>
      <c r="C258">
        <v>1.75</v>
      </c>
      <c r="D258">
        <v>85</v>
      </c>
      <c r="E258" t="s">
        <v>18</v>
      </c>
      <c r="F258" t="s">
        <v>19</v>
      </c>
      <c r="G258">
        <v>2</v>
      </c>
      <c r="H258">
        <v>3</v>
      </c>
      <c r="I258" t="s">
        <v>20</v>
      </c>
      <c r="J258" t="s">
        <v>19</v>
      </c>
      <c r="K258">
        <v>3</v>
      </c>
      <c r="L258" t="s">
        <v>19</v>
      </c>
      <c r="M258">
        <v>1</v>
      </c>
      <c r="N258">
        <v>0</v>
      </c>
      <c r="O258" t="s">
        <v>20</v>
      </c>
      <c r="P258" t="s">
        <v>21</v>
      </c>
      <c r="Q258" t="s">
        <v>27</v>
      </c>
    </row>
    <row r="259" spans="1:17" x14ac:dyDescent="0.2">
      <c r="A259" t="s">
        <v>23</v>
      </c>
      <c r="B259">
        <v>19</v>
      </c>
      <c r="C259">
        <v>1.85</v>
      </c>
      <c r="D259">
        <v>115</v>
      </c>
      <c r="E259" t="s">
        <v>19</v>
      </c>
      <c r="F259" t="s">
        <v>19</v>
      </c>
      <c r="G259">
        <v>2</v>
      </c>
      <c r="H259">
        <v>3</v>
      </c>
      <c r="I259" t="s">
        <v>20</v>
      </c>
      <c r="J259" t="s">
        <v>19</v>
      </c>
      <c r="K259">
        <v>3</v>
      </c>
      <c r="L259" t="s">
        <v>18</v>
      </c>
      <c r="M259">
        <v>1</v>
      </c>
      <c r="N259">
        <v>2</v>
      </c>
      <c r="O259" t="s">
        <v>19</v>
      </c>
      <c r="P259" t="s">
        <v>21</v>
      </c>
      <c r="Q259" t="s">
        <v>30</v>
      </c>
    </row>
    <row r="260" spans="1:17" x14ac:dyDescent="0.2">
      <c r="A260" t="s">
        <v>23</v>
      </c>
      <c r="B260">
        <v>18</v>
      </c>
      <c r="C260">
        <v>1.7</v>
      </c>
      <c r="D260">
        <v>80</v>
      </c>
      <c r="E260" t="s">
        <v>19</v>
      </c>
      <c r="F260" t="s">
        <v>19</v>
      </c>
      <c r="G260">
        <v>3</v>
      </c>
      <c r="H260">
        <v>1</v>
      </c>
      <c r="I260" t="s">
        <v>20</v>
      </c>
      <c r="J260" t="s">
        <v>19</v>
      </c>
      <c r="K260">
        <v>1</v>
      </c>
      <c r="L260" t="s">
        <v>19</v>
      </c>
      <c r="M260">
        <v>1</v>
      </c>
      <c r="N260">
        <v>0</v>
      </c>
      <c r="O260" t="s">
        <v>19</v>
      </c>
      <c r="P260" t="s">
        <v>21</v>
      </c>
      <c r="Q260" t="s">
        <v>27</v>
      </c>
    </row>
    <row r="261" spans="1:17" x14ac:dyDescent="0.2">
      <c r="A261" t="s">
        <v>17</v>
      </c>
      <c r="B261">
        <v>18</v>
      </c>
      <c r="C261">
        <v>1.67</v>
      </c>
      <c r="D261">
        <v>91</v>
      </c>
      <c r="E261" t="s">
        <v>18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0</v>
      </c>
      <c r="N261">
        <v>1</v>
      </c>
      <c r="O261" t="s">
        <v>20</v>
      </c>
      <c r="P261" t="s">
        <v>21</v>
      </c>
      <c r="Q261" t="s">
        <v>30</v>
      </c>
    </row>
    <row r="262" spans="1:17" x14ac:dyDescent="0.2">
      <c r="A262" t="s">
        <v>23</v>
      </c>
      <c r="B262">
        <v>21</v>
      </c>
      <c r="C262">
        <v>1.72</v>
      </c>
      <c r="D262">
        <v>75</v>
      </c>
      <c r="E262" t="s">
        <v>19</v>
      </c>
      <c r="F262" t="s">
        <v>18</v>
      </c>
      <c r="G262">
        <v>2</v>
      </c>
      <c r="H262">
        <v>3</v>
      </c>
      <c r="I262" t="s">
        <v>20</v>
      </c>
      <c r="J262" t="s">
        <v>19</v>
      </c>
      <c r="K262">
        <v>1</v>
      </c>
      <c r="L262" t="s">
        <v>19</v>
      </c>
      <c r="M262">
        <v>1</v>
      </c>
      <c r="N262">
        <v>0</v>
      </c>
      <c r="O262" t="s">
        <v>19</v>
      </c>
      <c r="P262" t="s">
        <v>21</v>
      </c>
      <c r="Q262" t="s">
        <v>26</v>
      </c>
    </row>
    <row r="263" spans="1:17" x14ac:dyDescent="0.2">
      <c r="A263" t="s">
        <v>17</v>
      </c>
      <c r="B263">
        <v>28</v>
      </c>
      <c r="C263">
        <v>1.7</v>
      </c>
      <c r="D263">
        <v>73</v>
      </c>
      <c r="E263" t="s">
        <v>18</v>
      </c>
      <c r="F263" t="s">
        <v>19</v>
      </c>
      <c r="G263">
        <v>2</v>
      </c>
      <c r="H263">
        <v>3</v>
      </c>
      <c r="I263" t="s">
        <v>24</v>
      </c>
      <c r="J263" t="s">
        <v>19</v>
      </c>
      <c r="K263">
        <v>2</v>
      </c>
      <c r="L263" t="s">
        <v>18</v>
      </c>
      <c r="M263">
        <v>2</v>
      </c>
      <c r="N263">
        <v>0</v>
      </c>
      <c r="O263" t="s">
        <v>20</v>
      </c>
      <c r="P263" t="s">
        <v>25</v>
      </c>
      <c r="Q263" t="s">
        <v>26</v>
      </c>
    </row>
    <row r="264" spans="1:17" x14ac:dyDescent="0.2">
      <c r="A264" t="s">
        <v>23</v>
      </c>
      <c r="B264">
        <v>18</v>
      </c>
      <c r="C264">
        <v>1.74</v>
      </c>
      <c r="D264">
        <v>70</v>
      </c>
      <c r="E264" t="s">
        <v>19</v>
      </c>
      <c r="F264" t="s">
        <v>18</v>
      </c>
      <c r="G264">
        <v>2</v>
      </c>
      <c r="H264">
        <v>3</v>
      </c>
      <c r="I264" t="s">
        <v>20</v>
      </c>
      <c r="J264" t="s">
        <v>19</v>
      </c>
      <c r="K264">
        <v>2</v>
      </c>
      <c r="L264" t="s">
        <v>19</v>
      </c>
      <c r="M264">
        <v>1</v>
      </c>
      <c r="N264">
        <v>1</v>
      </c>
      <c r="O264" t="s">
        <v>20</v>
      </c>
      <c r="P264" t="s">
        <v>21</v>
      </c>
      <c r="Q264" t="s">
        <v>22</v>
      </c>
    </row>
    <row r="265" spans="1:17" x14ac:dyDescent="0.2">
      <c r="A265" t="s">
        <v>23</v>
      </c>
      <c r="B265">
        <v>23</v>
      </c>
      <c r="C265">
        <v>1.74</v>
      </c>
      <c r="D265">
        <v>53</v>
      </c>
      <c r="E265" t="s">
        <v>19</v>
      </c>
      <c r="F265" t="s">
        <v>18</v>
      </c>
      <c r="G265">
        <v>2</v>
      </c>
      <c r="H265">
        <v>3</v>
      </c>
      <c r="I265" t="s">
        <v>24</v>
      </c>
      <c r="J265" t="s">
        <v>19</v>
      </c>
      <c r="K265">
        <v>1</v>
      </c>
      <c r="L265" t="s">
        <v>19</v>
      </c>
      <c r="M265">
        <v>3</v>
      </c>
      <c r="N265">
        <v>2</v>
      </c>
      <c r="O265" t="s">
        <v>19</v>
      </c>
      <c r="P265" t="s">
        <v>21</v>
      </c>
      <c r="Q265" t="s">
        <v>32</v>
      </c>
    </row>
    <row r="266" spans="1:17" x14ac:dyDescent="0.2">
      <c r="A266" t="s">
        <v>23</v>
      </c>
      <c r="B266">
        <v>18</v>
      </c>
      <c r="C266">
        <v>1.87</v>
      </c>
      <c r="D266">
        <v>67</v>
      </c>
      <c r="E266" t="s">
        <v>18</v>
      </c>
      <c r="F266" t="s">
        <v>18</v>
      </c>
      <c r="G266">
        <v>3</v>
      </c>
      <c r="H266">
        <v>3</v>
      </c>
      <c r="I266" t="s">
        <v>24</v>
      </c>
      <c r="J266" t="s">
        <v>19</v>
      </c>
      <c r="K266">
        <v>3</v>
      </c>
      <c r="L266" t="s">
        <v>18</v>
      </c>
      <c r="M266">
        <v>1</v>
      </c>
      <c r="N266">
        <v>1</v>
      </c>
      <c r="O266" t="s">
        <v>20</v>
      </c>
      <c r="P266" t="s">
        <v>28</v>
      </c>
      <c r="Q266" t="s">
        <v>22</v>
      </c>
    </row>
    <row r="267" spans="1:17" x14ac:dyDescent="0.2">
      <c r="A267" t="s">
        <v>23</v>
      </c>
      <c r="B267">
        <v>18</v>
      </c>
      <c r="C267">
        <v>1.7</v>
      </c>
      <c r="D267">
        <v>50</v>
      </c>
      <c r="E267" t="s">
        <v>19</v>
      </c>
      <c r="F267" t="s">
        <v>18</v>
      </c>
      <c r="G267">
        <v>1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2</v>
      </c>
      <c r="N267">
        <v>1</v>
      </c>
      <c r="O267" t="s">
        <v>20</v>
      </c>
      <c r="P267" t="s">
        <v>21</v>
      </c>
      <c r="Q267" t="s">
        <v>32</v>
      </c>
    </row>
    <row r="268" spans="1:17" x14ac:dyDescent="0.2">
      <c r="A268" t="s">
        <v>17</v>
      </c>
      <c r="B268">
        <v>39</v>
      </c>
      <c r="C268">
        <v>1.65</v>
      </c>
      <c r="D268">
        <v>50</v>
      </c>
      <c r="E268" t="s">
        <v>19</v>
      </c>
      <c r="F268" t="s">
        <v>18</v>
      </c>
      <c r="G268">
        <v>3</v>
      </c>
      <c r="H268">
        <v>4</v>
      </c>
      <c r="I268" t="s">
        <v>24</v>
      </c>
      <c r="J268" t="s">
        <v>19</v>
      </c>
      <c r="K268">
        <v>2</v>
      </c>
      <c r="L268" t="s">
        <v>19</v>
      </c>
      <c r="M268">
        <v>0</v>
      </c>
      <c r="N268">
        <v>0</v>
      </c>
      <c r="O268" t="s">
        <v>20</v>
      </c>
      <c r="P268" t="s">
        <v>21</v>
      </c>
      <c r="Q268" t="s">
        <v>32</v>
      </c>
    </row>
    <row r="269" spans="1:17" x14ac:dyDescent="0.2">
      <c r="A269" t="s">
        <v>23</v>
      </c>
      <c r="B269">
        <v>38</v>
      </c>
      <c r="C269">
        <v>1.7</v>
      </c>
      <c r="D269">
        <v>78</v>
      </c>
      <c r="E269" t="s">
        <v>19</v>
      </c>
      <c r="F269" t="s">
        <v>18</v>
      </c>
      <c r="G269">
        <v>3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24</v>
      </c>
      <c r="P269" t="s">
        <v>28</v>
      </c>
      <c r="Q269" t="s">
        <v>27</v>
      </c>
    </row>
    <row r="270" spans="1:17" x14ac:dyDescent="0.2">
      <c r="A270" t="s">
        <v>23</v>
      </c>
      <c r="B270">
        <v>17</v>
      </c>
      <c r="C270">
        <v>1.67</v>
      </c>
      <c r="D270">
        <v>60</v>
      </c>
      <c r="E270" t="s">
        <v>19</v>
      </c>
      <c r="F270" t="s">
        <v>19</v>
      </c>
      <c r="G270">
        <v>2</v>
      </c>
      <c r="H270">
        <v>4</v>
      </c>
      <c r="I270" t="s">
        <v>31</v>
      </c>
      <c r="J270" t="s">
        <v>19</v>
      </c>
      <c r="K270">
        <v>2</v>
      </c>
      <c r="L270" t="s">
        <v>19</v>
      </c>
      <c r="M270">
        <v>0</v>
      </c>
      <c r="N270">
        <v>2</v>
      </c>
      <c r="O270" t="s">
        <v>19</v>
      </c>
      <c r="P270" t="s">
        <v>21</v>
      </c>
      <c r="Q270" t="s">
        <v>22</v>
      </c>
    </row>
    <row r="271" spans="1:17" x14ac:dyDescent="0.2">
      <c r="A271" t="s">
        <v>23</v>
      </c>
      <c r="B271">
        <v>23</v>
      </c>
      <c r="C271">
        <v>1.72</v>
      </c>
      <c r="D271">
        <v>66</v>
      </c>
      <c r="E271" t="s">
        <v>18</v>
      </c>
      <c r="F271" t="s">
        <v>18</v>
      </c>
      <c r="G271">
        <v>2</v>
      </c>
      <c r="H271">
        <v>3</v>
      </c>
      <c r="I271" t="s">
        <v>20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25</v>
      </c>
      <c r="Q271" t="s">
        <v>22</v>
      </c>
    </row>
    <row r="272" spans="1:17" x14ac:dyDescent="0.2">
      <c r="A272" t="s">
        <v>23</v>
      </c>
      <c r="B272">
        <v>23</v>
      </c>
      <c r="C272">
        <v>1.82</v>
      </c>
      <c r="D272">
        <v>107</v>
      </c>
      <c r="E272" t="s">
        <v>19</v>
      </c>
      <c r="F272" t="s">
        <v>18</v>
      </c>
      <c r="G272">
        <v>2</v>
      </c>
      <c r="H272">
        <v>3</v>
      </c>
      <c r="I272" t="s">
        <v>20</v>
      </c>
      <c r="J272" t="s">
        <v>19</v>
      </c>
      <c r="K272">
        <v>3</v>
      </c>
      <c r="L272" t="s">
        <v>19</v>
      </c>
      <c r="M272">
        <v>0</v>
      </c>
      <c r="N272">
        <v>1</v>
      </c>
      <c r="O272" t="s">
        <v>20</v>
      </c>
      <c r="P272" t="s">
        <v>21</v>
      </c>
      <c r="Q272" t="s">
        <v>30</v>
      </c>
    </row>
    <row r="273" spans="1:17" x14ac:dyDescent="0.2">
      <c r="A273" t="s">
        <v>17</v>
      </c>
      <c r="B273">
        <v>19</v>
      </c>
      <c r="C273">
        <v>1.5</v>
      </c>
      <c r="D273">
        <v>50</v>
      </c>
      <c r="E273" t="s">
        <v>19</v>
      </c>
      <c r="F273" t="s">
        <v>18</v>
      </c>
      <c r="G273">
        <v>2</v>
      </c>
      <c r="H273">
        <v>3</v>
      </c>
      <c r="I273" t="s">
        <v>24</v>
      </c>
      <c r="J273" t="s">
        <v>19</v>
      </c>
      <c r="K273">
        <v>1</v>
      </c>
      <c r="L273" t="s">
        <v>19</v>
      </c>
      <c r="M273">
        <v>0</v>
      </c>
      <c r="N273">
        <v>2</v>
      </c>
      <c r="O273" t="s">
        <v>20</v>
      </c>
      <c r="P273" t="s">
        <v>21</v>
      </c>
      <c r="Q273" t="s">
        <v>22</v>
      </c>
    </row>
    <row r="274" spans="1:17" x14ac:dyDescent="0.2">
      <c r="A274" t="s">
        <v>23</v>
      </c>
      <c r="B274">
        <v>18</v>
      </c>
      <c r="C274">
        <v>1.7</v>
      </c>
      <c r="D274">
        <v>60</v>
      </c>
      <c r="E274" t="s">
        <v>19</v>
      </c>
      <c r="F274" t="s">
        <v>18</v>
      </c>
      <c r="G274">
        <v>2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2</v>
      </c>
      <c r="N274">
        <v>1</v>
      </c>
      <c r="O274" t="s">
        <v>19</v>
      </c>
      <c r="P274" t="s">
        <v>21</v>
      </c>
      <c r="Q274" t="s">
        <v>22</v>
      </c>
    </row>
    <row r="275" spans="1:17" x14ac:dyDescent="0.2">
      <c r="A275" t="s">
        <v>23</v>
      </c>
      <c r="B275">
        <v>25</v>
      </c>
      <c r="C275">
        <v>1.71</v>
      </c>
      <c r="D275">
        <v>71</v>
      </c>
      <c r="E275" t="s">
        <v>18</v>
      </c>
      <c r="F275" t="s">
        <v>18</v>
      </c>
      <c r="G275">
        <v>2</v>
      </c>
      <c r="H275">
        <v>3</v>
      </c>
      <c r="I275" t="s">
        <v>24</v>
      </c>
      <c r="J275" t="s">
        <v>19</v>
      </c>
      <c r="K275">
        <v>2</v>
      </c>
      <c r="L275" t="s">
        <v>19</v>
      </c>
      <c r="M275">
        <v>0</v>
      </c>
      <c r="N275">
        <v>0</v>
      </c>
      <c r="O275" t="s">
        <v>20</v>
      </c>
      <c r="P275" t="s">
        <v>29</v>
      </c>
      <c r="Q275" t="s">
        <v>22</v>
      </c>
    </row>
    <row r="276" spans="1:17" x14ac:dyDescent="0.2">
      <c r="A276" t="s">
        <v>17</v>
      </c>
      <c r="B276">
        <v>25</v>
      </c>
      <c r="C276">
        <v>1.61</v>
      </c>
      <c r="D276">
        <v>61</v>
      </c>
      <c r="E276" t="s">
        <v>19</v>
      </c>
      <c r="F276" t="s">
        <v>19</v>
      </c>
      <c r="G276">
        <v>2</v>
      </c>
      <c r="H276">
        <v>3</v>
      </c>
      <c r="I276" t="s">
        <v>20</v>
      </c>
      <c r="J276" t="s">
        <v>19</v>
      </c>
      <c r="K276">
        <v>1</v>
      </c>
      <c r="L276" t="s">
        <v>19</v>
      </c>
      <c r="M276">
        <v>2</v>
      </c>
      <c r="N276">
        <v>1</v>
      </c>
      <c r="O276" t="s">
        <v>20</v>
      </c>
      <c r="P276" t="s">
        <v>21</v>
      </c>
      <c r="Q276" t="s">
        <v>22</v>
      </c>
    </row>
    <row r="277" spans="1:17" x14ac:dyDescent="0.2">
      <c r="A277" t="s">
        <v>17</v>
      </c>
      <c r="B277">
        <v>18</v>
      </c>
      <c r="C277">
        <v>1.5</v>
      </c>
      <c r="D277">
        <v>50</v>
      </c>
      <c r="E277" t="s">
        <v>18</v>
      </c>
      <c r="F277" t="s">
        <v>18</v>
      </c>
      <c r="G277">
        <v>3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1</v>
      </c>
      <c r="O277" t="s">
        <v>20</v>
      </c>
      <c r="P277" t="s">
        <v>21</v>
      </c>
      <c r="Q277" t="s">
        <v>22</v>
      </c>
    </row>
    <row r="278" spans="1:17" x14ac:dyDescent="0.2">
      <c r="A278" t="s">
        <v>23</v>
      </c>
      <c r="B278">
        <v>16</v>
      </c>
      <c r="C278">
        <v>1.67</v>
      </c>
      <c r="D278">
        <v>50</v>
      </c>
      <c r="E278" t="s">
        <v>18</v>
      </c>
      <c r="F278" t="s">
        <v>18</v>
      </c>
      <c r="G278">
        <v>2</v>
      </c>
      <c r="H278">
        <v>1</v>
      </c>
      <c r="I278" t="s">
        <v>24</v>
      </c>
      <c r="J278" t="s">
        <v>19</v>
      </c>
      <c r="K278">
        <v>3</v>
      </c>
      <c r="L278" t="s">
        <v>19</v>
      </c>
      <c r="M278">
        <v>1</v>
      </c>
      <c r="N278">
        <v>0</v>
      </c>
      <c r="O278" t="s">
        <v>19</v>
      </c>
      <c r="P278" t="s">
        <v>21</v>
      </c>
      <c r="Q278" t="s">
        <v>32</v>
      </c>
    </row>
    <row r="279" spans="1:17" x14ac:dyDescent="0.2">
      <c r="A279" t="s">
        <v>23</v>
      </c>
      <c r="B279">
        <v>21</v>
      </c>
      <c r="C279">
        <v>1.82</v>
      </c>
      <c r="D279">
        <v>67</v>
      </c>
      <c r="E279" t="s">
        <v>19</v>
      </c>
      <c r="F279" t="s">
        <v>18</v>
      </c>
      <c r="G279">
        <v>2</v>
      </c>
      <c r="H279">
        <v>4</v>
      </c>
      <c r="I279" t="s">
        <v>31</v>
      </c>
      <c r="J279" t="s">
        <v>18</v>
      </c>
      <c r="K279">
        <v>3</v>
      </c>
      <c r="L279" t="s">
        <v>19</v>
      </c>
      <c r="M279">
        <v>3</v>
      </c>
      <c r="N279">
        <v>2</v>
      </c>
      <c r="O279" t="s">
        <v>20</v>
      </c>
      <c r="P279" t="s">
        <v>25</v>
      </c>
      <c r="Q279" t="s">
        <v>22</v>
      </c>
    </row>
    <row r="280" spans="1:17" x14ac:dyDescent="0.2">
      <c r="A280" t="s">
        <v>17</v>
      </c>
      <c r="B280">
        <v>32</v>
      </c>
      <c r="C280">
        <v>1.57</v>
      </c>
      <c r="D280">
        <v>57</v>
      </c>
      <c r="E280" t="s">
        <v>18</v>
      </c>
      <c r="F280" t="s">
        <v>18</v>
      </c>
      <c r="G280">
        <v>3</v>
      </c>
      <c r="H280">
        <v>3</v>
      </c>
      <c r="I280" t="s">
        <v>20</v>
      </c>
      <c r="J280" t="s">
        <v>19</v>
      </c>
      <c r="K280">
        <v>2</v>
      </c>
      <c r="L280" t="s">
        <v>19</v>
      </c>
      <c r="M280">
        <v>0</v>
      </c>
      <c r="N280">
        <v>0</v>
      </c>
      <c r="O280" t="s">
        <v>20</v>
      </c>
      <c r="P280" t="s">
        <v>28</v>
      </c>
      <c r="Q280" t="s">
        <v>22</v>
      </c>
    </row>
    <row r="281" spans="1:17" x14ac:dyDescent="0.2">
      <c r="A281" t="s">
        <v>23</v>
      </c>
      <c r="B281">
        <v>18</v>
      </c>
      <c r="C281">
        <v>1.79</v>
      </c>
      <c r="D281">
        <v>52</v>
      </c>
      <c r="E281" t="s">
        <v>19</v>
      </c>
      <c r="F281" t="s">
        <v>19</v>
      </c>
      <c r="G281">
        <v>3</v>
      </c>
      <c r="H281">
        <v>3</v>
      </c>
      <c r="I281" t="s">
        <v>20</v>
      </c>
      <c r="J281" t="s">
        <v>19</v>
      </c>
      <c r="K281">
        <v>2</v>
      </c>
      <c r="L281" t="s">
        <v>19</v>
      </c>
      <c r="M281">
        <v>1</v>
      </c>
      <c r="N281">
        <v>1</v>
      </c>
      <c r="O281" t="s">
        <v>20</v>
      </c>
      <c r="P281" t="s">
        <v>21</v>
      </c>
      <c r="Q281" t="s">
        <v>32</v>
      </c>
    </row>
    <row r="282" spans="1:17" x14ac:dyDescent="0.2">
      <c r="A282" t="s">
        <v>23</v>
      </c>
      <c r="B282">
        <v>21</v>
      </c>
      <c r="C282">
        <v>1.75</v>
      </c>
      <c r="D282">
        <v>62</v>
      </c>
      <c r="E282" t="s">
        <v>19</v>
      </c>
      <c r="F282" t="s">
        <v>18</v>
      </c>
      <c r="G282">
        <v>3</v>
      </c>
      <c r="H282">
        <v>4</v>
      </c>
      <c r="I282" t="s">
        <v>24</v>
      </c>
      <c r="J282" t="s">
        <v>18</v>
      </c>
      <c r="K282">
        <v>2</v>
      </c>
      <c r="L282" t="s">
        <v>19</v>
      </c>
      <c r="M282">
        <v>0</v>
      </c>
      <c r="N282">
        <v>0</v>
      </c>
      <c r="O282" t="s">
        <v>20</v>
      </c>
      <c r="P282" t="s">
        <v>21</v>
      </c>
      <c r="Q282" t="s">
        <v>22</v>
      </c>
    </row>
    <row r="283" spans="1:17" x14ac:dyDescent="0.2">
      <c r="A283" t="s">
        <v>23</v>
      </c>
      <c r="B283">
        <v>18</v>
      </c>
      <c r="C283">
        <v>1.7</v>
      </c>
      <c r="D283">
        <v>55</v>
      </c>
      <c r="E283" t="s">
        <v>18</v>
      </c>
      <c r="F283" t="s">
        <v>18</v>
      </c>
      <c r="G283">
        <v>2</v>
      </c>
      <c r="H283">
        <v>3</v>
      </c>
      <c r="I283" t="s">
        <v>24</v>
      </c>
      <c r="J283" t="s">
        <v>19</v>
      </c>
      <c r="K283">
        <v>2</v>
      </c>
      <c r="L283" t="s">
        <v>19</v>
      </c>
      <c r="M283">
        <v>0</v>
      </c>
      <c r="N283">
        <v>0</v>
      </c>
      <c r="O283" t="s">
        <v>20</v>
      </c>
      <c r="P283" t="s">
        <v>21</v>
      </c>
      <c r="Q283" t="s">
        <v>22</v>
      </c>
    </row>
    <row r="284" spans="1:17" x14ac:dyDescent="0.2">
      <c r="A284" t="s">
        <v>17</v>
      </c>
      <c r="B284">
        <v>18</v>
      </c>
      <c r="C284">
        <v>1.62</v>
      </c>
      <c r="D284">
        <v>55</v>
      </c>
      <c r="E284" t="s">
        <v>18</v>
      </c>
      <c r="F284" t="s">
        <v>18</v>
      </c>
      <c r="G284">
        <v>2</v>
      </c>
      <c r="H284">
        <v>3</v>
      </c>
      <c r="I284" t="s">
        <v>24</v>
      </c>
      <c r="J284" t="s">
        <v>19</v>
      </c>
      <c r="K284">
        <v>1</v>
      </c>
      <c r="L284" t="s">
        <v>19</v>
      </c>
      <c r="M284">
        <v>1</v>
      </c>
      <c r="N284">
        <v>1</v>
      </c>
      <c r="O284" t="s">
        <v>19</v>
      </c>
      <c r="P284" t="s">
        <v>21</v>
      </c>
      <c r="Q284" t="s">
        <v>22</v>
      </c>
    </row>
    <row r="285" spans="1:17" x14ac:dyDescent="0.2">
      <c r="A285" t="s">
        <v>23</v>
      </c>
      <c r="B285">
        <v>17</v>
      </c>
      <c r="C285">
        <v>1.69</v>
      </c>
      <c r="D285">
        <v>60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2</v>
      </c>
      <c r="N285">
        <v>1</v>
      </c>
      <c r="O285" t="s">
        <v>20</v>
      </c>
      <c r="P285" t="s">
        <v>25</v>
      </c>
      <c r="Q285" t="s">
        <v>22</v>
      </c>
    </row>
    <row r="286" spans="1:17" x14ac:dyDescent="0.2">
      <c r="A286" t="s">
        <v>23</v>
      </c>
      <c r="B286">
        <v>20</v>
      </c>
      <c r="C286">
        <v>1.77</v>
      </c>
      <c r="D286">
        <v>70</v>
      </c>
      <c r="E286" t="s">
        <v>18</v>
      </c>
      <c r="F286" t="s">
        <v>18</v>
      </c>
      <c r="G286">
        <v>1</v>
      </c>
      <c r="H286">
        <v>1</v>
      </c>
      <c r="I286" t="s">
        <v>20</v>
      </c>
      <c r="J286" t="s">
        <v>19</v>
      </c>
      <c r="K286">
        <v>2</v>
      </c>
      <c r="L286" t="s">
        <v>19</v>
      </c>
      <c r="M286">
        <v>1</v>
      </c>
      <c r="N286">
        <v>1</v>
      </c>
      <c r="O286" t="s">
        <v>20</v>
      </c>
      <c r="P286" t="s">
        <v>21</v>
      </c>
      <c r="Q286" t="s">
        <v>22</v>
      </c>
    </row>
    <row r="287" spans="1:17" x14ac:dyDescent="0.2">
      <c r="A287" t="s">
        <v>23</v>
      </c>
      <c r="B287">
        <v>21</v>
      </c>
      <c r="C287">
        <v>1.79</v>
      </c>
      <c r="D287">
        <v>105</v>
      </c>
      <c r="E287" t="s">
        <v>18</v>
      </c>
      <c r="F287" t="s">
        <v>18</v>
      </c>
      <c r="G287">
        <v>2</v>
      </c>
      <c r="H287">
        <v>3</v>
      </c>
      <c r="I287" t="s">
        <v>31</v>
      </c>
      <c r="J287" t="s">
        <v>19</v>
      </c>
      <c r="K287">
        <v>1</v>
      </c>
      <c r="L287" t="s">
        <v>19</v>
      </c>
      <c r="M287">
        <v>0</v>
      </c>
      <c r="N287">
        <v>0</v>
      </c>
      <c r="O287" t="s">
        <v>20</v>
      </c>
      <c r="P287" t="s">
        <v>21</v>
      </c>
      <c r="Q287" t="s">
        <v>30</v>
      </c>
    </row>
    <row r="288" spans="1:17" x14ac:dyDescent="0.2">
      <c r="A288" t="s">
        <v>17</v>
      </c>
      <c r="B288">
        <v>21</v>
      </c>
      <c r="C288">
        <v>1.6</v>
      </c>
      <c r="D288">
        <v>61</v>
      </c>
      <c r="E288" t="s">
        <v>19</v>
      </c>
      <c r="F288" t="s">
        <v>18</v>
      </c>
      <c r="G288">
        <v>2</v>
      </c>
      <c r="H288">
        <v>3</v>
      </c>
      <c r="I288" t="s">
        <v>20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20</v>
      </c>
      <c r="P288" t="s">
        <v>21</v>
      </c>
      <c r="Q288" t="s">
        <v>22</v>
      </c>
    </row>
    <row r="289" spans="1:17" x14ac:dyDescent="0.2">
      <c r="A289" t="s">
        <v>17</v>
      </c>
      <c r="B289">
        <v>18</v>
      </c>
      <c r="C289">
        <v>1.6</v>
      </c>
      <c r="D289">
        <v>58</v>
      </c>
      <c r="E289" t="s">
        <v>18</v>
      </c>
      <c r="F289" t="s">
        <v>18</v>
      </c>
      <c r="G289">
        <v>2</v>
      </c>
      <c r="H289">
        <v>3</v>
      </c>
      <c r="I289" t="s">
        <v>20</v>
      </c>
      <c r="J289" t="s">
        <v>19</v>
      </c>
      <c r="K289">
        <v>3</v>
      </c>
      <c r="L289" t="s">
        <v>19</v>
      </c>
      <c r="M289">
        <v>3</v>
      </c>
      <c r="N289">
        <v>0</v>
      </c>
      <c r="O289" t="s">
        <v>19</v>
      </c>
      <c r="P289" t="s">
        <v>21</v>
      </c>
      <c r="Q289" t="s">
        <v>22</v>
      </c>
    </row>
    <row r="290" spans="1:17" x14ac:dyDescent="0.2">
      <c r="A290" t="s">
        <v>17</v>
      </c>
      <c r="B290">
        <v>17</v>
      </c>
      <c r="C290">
        <v>1.56</v>
      </c>
      <c r="D290">
        <v>51</v>
      </c>
      <c r="E290" t="s">
        <v>19</v>
      </c>
      <c r="F290" t="s">
        <v>18</v>
      </c>
      <c r="G290">
        <v>3</v>
      </c>
      <c r="H290">
        <v>3</v>
      </c>
      <c r="I290" t="s">
        <v>20</v>
      </c>
      <c r="J290" t="s">
        <v>19</v>
      </c>
      <c r="K290">
        <v>1</v>
      </c>
      <c r="L290" t="s">
        <v>19</v>
      </c>
      <c r="M290">
        <v>0</v>
      </c>
      <c r="N290">
        <v>2</v>
      </c>
      <c r="O290" t="s">
        <v>19</v>
      </c>
      <c r="P290" t="s">
        <v>21</v>
      </c>
      <c r="Q290" t="s">
        <v>22</v>
      </c>
    </row>
    <row r="291" spans="1:17" x14ac:dyDescent="0.2">
      <c r="A291" t="s">
        <v>23</v>
      </c>
      <c r="B291">
        <v>19</v>
      </c>
      <c r="C291">
        <v>1.88</v>
      </c>
      <c r="D291">
        <v>79</v>
      </c>
      <c r="E291" t="s">
        <v>19</v>
      </c>
      <c r="F291" t="s">
        <v>19</v>
      </c>
      <c r="G291">
        <v>2</v>
      </c>
      <c r="H291">
        <v>3</v>
      </c>
      <c r="I291" t="s">
        <v>20</v>
      </c>
      <c r="J291" t="s">
        <v>19</v>
      </c>
      <c r="K291">
        <v>3</v>
      </c>
      <c r="L291" t="s">
        <v>19</v>
      </c>
      <c r="M291">
        <v>3</v>
      </c>
      <c r="N291">
        <v>0</v>
      </c>
      <c r="O291" t="s">
        <v>20</v>
      </c>
      <c r="P291" t="s">
        <v>28</v>
      </c>
      <c r="Q291" t="s">
        <v>22</v>
      </c>
    </row>
    <row r="292" spans="1:17" x14ac:dyDescent="0.2">
      <c r="A292" t="s">
        <v>23</v>
      </c>
      <c r="B292">
        <v>16</v>
      </c>
      <c r="C292">
        <v>1.82</v>
      </c>
      <c r="D292">
        <v>71</v>
      </c>
      <c r="E292" t="s">
        <v>18</v>
      </c>
      <c r="F292" t="s">
        <v>18</v>
      </c>
      <c r="G292">
        <v>2</v>
      </c>
      <c r="H292">
        <v>3</v>
      </c>
      <c r="I292" t="s">
        <v>24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</row>
    <row r="293" spans="1:17" x14ac:dyDescent="0.2">
      <c r="A293" t="s">
        <v>23</v>
      </c>
      <c r="B293">
        <v>17</v>
      </c>
      <c r="C293">
        <v>1.8</v>
      </c>
      <c r="D293">
        <v>58</v>
      </c>
      <c r="E293" t="s">
        <v>19</v>
      </c>
      <c r="F293" t="s">
        <v>18</v>
      </c>
      <c r="G293">
        <v>2</v>
      </c>
      <c r="H293">
        <v>3</v>
      </c>
      <c r="I293" t="s">
        <v>24</v>
      </c>
      <c r="J293" t="s">
        <v>19</v>
      </c>
      <c r="K293">
        <v>2</v>
      </c>
      <c r="L293" t="s">
        <v>19</v>
      </c>
      <c r="M293">
        <v>2</v>
      </c>
      <c r="N293">
        <v>1</v>
      </c>
      <c r="O293" t="s">
        <v>19</v>
      </c>
      <c r="P293" t="s">
        <v>25</v>
      </c>
      <c r="Q293" t="s">
        <v>32</v>
      </c>
    </row>
    <row r="294" spans="1:17" x14ac:dyDescent="0.2">
      <c r="A294" t="s">
        <v>23</v>
      </c>
      <c r="B294">
        <v>21</v>
      </c>
      <c r="C294">
        <v>1.7</v>
      </c>
      <c r="D294">
        <v>65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1</v>
      </c>
      <c r="N294">
        <v>1</v>
      </c>
      <c r="O294" t="s">
        <v>19</v>
      </c>
      <c r="P294" t="s">
        <v>21</v>
      </c>
      <c r="Q294" t="s">
        <v>22</v>
      </c>
    </row>
    <row r="295" spans="1:17" x14ac:dyDescent="0.2">
      <c r="A295" t="s">
        <v>23</v>
      </c>
      <c r="B295">
        <v>19</v>
      </c>
      <c r="C295">
        <v>1.82</v>
      </c>
      <c r="D295">
        <v>75</v>
      </c>
      <c r="E295" t="s">
        <v>18</v>
      </c>
      <c r="F295" t="s">
        <v>19</v>
      </c>
      <c r="G295">
        <v>2</v>
      </c>
      <c r="H295">
        <v>3</v>
      </c>
      <c r="I295" t="s">
        <v>24</v>
      </c>
      <c r="J295" t="s">
        <v>19</v>
      </c>
      <c r="K295">
        <v>2</v>
      </c>
      <c r="L295" t="s">
        <v>19</v>
      </c>
      <c r="M295">
        <v>1</v>
      </c>
      <c r="N295">
        <v>0</v>
      </c>
      <c r="O295" t="s">
        <v>19</v>
      </c>
      <c r="P295" t="s">
        <v>21</v>
      </c>
      <c r="Q295" t="s">
        <v>22</v>
      </c>
    </row>
    <row r="296" spans="1:17" x14ac:dyDescent="0.2">
      <c r="A296" t="s">
        <v>23</v>
      </c>
      <c r="B296">
        <v>18</v>
      </c>
      <c r="C296">
        <v>1.86</v>
      </c>
      <c r="D296">
        <v>110</v>
      </c>
      <c r="E296" t="s">
        <v>18</v>
      </c>
      <c r="F296" t="s">
        <v>18</v>
      </c>
      <c r="G296">
        <v>2</v>
      </c>
      <c r="H296">
        <v>1</v>
      </c>
      <c r="I296" t="s">
        <v>20</v>
      </c>
      <c r="J296" t="s">
        <v>18</v>
      </c>
      <c r="K296">
        <v>2</v>
      </c>
      <c r="L296" t="s">
        <v>19</v>
      </c>
      <c r="M296">
        <v>1</v>
      </c>
      <c r="N296">
        <v>2</v>
      </c>
      <c r="O296" t="s">
        <v>20</v>
      </c>
      <c r="P296" t="s">
        <v>21</v>
      </c>
      <c r="Q296" t="s">
        <v>30</v>
      </c>
    </row>
    <row r="297" spans="1:17" x14ac:dyDescent="0.2">
      <c r="A297" t="s">
        <v>17</v>
      </c>
      <c r="B297">
        <v>16</v>
      </c>
      <c r="C297">
        <v>1.66</v>
      </c>
      <c r="D297">
        <v>58</v>
      </c>
      <c r="E297" t="s">
        <v>19</v>
      </c>
      <c r="F297" t="s">
        <v>19</v>
      </c>
      <c r="G297">
        <v>2</v>
      </c>
      <c r="H297">
        <v>1</v>
      </c>
      <c r="I297" t="s">
        <v>20</v>
      </c>
      <c r="J297" t="s">
        <v>19</v>
      </c>
      <c r="K297">
        <v>1</v>
      </c>
      <c r="L297" t="s">
        <v>19</v>
      </c>
      <c r="M297">
        <v>0</v>
      </c>
      <c r="N297">
        <v>1</v>
      </c>
      <c r="O297" t="s">
        <v>19</v>
      </c>
      <c r="P297" t="s">
        <v>25</v>
      </c>
      <c r="Q297" t="s">
        <v>22</v>
      </c>
    </row>
    <row r="298" spans="1:17" x14ac:dyDescent="0.2">
      <c r="A298" t="s">
        <v>17</v>
      </c>
      <c r="B298">
        <v>21</v>
      </c>
      <c r="C298">
        <v>1.53</v>
      </c>
      <c r="D298">
        <v>53</v>
      </c>
      <c r="E298" t="s">
        <v>19</v>
      </c>
      <c r="F298" t="s">
        <v>18</v>
      </c>
      <c r="G298">
        <v>3</v>
      </c>
      <c r="H298">
        <v>3</v>
      </c>
      <c r="I298" t="s">
        <v>20</v>
      </c>
      <c r="J298" t="s">
        <v>19</v>
      </c>
      <c r="K298">
        <v>2</v>
      </c>
      <c r="L298" t="s">
        <v>19</v>
      </c>
      <c r="M298">
        <v>2</v>
      </c>
      <c r="N298">
        <v>1</v>
      </c>
      <c r="O298" t="s">
        <v>20</v>
      </c>
      <c r="P298" t="s">
        <v>21</v>
      </c>
      <c r="Q298" t="s">
        <v>22</v>
      </c>
    </row>
    <row r="299" spans="1:17" x14ac:dyDescent="0.2">
      <c r="A299" t="s">
        <v>23</v>
      </c>
      <c r="B299">
        <v>26</v>
      </c>
      <c r="C299">
        <v>1.74</v>
      </c>
      <c r="D299">
        <v>80</v>
      </c>
      <c r="E299" t="s">
        <v>19</v>
      </c>
      <c r="F299" t="s">
        <v>19</v>
      </c>
      <c r="G299">
        <v>2</v>
      </c>
      <c r="H299">
        <v>3</v>
      </c>
      <c r="I299" t="s">
        <v>20</v>
      </c>
      <c r="J299" t="s">
        <v>19</v>
      </c>
      <c r="K299">
        <v>2</v>
      </c>
      <c r="L299" t="s">
        <v>19</v>
      </c>
      <c r="M299">
        <v>2</v>
      </c>
      <c r="N299">
        <v>0</v>
      </c>
      <c r="O299" t="s">
        <v>19</v>
      </c>
      <c r="P299" t="s">
        <v>28</v>
      </c>
      <c r="Q299" t="s">
        <v>26</v>
      </c>
    </row>
    <row r="300" spans="1:17" x14ac:dyDescent="0.2">
      <c r="A300" t="s">
        <v>23</v>
      </c>
      <c r="B300">
        <v>18</v>
      </c>
      <c r="C300">
        <v>1.8</v>
      </c>
      <c r="D300">
        <v>80</v>
      </c>
      <c r="E300" t="s">
        <v>18</v>
      </c>
      <c r="F300" t="s">
        <v>18</v>
      </c>
      <c r="G300">
        <v>2</v>
      </c>
      <c r="H300">
        <v>3</v>
      </c>
      <c r="I300" t="s">
        <v>24</v>
      </c>
      <c r="J300" t="s">
        <v>19</v>
      </c>
      <c r="K300">
        <v>1</v>
      </c>
      <c r="L300" t="s">
        <v>19</v>
      </c>
      <c r="M300">
        <v>0</v>
      </c>
      <c r="N300">
        <v>1</v>
      </c>
      <c r="O300" t="s">
        <v>24</v>
      </c>
      <c r="P300" t="s">
        <v>21</v>
      </c>
      <c r="Q300" t="s">
        <v>22</v>
      </c>
    </row>
    <row r="301" spans="1:17" x14ac:dyDescent="0.2">
      <c r="A301" t="s">
        <v>23</v>
      </c>
      <c r="B301">
        <v>23</v>
      </c>
      <c r="C301">
        <v>1.7</v>
      </c>
      <c r="D301">
        <v>75</v>
      </c>
      <c r="E301" t="s">
        <v>19</v>
      </c>
      <c r="F301" t="s">
        <v>18</v>
      </c>
      <c r="G301">
        <v>3</v>
      </c>
      <c r="H301">
        <v>3</v>
      </c>
      <c r="I301" t="s">
        <v>20</v>
      </c>
      <c r="J301" t="s">
        <v>19</v>
      </c>
      <c r="K301">
        <v>3</v>
      </c>
      <c r="L301" t="s">
        <v>19</v>
      </c>
      <c r="M301">
        <v>1</v>
      </c>
      <c r="N301">
        <v>2</v>
      </c>
      <c r="O301" t="s">
        <v>20</v>
      </c>
      <c r="P301" t="s">
        <v>21</v>
      </c>
      <c r="Q301" t="s">
        <v>26</v>
      </c>
    </row>
    <row r="302" spans="1:17" x14ac:dyDescent="0.2">
      <c r="A302" t="s">
        <v>23</v>
      </c>
      <c r="B302">
        <v>26</v>
      </c>
      <c r="C302">
        <v>1.7</v>
      </c>
      <c r="D302">
        <v>70</v>
      </c>
      <c r="E302" t="s">
        <v>19</v>
      </c>
      <c r="F302" t="s">
        <v>18</v>
      </c>
      <c r="G302">
        <v>2</v>
      </c>
      <c r="H302">
        <v>3</v>
      </c>
      <c r="I302" t="s">
        <v>20</v>
      </c>
      <c r="J302" t="s">
        <v>18</v>
      </c>
      <c r="K302">
        <v>1</v>
      </c>
      <c r="L302" t="s">
        <v>19</v>
      </c>
      <c r="M302">
        <v>0</v>
      </c>
      <c r="N302">
        <v>0</v>
      </c>
      <c r="O302" t="s">
        <v>20</v>
      </c>
      <c r="P302" t="s">
        <v>21</v>
      </c>
      <c r="Q302" t="s">
        <v>22</v>
      </c>
    </row>
    <row r="303" spans="1:17" x14ac:dyDescent="0.2">
      <c r="A303" t="s">
        <v>23</v>
      </c>
      <c r="B303">
        <v>18</v>
      </c>
      <c r="C303">
        <v>1.72</v>
      </c>
      <c r="D303">
        <v>55</v>
      </c>
      <c r="E303" t="s">
        <v>19</v>
      </c>
      <c r="F303" t="s">
        <v>18</v>
      </c>
      <c r="G303">
        <v>2</v>
      </c>
      <c r="H303">
        <v>4</v>
      </c>
      <c r="I303" t="s">
        <v>20</v>
      </c>
      <c r="J303" t="s">
        <v>19</v>
      </c>
      <c r="K303">
        <v>2</v>
      </c>
      <c r="L303" t="s">
        <v>19</v>
      </c>
      <c r="M303">
        <v>2</v>
      </c>
      <c r="N303">
        <v>1</v>
      </c>
      <c r="O303" t="s">
        <v>20</v>
      </c>
      <c r="P303" t="s">
        <v>21</v>
      </c>
      <c r="Q303" t="s">
        <v>22</v>
      </c>
    </row>
    <row r="304" spans="1:17" x14ac:dyDescent="0.2">
      <c r="A304" t="s">
        <v>23</v>
      </c>
      <c r="B304">
        <v>16</v>
      </c>
      <c r="C304">
        <v>1.84</v>
      </c>
      <c r="D304">
        <v>45</v>
      </c>
      <c r="E304" t="s">
        <v>18</v>
      </c>
      <c r="F304" t="s">
        <v>18</v>
      </c>
      <c r="G304">
        <v>3</v>
      </c>
      <c r="H304">
        <v>3</v>
      </c>
      <c r="I304" t="s">
        <v>31</v>
      </c>
      <c r="J304" t="s">
        <v>19</v>
      </c>
      <c r="K304">
        <v>3</v>
      </c>
      <c r="L304" t="s">
        <v>19</v>
      </c>
      <c r="M304">
        <v>3</v>
      </c>
      <c r="N304">
        <v>2</v>
      </c>
      <c r="O304" t="s">
        <v>20</v>
      </c>
      <c r="P304" t="s">
        <v>25</v>
      </c>
      <c r="Q304" t="s">
        <v>32</v>
      </c>
    </row>
    <row r="305" spans="1:17" x14ac:dyDescent="0.2">
      <c r="A305" t="s">
        <v>17</v>
      </c>
      <c r="B305">
        <v>16</v>
      </c>
      <c r="C305">
        <v>1.57</v>
      </c>
      <c r="D305">
        <v>49</v>
      </c>
      <c r="E305" t="s">
        <v>19</v>
      </c>
      <c r="F305" t="s">
        <v>18</v>
      </c>
      <c r="G305">
        <v>2</v>
      </c>
      <c r="H305">
        <v>4</v>
      </c>
      <c r="I305" t="s">
        <v>31</v>
      </c>
      <c r="J305" t="s">
        <v>19</v>
      </c>
      <c r="K305">
        <v>2</v>
      </c>
      <c r="L305" t="s">
        <v>19</v>
      </c>
      <c r="M305">
        <v>0</v>
      </c>
      <c r="N305">
        <v>1</v>
      </c>
      <c r="O305" t="s">
        <v>20</v>
      </c>
      <c r="P305" t="s">
        <v>21</v>
      </c>
      <c r="Q305" t="s">
        <v>22</v>
      </c>
    </row>
    <row r="306" spans="1:17" x14ac:dyDescent="0.2">
      <c r="A306" t="s">
        <v>23</v>
      </c>
      <c r="B306">
        <v>20</v>
      </c>
      <c r="C306">
        <v>1.8</v>
      </c>
      <c r="D306">
        <v>85</v>
      </c>
      <c r="E306" t="s">
        <v>18</v>
      </c>
      <c r="F306" t="s">
        <v>19</v>
      </c>
      <c r="G306">
        <v>2</v>
      </c>
      <c r="H306">
        <v>3</v>
      </c>
      <c r="I306" t="s">
        <v>20</v>
      </c>
      <c r="J306" t="s">
        <v>19</v>
      </c>
      <c r="K306">
        <v>3</v>
      </c>
      <c r="L306" t="s">
        <v>19</v>
      </c>
      <c r="M306">
        <v>2</v>
      </c>
      <c r="N306">
        <v>1</v>
      </c>
      <c r="O306" t="s">
        <v>20</v>
      </c>
      <c r="P306" t="s">
        <v>21</v>
      </c>
      <c r="Q306" t="s">
        <v>26</v>
      </c>
    </row>
    <row r="307" spans="1:17" x14ac:dyDescent="0.2">
      <c r="A307" t="s">
        <v>23</v>
      </c>
      <c r="B307">
        <v>23</v>
      </c>
      <c r="C307">
        <v>1.75</v>
      </c>
      <c r="D307">
        <v>120</v>
      </c>
      <c r="E307" t="s">
        <v>18</v>
      </c>
      <c r="F307" t="s">
        <v>18</v>
      </c>
      <c r="G307">
        <v>2</v>
      </c>
      <c r="H307">
        <v>3</v>
      </c>
      <c r="I307" t="s">
        <v>20</v>
      </c>
      <c r="J307" t="s">
        <v>18</v>
      </c>
      <c r="K307">
        <v>2</v>
      </c>
      <c r="L307" t="s">
        <v>19</v>
      </c>
      <c r="M307">
        <v>2</v>
      </c>
      <c r="N307">
        <v>1</v>
      </c>
      <c r="O307" t="s">
        <v>20</v>
      </c>
      <c r="P307" t="s">
        <v>21</v>
      </c>
      <c r="Q307" t="s">
        <v>33</v>
      </c>
    </row>
    <row r="308" spans="1:17" x14ac:dyDescent="0.2">
      <c r="A308" t="s">
        <v>17</v>
      </c>
      <c r="B308">
        <v>24</v>
      </c>
      <c r="C308">
        <v>1.56</v>
      </c>
      <c r="D308">
        <v>60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0</v>
      </c>
      <c r="N308">
        <v>2</v>
      </c>
      <c r="O308" t="s">
        <v>20</v>
      </c>
      <c r="P308" t="s">
        <v>21</v>
      </c>
      <c r="Q308" t="s">
        <v>22</v>
      </c>
    </row>
    <row r="309" spans="1:17" x14ac:dyDescent="0.2">
      <c r="A309" t="s">
        <v>17</v>
      </c>
      <c r="B309">
        <v>23</v>
      </c>
      <c r="C309">
        <v>1.59</v>
      </c>
      <c r="D309">
        <v>48</v>
      </c>
      <c r="E309" t="s">
        <v>18</v>
      </c>
      <c r="F309" t="s">
        <v>18</v>
      </c>
      <c r="G309">
        <v>2</v>
      </c>
      <c r="H309">
        <v>1</v>
      </c>
      <c r="I309" t="s">
        <v>24</v>
      </c>
      <c r="J309" t="s">
        <v>19</v>
      </c>
      <c r="K309">
        <v>1</v>
      </c>
      <c r="L309" t="s">
        <v>19</v>
      </c>
      <c r="M309">
        <v>0</v>
      </c>
      <c r="N309">
        <v>2</v>
      </c>
      <c r="O309" t="s">
        <v>20</v>
      </c>
      <c r="P309" t="s">
        <v>21</v>
      </c>
      <c r="Q309" t="s">
        <v>22</v>
      </c>
    </row>
    <row r="310" spans="1:17" x14ac:dyDescent="0.2">
      <c r="A310" t="s">
        <v>23</v>
      </c>
      <c r="B310">
        <v>20</v>
      </c>
      <c r="C310">
        <v>1.8</v>
      </c>
      <c r="D310">
        <v>75</v>
      </c>
      <c r="E310" t="s">
        <v>19</v>
      </c>
      <c r="F310" t="s">
        <v>18</v>
      </c>
      <c r="G310">
        <v>3</v>
      </c>
      <c r="H310">
        <v>4</v>
      </c>
      <c r="I310" t="s">
        <v>31</v>
      </c>
      <c r="J310" t="s">
        <v>19</v>
      </c>
      <c r="K310">
        <v>3</v>
      </c>
      <c r="L310" t="s">
        <v>19</v>
      </c>
      <c r="M310">
        <v>2</v>
      </c>
      <c r="N310">
        <v>0</v>
      </c>
      <c r="O310" t="s">
        <v>20</v>
      </c>
      <c r="P310" t="s">
        <v>21</v>
      </c>
      <c r="Q310" t="s">
        <v>22</v>
      </c>
    </row>
    <row r="311" spans="1:17" x14ac:dyDescent="0.2">
      <c r="A311" t="s">
        <v>17</v>
      </c>
      <c r="B311">
        <v>16</v>
      </c>
      <c r="C311">
        <v>1.66</v>
      </c>
      <c r="D311">
        <v>58</v>
      </c>
      <c r="E311" t="s">
        <v>19</v>
      </c>
      <c r="F311" t="s">
        <v>19</v>
      </c>
      <c r="G311">
        <v>2</v>
      </c>
      <c r="H311">
        <v>1</v>
      </c>
      <c r="I311" t="s">
        <v>20</v>
      </c>
      <c r="J311" t="s">
        <v>19</v>
      </c>
      <c r="K311">
        <v>1</v>
      </c>
      <c r="L311" t="s">
        <v>19</v>
      </c>
      <c r="M311">
        <v>0</v>
      </c>
      <c r="N311">
        <v>1</v>
      </c>
      <c r="O311" t="s">
        <v>19</v>
      </c>
      <c r="P311" t="s">
        <v>25</v>
      </c>
      <c r="Q311" t="s">
        <v>22</v>
      </c>
    </row>
    <row r="312" spans="1:17" x14ac:dyDescent="0.2">
      <c r="A312" t="s">
        <v>23</v>
      </c>
      <c r="B312">
        <v>17</v>
      </c>
      <c r="C312">
        <v>1.79</v>
      </c>
      <c r="D312">
        <v>57</v>
      </c>
      <c r="E312" t="s">
        <v>18</v>
      </c>
      <c r="F312" t="s">
        <v>18</v>
      </c>
      <c r="G312">
        <v>2</v>
      </c>
      <c r="H312">
        <v>4</v>
      </c>
      <c r="I312" t="s">
        <v>24</v>
      </c>
      <c r="J312" t="s">
        <v>19</v>
      </c>
      <c r="K312">
        <v>2</v>
      </c>
      <c r="L312" t="s">
        <v>19</v>
      </c>
      <c r="M312">
        <v>2</v>
      </c>
      <c r="N312">
        <v>1</v>
      </c>
      <c r="O312" t="s">
        <v>19</v>
      </c>
      <c r="P312" t="s">
        <v>21</v>
      </c>
      <c r="Q312" t="s">
        <v>32</v>
      </c>
    </row>
    <row r="313" spans="1:17" x14ac:dyDescent="0.2">
      <c r="A313" t="s">
        <v>23</v>
      </c>
      <c r="B313">
        <v>17</v>
      </c>
      <c r="C313">
        <v>1.72</v>
      </c>
      <c r="D313">
        <v>62</v>
      </c>
      <c r="E313" t="s">
        <v>19</v>
      </c>
      <c r="F313" t="s">
        <v>18</v>
      </c>
      <c r="G313">
        <v>2</v>
      </c>
      <c r="H313">
        <v>3</v>
      </c>
      <c r="I313" t="s">
        <v>31</v>
      </c>
      <c r="J313" t="s">
        <v>19</v>
      </c>
      <c r="K313">
        <v>2</v>
      </c>
      <c r="L313" t="s">
        <v>19</v>
      </c>
      <c r="M313">
        <v>3</v>
      </c>
      <c r="N313">
        <v>1</v>
      </c>
      <c r="O313" t="s">
        <v>19</v>
      </c>
      <c r="P313" t="s">
        <v>21</v>
      </c>
      <c r="Q313" t="s">
        <v>22</v>
      </c>
    </row>
    <row r="314" spans="1:17" x14ac:dyDescent="0.2">
      <c r="A314" t="s">
        <v>17</v>
      </c>
      <c r="B314">
        <v>16</v>
      </c>
      <c r="C314">
        <v>1.6</v>
      </c>
      <c r="D314">
        <v>57</v>
      </c>
      <c r="E314" t="s">
        <v>19</v>
      </c>
      <c r="F314" t="s">
        <v>18</v>
      </c>
      <c r="G314">
        <v>3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3</v>
      </c>
      <c r="N314">
        <v>0</v>
      </c>
      <c r="O314" t="s">
        <v>19</v>
      </c>
      <c r="P314" t="s">
        <v>21</v>
      </c>
      <c r="Q314" t="s">
        <v>22</v>
      </c>
    </row>
    <row r="315" spans="1:17" x14ac:dyDescent="0.2">
      <c r="A315" t="s">
        <v>23</v>
      </c>
      <c r="B315">
        <v>17</v>
      </c>
      <c r="C315">
        <v>1.66</v>
      </c>
      <c r="D315">
        <v>56</v>
      </c>
      <c r="E315" t="s">
        <v>18</v>
      </c>
      <c r="F315" t="s">
        <v>18</v>
      </c>
      <c r="G315">
        <v>1</v>
      </c>
      <c r="H315">
        <v>3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20</v>
      </c>
      <c r="P315" t="s">
        <v>21</v>
      </c>
      <c r="Q315" t="s">
        <v>22</v>
      </c>
    </row>
    <row r="316" spans="1:17" x14ac:dyDescent="0.2">
      <c r="A316" t="s">
        <v>17</v>
      </c>
      <c r="B316">
        <v>26</v>
      </c>
      <c r="C316">
        <v>1.65</v>
      </c>
      <c r="D316">
        <v>63</v>
      </c>
      <c r="E316" t="s">
        <v>19</v>
      </c>
      <c r="F316" t="s">
        <v>18</v>
      </c>
      <c r="G316">
        <v>3</v>
      </c>
      <c r="H316">
        <v>3</v>
      </c>
      <c r="I316" t="s">
        <v>20</v>
      </c>
      <c r="J316" t="s">
        <v>19</v>
      </c>
      <c r="K316">
        <v>1</v>
      </c>
      <c r="L316" t="s">
        <v>19</v>
      </c>
      <c r="M316">
        <v>1</v>
      </c>
      <c r="N316">
        <v>0</v>
      </c>
      <c r="O316" t="s">
        <v>19</v>
      </c>
      <c r="P316" t="s">
        <v>25</v>
      </c>
      <c r="Q316" t="s">
        <v>22</v>
      </c>
    </row>
    <row r="317" spans="1:17" x14ac:dyDescent="0.2">
      <c r="A317" t="s">
        <v>23</v>
      </c>
      <c r="B317">
        <v>26</v>
      </c>
      <c r="C317">
        <v>1.7</v>
      </c>
      <c r="D317">
        <v>72</v>
      </c>
      <c r="E317" t="s">
        <v>19</v>
      </c>
      <c r="F317" t="s">
        <v>18</v>
      </c>
      <c r="G317">
        <v>2</v>
      </c>
      <c r="H317">
        <v>3</v>
      </c>
      <c r="I317" t="s">
        <v>31</v>
      </c>
      <c r="J317" t="s">
        <v>19</v>
      </c>
      <c r="K317">
        <v>2</v>
      </c>
      <c r="L317" t="s">
        <v>19</v>
      </c>
      <c r="M317">
        <v>0</v>
      </c>
      <c r="N317">
        <v>0</v>
      </c>
      <c r="O317" t="s">
        <v>20</v>
      </c>
      <c r="P317" t="s">
        <v>21</v>
      </c>
      <c r="Q317" t="s">
        <v>22</v>
      </c>
    </row>
    <row r="318" spans="1:17" x14ac:dyDescent="0.2">
      <c r="A318" t="s">
        <v>23</v>
      </c>
      <c r="B318">
        <v>38</v>
      </c>
      <c r="C318">
        <v>1.75</v>
      </c>
      <c r="D318">
        <v>75</v>
      </c>
      <c r="E318" t="s">
        <v>18</v>
      </c>
      <c r="F318" t="s">
        <v>19</v>
      </c>
      <c r="G318">
        <v>3</v>
      </c>
      <c r="H318">
        <v>3</v>
      </c>
      <c r="I318" t="s">
        <v>24</v>
      </c>
      <c r="J318" t="s">
        <v>19</v>
      </c>
      <c r="K318">
        <v>1</v>
      </c>
      <c r="L318" t="s">
        <v>19</v>
      </c>
      <c r="M318">
        <v>2</v>
      </c>
      <c r="N318">
        <v>1</v>
      </c>
      <c r="O318" t="s">
        <v>19</v>
      </c>
      <c r="P318" t="s">
        <v>28</v>
      </c>
      <c r="Q318" t="s">
        <v>22</v>
      </c>
    </row>
    <row r="319" spans="1:17" x14ac:dyDescent="0.2">
      <c r="A319" t="s">
        <v>23</v>
      </c>
      <c r="B319">
        <v>18</v>
      </c>
      <c r="C319">
        <v>1.75</v>
      </c>
      <c r="D319">
        <v>70</v>
      </c>
      <c r="E319" t="s">
        <v>19</v>
      </c>
      <c r="F319" t="s">
        <v>18</v>
      </c>
      <c r="G319">
        <v>3</v>
      </c>
      <c r="H319">
        <v>4</v>
      </c>
      <c r="I319" t="s">
        <v>20</v>
      </c>
      <c r="J319" t="s">
        <v>19</v>
      </c>
      <c r="K319">
        <v>2</v>
      </c>
      <c r="L319" t="s">
        <v>19</v>
      </c>
      <c r="M319">
        <v>1</v>
      </c>
      <c r="N319">
        <v>1</v>
      </c>
      <c r="O319" t="s">
        <v>19</v>
      </c>
      <c r="P319" t="s">
        <v>21</v>
      </c>
      <c r="Q319" t="s">
        <v>22</v>
      </c>
    </row>
    <row r="320" spans="1:17" x14ac:dyDescent="0.2">
      <c r="A320" t="s">
        <v>17</v>
      </c>
      <c r="B320">
        <v>25</v>
      </c>
      <c r="C320">
        <v>1.56</v>
      </c>
      <c r="D320">
        <v>45</v>
      </c>
      <c r="E320" t="s">
        <v>19</v>
      </c>
      <c r="F320" t="s">
        <v>18</v>
      </c>
      <c r="G320">
        <v>2</v>
      </c>
      <c r="H320">
        <v>3</v>
      </c>
      <c r="I320" t="s">
        <v>20</v>
      </c>
      <c r="J320" t="s">
        <v>19</v>
      </c>
      <c r="K320">
        <v>1</v>
      </c>
      <c r="L320" t="s">
        <v>19</v>
      </c>
      <c r="M320">
        <v>0</v>
      </c>
      <c r="N320">
        <v>0</v>
      </c>
      <c r="O320" t="s">
        <v>20</v>
      </c>
      <c r="P320" t="s">
        <v>21</v>
      </c>
      <c r="Q320" t="s">
        <v>22</v>
      </c>
    </row>
    <row r="321" spans="1:17" x14ac:dyDescent="0.2">
      <c r="A321" t="s">
        <v>17</v>
      </c>
      <c r="B321">
        <v>27</v>
      </c>
      <c r="C321">
        <v>1.55</v>
      </c>
      <c r="D321">
        <v>63</v>
      </c>
      <c r="E321" t="s">
        <v>19</v>
      </c>
      <c r="F321" t="s">
        <v>18</v>
      </c>
      <c r="G321">
        <v>2</v>
      </c>
      <c r="H321">
        <v>3</v>
      </c>
      <c r="I321" t="s">
        <v>20</v>
      </c>
      <c r="J321" t="s">
        <v>19</v>
      </c>
      <c r="K321">
        <v>1</v>
      </c>
      <c r="L321" t="s">
        <v>19</v>
      </c>
      <c r="M321">
        <v>0</v>
      </c>
      <c r="N321">
        <v>1</v>
      </c>
      <c r="O321" t="s">
        <v>20</v>
      </c>
      <c r="P321" t="s">
        <v>28</v>
      </c>
      <c r="Q321" t="s">
        <v>26</v>
      </c>
    </row>
    <row r="322" spans="1:17" x14ac:dyDescent="0.2">
      <c r="A322" t="s">
        <v>23</v>
      </c>
      <c r="B322">
        <v>21</v>
      </c>
      <c r="C322">
        <v>1.67</v>
      </c>
      <c r="D322">
        <v>67</v>
      </c>
      <c r="E322" t="s">
        <v>18</v>
      </c>
      <c r="F322" t="s">
        <v>18</v>
      </c>
      <c r="G322">
        <v>3</v>
      </c>
      <c r="H322">
        <v>1</v>
      </c>
      <c r="I322" t="s">
        <v>31</v>
      </c>
      <c r="J322" t="s">
        <v>19</v>
      </c>
      <c r="K322">
        <v>2</v>
      </c>
      <c r="L322" t="s">
        <v>19</v>
      </c>
      <c r="M322">
        <v>1</v>
      </c>
      <c r="N322">
        <v>1</v>
      </c>
      <c r="O322" t="s">
        <v>19</v>
      </c>
      <c r="P322" t="s">
        <v>21</v>
      </c>
      <c r="Q322" t="s">
        <v>22</v>
      </c>
    </row>
    <row r="323" spans="1:17" x14ac:dyDescent="0.2">
      <c r="A323" t="s">
        <v>23</v>
      </c>
      <c r="B323">
        <v>38</v>
      </c>
      <c r="C323">
        <v>1.75</v>
      </c>
      <c r="D323">
        <v>75</v>
      </c>
      <c r="E323" t="s">
        <v>18</v>
      </c>
      <c r="F323" t="s">
        <v>19</v>
      </c>
      <c r="G323">
        <v>3</v>
      </c>
      <c r="H323">
        <v>3</v>
      </c>
      <c r="I323" t="s">
        <v>24</v>
      </c>
      <c r="J323" t="s">
        <v>19</v>
      </c>
      <c r="K323">
        <v>1</v>
      </c>
      <c r="L323" t="s">
        <v>19</v>
      </c>
      <c r="M323">
        <v>3</v>
      </c>
      <c r="N323">
        <v>1</v>
      </c>
      <c r="O323" t="s">
        <v>19</v>
      </c>
      <c r="P323" t="s">
        <v>28</v>
      </c>
      <c r="Q323" t="s">
        <v>22</v>
      </c>
    </row>
    <row r="324" spans="1:17" x14ac:dyDescent="0.2">
      <c r="A324" t="s">
        <v>17</v>
      </c>
      <c r="B324">
        <v>23</v>
      </c>
      <c r="C324">
        <v>1.75</v>
      </c>
      <c r="D324">
        <v>56</v>
      </c>
      <c r="E324" t="s">
        <v>19</v>
      </c>
      <c r="F324" t="s">
        <v>19</v>
      </c>
      <c r="G324">
        <v>3</v>
      </c>
      <c r="H324">
        <v>3</v>
      </c>
      <c r="I324" t="s">
        <v>24</v>
      </c>
      <c r="J324" t="s">
        <v>19</v>
      </c>
      <c r="K324">
        <v>2</v>
      </c>
      <c r="L324" t="s">
        <v>19</v>
      </c>
      <c r="M324">
        <v>2</v>
      </c>
      <c r="N324">
        <v>0</v>
      </c>
      <c r="O324" t="s">
        <v>20</v>
      </c>
      <c r="P324" t="s">
        <v>21</v>
      </c>
      <c r="Q324" t="s">
        <v>32</v>
      </c>
    </row>
    <row r="325" spans="1:17" x14ac:dyDescent="0.2">
      <c r="A325" t="s">
        <v>23</v>
      </c>
      <c r="B325">
        <v>18</v>
      </c>
      <c r="C325">
        <v>1.8</v>
      </c>
      <c r="D325">
        <v>72</v>
      </c>
      <c r="E325" t="s">
        <v>18</v>
      </c>
      <c r="F325" t="s">
        <v>18</v>
      </c>
      <c r="G325">
        <v>2</v>
      </c>
      <c r="H325">
        <v>3</v>
      </c>
      <c r="I325" t="s">
        <v>20</v>
      </c>
      <c r="J325" t="s">
        <v>19</v>
      </c>
      <c r="K325">
        <v>2</v>
      </c>
      <c r="L325" t="s">
        <v>19</v>
      </c>
      <c r="M325">
        <v>3</v>
      </c>
      <c r="N325">
        <v>0</v>
      </c>
      <c r="O325" t="s">
        <v>20</v>
      </c>
      <c r="P325" t="s">
        <v>28</v>
      </c>
      <c r="Q325" t="s">
        <v>22</v>
      </c>
    </row>
    <row r="326" spans="1:17" x14ac:dyDescent="0.2">
      <c r="A326" t="s">
        <v>17</v>
      </c>
      <c r="B326">
        <v>30</v>
      </c>
      <c r="C326">
        <v>1.65</v>
      </c>
      <c r="D326">
        <v>71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1</v>
      </c>
      <c r="L326" t="s">
        <v>19</v>
      </c>
      <c r="M326">
        <v>0</v>
      </c>
      <c r="N326">
        <v>0</v>
      </c>
      <c r="O326" t="s">
        <v>20</v>
      </c>
      <c r="P326" t="s">
        <v>21</v>
      </c>
      <c r="Q326" t="s">
        <v>26</v>
      </c>
    </row>
    <row r="327" spans="1:17" x14ac:dyDescent="0.2">
      <c r="A327" t="s">
        <v>17</v>
      </c>
      <c r="B327">
        <v>21</v>
      </c>
      <c r="C327">
        <v>1.55</v>
      </c>
      <c r="D327">
        <v>58</v>
      </c>
      <c r="E327" t="s">
        <v>19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1</v>
      </c>
      <c r="L327" t="s">
        <v>19</v>
      </c>
      <c r="M327">
        <v>1</v>
      </c>
      <c r="N327">
        <v>0</v>
      </c>
      <c r="O327" t="s">
        <v>20</v>
      </c>
      <c r="P327" t="s">
        <v>21</v>
      </c>
      <c r="Q327" t="s">
        <v>22</v>
      </c>
    </row>
    <row r="328" spans="1:17" x14ac:dyDescent="0.2">
      <c r="A328" t="s">
        <v>23</v>
      </c>
      <c r="B328">
        <v>18</v>
      </c>
      <c r="C328">
        <v>1.7</v>
      </c>
      <c r="D328">
        <v>55.3</v>
      </c>
      <c r="E328" t="s">
        <v>18</v>
      </c>
      <c r="F328" t="s">
        <v>18</v>
      </c>
      <c r="G328">
        <v>3</v>
      </c>
      <c r="H328">
        <v>3</v>
      </c>
      <c r="I328" t="s">
        <v>20</v>
      </c>
      <c r="J328" t="s">
        <v>19</v>
      </c>
      <c r="K328">
        <v>2</v>
      </c>
      <c r="L328" t="s">
        <v>19</v>
      </c>
      <c r="M328">
        <v>3</v>
      </c>
      <c r="N328">
        <v>0</v>
      </c>
      <c r="O328" t="s">
        <v>20</v>
      </c>
      <c r="P328" t="s">
        <v>21</v>
      </c>
      <c r="Q328" t="s">
        <v>22</v>
      </c>
    </row>
    <row r="329" spans="1:17" x14ac:dyDescent="0.2">
      <c r="A329" t="s">
        <v>23</v>
      </c>
      <c r="B329">
        <v>23</v>
      </c>
      <c r="C329">
        <v>1.72</v>
      </c>
      <c r="D329">
        <v>76</v>
      </c>
      <c r="E329" t="s">
        <v>18</v>
      </c>
      <c r="F329" t="s">
        <v>19</v>
      </c>
      <c r="G329">
        <v>3</v>
      </c>
      <c r="H329">
        <v>4</v>
      </c>
      <c r="I329" t="s">
        <v>24</v>
      </c>
      <c r="J329" t="s">
        <v>19</v>
      </c>
      <c r="K329">
        <v>1</v>
      </c>
      <c r="L329" t="s">
        <v>19</v>
      </c>
      <c r="M329">
        <v>0</v>
      </c>
      <c r="N329">
        <v>0</v>
      </c>
      <c r="O329" t="s">
        <v>20</v>
      </c>
      <c r="P329" t="s">
        <v>21</v>
      </c>
      <c r="Q329" t="s">
        <v>26</v>
      </c>
    </row>
    <row r="330" spans="1:17" x14ac:dyDescent="0.2">
      <c r="A330" t="s">
        <v>23</v>
      </c>
      <c r="B330">
        <v>19</v>
      </c>
      <c r="C330">
        <v>1.74</v>
      </c>
      <c r="D330">
        <v>74</v>
      </c>
      <c r="E330" t="s">
        <v>18</v>
      </c>
      <c r="F330" t="s">
        <v>19</v>
      </c>
      <c r="G330">
        <v>3</v>
      </c>
      <c r="H330">
        <v>1</v>
      </c>
      <c r="I330" t="s">
        <v>20</v>
      </c>
      <c r="J330" t="s">
        <v>19</v>
      </c>
      <c r="K330">
        <v>3</v>
      </c>
      <c r="L330" t="s">
        <v>19</v>
      </c>
      <c r="M330">
        <v>3</v>
      </c>
      <c r="N330">
        <v>1</v>
      </c>
      <c r="O330" t="s">
        <v>20</v>
      </c>
      <c r="P330" t="s">
        <v>25</v>
      </c>
      <c r="Q330" t="s">
        <v>22</v>
      </c>
    </row>
    <row r="331" spans="1:17" x14ac:dyDescent="0.2">
      <c r="A331" t="s">
        <v>17</v>
      </c>
      <c r="B331">
        <v>19</v>
      </c>
      <c r="C331">
        <v>1.65</v>
      </c>
      <c r="D331">
        <v>82</v>
      </c>
      <c r="E331" t="s">
        <v>18</v>
      </c>
      <c r="F331" t="s">
        <v>18</v>
      </c>
      <c r="G331">
        <v>3</v>
      </c>
      <c r="H331">
        <v>3</v>
      </c>
      <c r="I331" t="s">
        <v>20</v>
      </c>
      <c r="J331" t="s">
        <v>19</v>
      </c>
      <c r="K331">
        <v>1</v>
      </c>
      <c r="L331" t="s">
        <v>19</v>
      </c>
      <c r="M331">
        <v>0</v>
      </c>
      <c r="N331">
        <v>1</v>
      </c>
      <c r="O331" t="s">
        <v>20</v>
      </c>
      <c r="P331" t="s">
        <v>21</v>
      </c>
      <c r="Q331" t="s">
        <v>30</v>
      </c>
    </row>
    <row r="332" spans="1:17" x14ac:dyDescent="0.2">
      <c r="A332" t="s">
        <v>17</v>
      </c>
      <c r="B332">
        <v>17</v>
      </c>
      <c r="C332">
        <v>1.8</v>
      </c>
      <c r="D332">
        <v>50</v>
      </c>
      <c r="E332" t="s">
        <v>19</v>
      </c>
      <c r="F332" t="s">
        <v>18</v>
      </c>
      <c r="G332">
        <v>3</v>
      </c>
      <c r="H332">
        <v>4</v>
      </c>
      <c r="I332" t="s">
        <v>24</v>
      </c>
      <c r="J332" t="s">
        <v>19</v>
      </c>
      <c r="K332">
        <v>1</v>
      </c>
      <c r="L332" t="s">
        <v>19</v>
      </c>
      <c r="M332">
        <v>2</v>
      </c>
      <c r="N332">
        <v>1</v>
      </c>
      <c r="O332" t="s">
        <v>20</v>
      </c>
      <c r="P332" t="s">
        <v>21</v>
      </c>
      <c r="Q332" t="s">
        <v>32</v>
      </c>
    </row>
    <row r="333" spans="1:17" x14ac:dyDescent="0.2">
      <c r="A333" t="s">
        <v>23</v>
      </c>
      <c r="B333">
        <v>17</v>
      </c>
      <c r="C333">
        <v>1.74</v>
      </c>
      <c r="D333">
        <v>56</v>
      </c>
      <c r="E333" t="s">
        <v>18</v>
      </c>
      <c r="F333" t="s">
        <v>18</v>
      </c>
      <c r="G333">
        <v>2</v>
      </c>
      <c r="H333">
        <v>3</v>
      </c>
      <c r="I333" t="s">
        <v>20</v>
      </c>
      <c r="J333" t="s">
        <v>19</v>
      </c>
      <c r="K333">
        <v>2</v>
      </c>
      <c r="L333" t="s">
        <v>19</v>
      </c>
      <c r="M333">
        <v>2</v>
      </c>
      <c r="N333">
        <v>1</v>
      </c>
      <c r="O333" t="s">
        <v>19</v>
      </c>
      <c r="P333" t="s">
        <v>21</v>
      </c>
      <c r="Q333" t="s">
        <v>22</v>
      </c>
    </row>
    <row r="334" spans="1:17" x14ac:dyDescent="0.2">
      <c r="A334" t="s">
        <v>23</v>
      </c>
      <c r="B334">
        <v>27</v>
      </c>
      <c r="C334">
        <v>1.85</v>
      </c>
      <c r="D334">
        <v>75</v>
      </c>
      <c r="E334" t="s">
        <v>18</v>
      </c>
      <c r="F334" t="s">
        <v>18</v>
      </c>
      <c r="G334">
        <v>2</v>
      </c>
      <c r="H334">
        <v>1</v>
      </c>
      <c r="I334" t="s">
        <v>20</v>
      </c>
      <c r="J334" t="s">
        <v>19</v>
      </c>
      <c r="K334">
        <v>2</v>
      </c>
      <c r="L334" t="s">
        <v>19</v>
      </c>
      <c r="M334">
        <v>1</v>
      </c>
      <c r="N334">
        <v>0</v>
      </c>
      <c r="O334" t="s">
        <v>19</v>
      </c>
      <c r="P334" t="s">
        <v>25</v>
      </c>
      <c r="Q334" t="s">
        <v>22</v>
      </c>
    </row>
    <row r="335" spans="1:17" x14ac:dyDescent="0.2">
      <c r="A335" t="s">
        <v>17</v>
      </c>
      <c r="B335">
        <v>23</v>
      </c>
      <c r="C335">
        <v>1.7</v>
      </c>
      <c r="D335">
        <v>56</v>
      </c>
      <c r="E335" t="s">
        <v>19</v>
      </c>
      <c r="F335" t="s">
        <v>19</v>
      </c>
      <c r="G335">
        <v>3</v>
      </c>
      <c r="H335">
        <v>4</v>
      </c>
      <c r="I335" t="s">
        <v>31</v>
      </c>
      <c r="J335" t="s">
        <v>19</v>
      </c>
      <c r="K335">
        <v>3</v>
      </c>
      <c r="L335" t="s">
        <v>18</v>
      </c>
      <c r="M335">
        <v>3</v>
      </c>
      <c r="N335">
        <v>0</v>
      </c>
      <c r="O335" t="s">
        <v>19</v>
      </c>
      <c r="P335" t="s">
        <v>28</v>
      </c>
      <c r="Q335" t="s">
        <v>22</v>
      </c>
    </row>
    <row r="336" spans="1:17" x14ac:dyDescent="0.2">
      <c r="A336" t="s">
        <v>17</v>
      </c>
      <c r="B336">
        <v>18</v>
      </c>
      <c r="C336">
        <v>1.45</v>
      </c>
      <c r="D336">
        <v>53</v>
      </c>
      <c r="E336" t="s">
        <v>19</v>
      </c>
      <c r="F336" t="s">
        <v>18</v>
      </c>
      <c r="G336">
        <v>2</v>
      </c>
      <c r="H336">
        <v>3</v>
      </c>
      <c r="I336" t="s">
        <v>24</v>
      </c>
      <c r="J336" t="s">
        <v>19</v>
      </c>
      <c r="K336">
        <v>2</v>
      </c>
      <c r="L336" t="s">
        <v>18</v>
      </c>
      <c r="M336">
        <v>1</v>
      </c>
      <c r="N336">
        <v>2</v>
      </c>
      <c r="O336" t="s">
        <v>24</v>
      </c>
      <c r="P336" t="s">
        <v>21</v>
      </c>
      <c r="Q336" t="s">
        <v>26</v>
      </c>
    </row>
    <row r="337" spans="1:17" x14ac:dyDescent="0.2">
      <c r="A337" t="s">
        <v>23</v>
      </c>
      <c r="B337">
        <v>19</v>
      </c>
      <c r="C337">
        <v>1.7</v>
      </c>
      <c r="D337">
        <v>50</v>
      </c>
      <c r="E337" t="s">
        <v>19</v>
      </c>
      <c r="F337" t="s">
        <v>18</v>
      </c>
      <c r="G337">
        <v>1</v>
      </c>
      <c r="H337">
        <v>4</v>
      </c>
      <c r="I337" t="s">
        <v>24</v>
      </c>
      <c r="J337" t="s">
        <v>19</v>
      </c>
      <c r="K337">
        <v>1</v>
      </c>
      <c r="L337" t="s">
        <v>19</v>
      </c>
      <c r="M337">
        <v>2</v>
      </c>
      <c r="N337">
        <v>1</v>
      </c>
      <c r="O337" t="s">
        <v>20</v>
      </c>
      <c r="P337" t="s">
        <v>21</v>
      </c>
      <c r="Q337" t="s">
        <v>32</v>
      </c>
    </row>
    <row r="338" spans="1:17" x14ac:dyDescent="0.2">
      <c r="A338" t="s">
        <v>23</v>
      </c>
      <c r="B338">
        <v>20</v>
      </c>
      <c r="C338">
        <v>1.7</v>
      </c>
      <c r="D338">
        <v>65</v>
      </c>
      <c r="E338" t="s">
        <v>19</v>
      </c>
      <c r="F338" t="s">
        <v>18</v>
      </c>
      <c r="G338">
        <v>2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0</v>
      </c>
      <c r="N338">
        <v>1</v>
      </c>
      <c r="O338" t="s">
        <v>19</v>
      </c>
      <c r="P338" t="s">
        <v>21</v>
      </c>
      <c r="Q338" t="s">
        <v>22</v>
      </c>
    </row>
    <row r="339" spans="1:17" x14ac:dyDescent="0.2">
      <c r="A339" t="s">
        <v>23</v>
      </c>
      <c r="B339">
        <v>18</v>
      </c>
      <c r="C339">
        <v>1.78</v>
      </c>
      <c r="D339">
        <v>64.400000000000006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3</v>
      </c>
      <c r="N339">
        <v>2</v>
      </c>
      <c r="O339" t="s">
        <v>19</v>
      </c>
      <c r="P339" t="s">
        <v>25</v>
      </c>
      <c r="Q339" t="s">
        <v>22</v>
      </c>
    </row>
    <row r="340" spans="1:17" x14ac:dyDescent="0.2">
      <c r="A340" t="s">
        <v>17</v>
      </c>
      <c r="B340">
        <v>17</v>
      </c>
      <c r="C340">
        <v>1.6</v>
      </c>
      <c r="D340">
        <v>65</v>
      </c>
      <c r="E340" t="s">
        <v>19</v>
      </c>
      <c r="F340" t="s">
        <v>18</v>
      </c>
      <c r="G340">
        <v>3</v>
      </c>
      <c r="H340">
        <v>1</v>
      </c>
      <c r="I340" t="s">
        <v>20</v>
      </c>
      <c r="J340" t="s">
        <v>19</v>
      </c>
      <c r="K340">
        <v>2</v>
      </c>
      <c r="L340" t="s">
        <v>18</v>
      </c>
      <c r="M340">
        <v>1</v>
      </c>
      <c r="N340">
        <v>2</v>
      </c>
      <c r="O340" t="s">
        <v>20</v>
      </c>
      <c r="P340" t="s">
        <v>21</v>
      </c>
      <c r="Q340" t="s">
        <v>26</v>
      </c>
    </row>
    <row r="341" spans="1:17" x14ac:dyDescent="0.2">
      <c r="A341" t="s">
        <v>17</v>
      </c>
      <c r="B341">
        <v>19</v>
      </c>
      <c r="C341">
        <v>1.53</v>
      </c>
      <c r="D341">
        <v>42</v>
      </c>
      <c r="E341" t="s">
        <v>19</v>
      </c>
      <c r="F341" t="s">
        <v>19</v>
      </c>
      <c r="G341">
        <v>2</v>
      </c>
      <c r="H341">
        <v>3</v>
      </c>
      <c r="I341" t="s">
        <v>20</v>
      </c>
      <c r="J341" t="s">
        <v>19</v>
      </c>
      <c r="K341">
        <v>1</v>
      </c>
      <c r="L341" t="s">
        <v>18</v>
      </c>
      <c r="M341">
        <v>2</v>
      </c>
      <c r="N341">
        <v>0</v>
      </c>
      <c r="O341" t="s">
        <v>24</v>
      </c>
      <c r="P341" t="s">
        <v>21</v>
      </c>
      <c r="Q341" t="s">
        <v>32</v>
      </c>
    </row>
    <row r="342" spans="1:17" x14ac:dyDescent="0.2">
      <c r="A342" t="s">
        <v>23</v>
      </c>
      <c r="B342">
        <v>21</v>
      </c>
      <c r="C342">
        <v>1.8</v>
      </c>
      <c r="D342">
        <v>72</v>
      </c>
      <c r="E342" t="s">
        <v>19</v>
      </c>
      <c r="F342" t="s">
        <v>18</v>
      </c>
      <c r="G342">
        <v>3</v>
      </c>
      <c r="H342">
        <v>3</v>
      </c>
      <c r="I342" t="s">
        <v>20</v>
      </c>
      <c r="J342" t="s">
        <v>19</v>
      </c>
      <c r="K342">
        <v>2</v>
      </c>
      <c r="L342" t="s">
        <v>19</v>
      </c>
      <c r="M342">
        <v>1</v>
      </c>
      <c r="N342">
        <v>1</v>
      </c>
      <c r="O342" t="s">
        <v>19</v>
      </c>
      <c r="P342" t="s">
        <v>21</v>
      </c>
      <c r="Q342" t="s">
        <v>22</v>
      </c>
    </row>
    <row r="343" spans="1:17" x14ac:dyDescent="0.2">
      <c r="A343" t="s">
        <v>23</v>
      </c>
      <c r="B343">
        <v>20</v>
      </c>
      <c r="C343">
        <v>1.6</v>
      </c>
      <c r="D343">
        <v>50</v>
      </c>
      <c r="E343" t="s">
        <v>19</v>
      </c>
      <c r="F343" t="s">
        <v>19</v>
      </c>
      <c r="G343">
        <v>2</v>
      </c>
      <c r="H343">
        <v>3</v>
      </c>
      <c r="I343" t="s">
        <v>20</v>
      </c>
      <c r="J343" t="s">
        <v>19</v>
      </c>
      <c r="K343">
        <v>1</v>
      </c>
      <c r="L343" t="s">
        <v>19</v>
      </c>
      <c r="M343">
        <v>0</v>
      </c>
      <c r="N343">
        <v>0</v>
      </c>
      <c r="O343" t="s">
        <v>20</v>
      </c>
      <c r="P343" t="s">
        <v>21</v>
      </c>
      <c r="Q343" t="s">
        <v>22</v>
      </c>
    </row>
    <row r="344" spans="1:17" x14ac:dyDescent="0.2">
      <c r="A344" t="s">
        <v>23</v>
      </c>
      <c r="B344">
        <v>23</v>
      </c>
      <c r="C344">
        <v>1.74</v>
      </c>
      <c r="D344">
        <v>105</v>
      </c>
      <c r="E344" t="s">
        <v>18</v>
      </c>
      <c r="F344" t="s">
        <v>18</v>
      </c>
      <c r="G344">
        <v>3</v>
      </c>
      <c r="H344">
        <v>3</v>
      </c>
      <c r="I344" t="s">
        <v>20</v>
      </c>
      <c r="J344" t="s">
        <v>19</v>
      </c>
      <c r="K344">
        <v>2</v>
      </c>
      <c r="L344" t="s">
        <v>19</v>
      </c>
      <c r="M344">
        <v>1</v>
      </c>
      <c r="N344">
        <v>0</v>
      </c>
      <c r="O344" t="s">
        <v>20</v>
      </c>
      <c r="P344" t="s">
        <v>21</v>
      </c>
      <c r="Q344" t="s">
        <v>30</v>
      </c>
    </row>
    <row r="345" spans="1:17" x14ac:dyDescent="0.2">
      <c r="A345" t="s">
        <v>23</v>
      </c>
      <c r="B345">
        <v>23</v>
      </c>
      <c r="C345">
        <v>1.65</v>
      </c>
      <c r="D345">
        <v>66</v>
      </c>
      <c r="E345" t="s">
        <v>19</v>
      </c>
      <c r="F345" t="s">
        <v>19</v>
      </c>
      <c r="G345">
        <v>3</v>
      </c>
      <c r="H345">
        <v>3</v>
      </c>
      <c r="I345" t="s">
        <v>20</v>
      </c>
      <c r="J345" t="s">
        <v>19</v>
      </c>
      <c r="K345">
        <v>2</v>
      </c>
      <c r="L345" t="s">
        <v>19</v>
      </c>
      <c r="M345">
        <v>3</v>
      </c>
      <c r="N345">
        <v>0</v>
      </c>
      <c r="O345" t="s">
        <v>19</v>
      </c>
      <c r="P345" t="s">
        <v>21</v>
      </c>
      <c r="Q345" t="s">
        <v>22</v>
      </c>
    </row>
    <row r="346" spans="1:17" x14ac:dyDescent="0.2">
      <c r="A346" t="s">
        <v>23</v>
      </c>
      <c r="B346">
        <v>18</v>
      </c>
      <c r="C346">
        <v>1.87</v>
      </c>
      <c r="D346">
        <v>173</v>
      </c>
      <c r="E346" t="s">
        <v>18</v>
      </c>
      <c r="F346" t="s">
        <v>18</v>
      </c>
      <c r="G346">
        <v>3</v>
      </c>
      <c r="H346">
        <v>3</v>
      </c>
      <c r="I346" t="s">
        <v>24</v>
      </c>
      <c r="J346" t="s">
        <v>19</v>
      </c>
      <c r="K346">
        <v>2</v>
      </c>
      <c r="L346" t="s">
        <v>19</v>
      </c>
      <c r="M346">
        <v>2</v>
      </c>
      <c r="N346">
        <v>1</v>
      </c>
      <c r="O346" t="s">
        <v>20</v>
      </c>
      <c r="P346" t="s">
        <v>21</v>
      </c>
      <c r="Q346" t="s">
        <v>35</v>
      </c>
    </row>
    <row r="347" spans="1:17" x14ac:dyDescent="0.2">
      <c r="A347" t="s">
        <v>23</v>
      </c>
      <c r="B347">
        <v>17</v>
      </c>
      <c r="C347">
        <v>1.7</v>
      </c>
      <c r="D347">
        <v>55</v>
      </c>
      <c r="E347" t="s">
        <v>19</v>
      </c>
      <c r="F347" t="s">
        <v>18</v>
      </c>
      <c r="G347">
        <v>3</v>
      </c>
      <c r="H347">
        <v>3</v>
      </c>
      <c r="I347" t="s">
        <v>31</v>
      </c>
      <c r="J347" t="s">
        <v>19</v>
      </c>
      <c r="K347">
        <v>2</v>
      </c>
      <c r="L347" t="s">
        <v>19</v>
      </c>
      <c r="M347">
        <v>3</v>
      </c>
      <c r="N347">
        <v>1</v>
      </c>
      <c r="O347" t="s">
        <v>20</v>
      </c>
      <c r="P347" t="s">
        <v>21</v>
      </c>
      <c r="Q347" t="s">
        <v>22</v>
      </c>
    </row>
    <row r="348" spans="1:17" x14ac:dyDescent="0.2">
      <c r="A348" t="s">
        <v>17</v>
      </c>
      <c r="B348">
        <v>21</v>
      </c>
      <c r="C348">
        <v>1.54</v>
      </c>
      <c r="D348">
        <v>47</v>
      </c>
      <c r="E348" t="s">
        <v>18</v>
      </c>
      <c r="F348" t="s">
        <v>19</v>
      </c>
      <c r="G348">
        <v>3</v>
      </c>
      <c r="H348">
        <v>3</v>
      </c>
      <c r="I348" t="s">
        <v>31</v>
      </c>
      <c r="J348" t="s">
        <v>19</v>
      </c>
      <c r="K348">
        <v>1</v>
      </c>
      <c r="L348" t="s">
        <v>19</v>
      </c>
      <c r="M348">
        <v>2</v>
      </c>
      <c r="N348">
        <v>0</v>
      </c>
      <c r="O348" t="s">
        <v>19</v>
      </c>
      <c r="P348" t="s">
        <v>21</v>
      </c>
      <c r="Q348" t="s">
        <v>22</v>
      </c>
    </row>
    <row r="349" spans="1:17" x14ac:dyDescent="0.2">
      <c r="A349" t="s">
        <v>23</v>
      </c>
      <c r="B349">
        <v>17</v>
      </c>
      <c r="C349">
        <v>1.8</v>
      </c>
      <c r="D349">
        <v>97</v>
      </c>
      <c r="E349" t="s">
        <v>18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3</v>
      </c>
      <c r="L349" t="s">
        <v>19</v>
      </c>
      <c r="M349">
        <v>1</v>
      </c>
      <c r="N349">
        <v>1</v>
      </c>
      <c r="O349" t="s">
        <v>20</v>
      </c>
      <c r="P349" t="s">
        <v>25</v>
      </c>
      <c r="Q349" t="s">
        <v>27</v>
      </c>
    </row>
    <row r="350" spans="1:17" x14ac:dyDescent="0.2">
      <c r="A350" t="s">
        <v>23</v>
      </c>
      <c r="B350">
        <v>18</v>
      </c>
      <c r="C350">
        <v>1.82</v>
      </c>
      <c r="D350">
        <v>80</v>
      </c>
      <c r="E350" t="s">
        <v>18</v>
      </c>
      <c r="F350" t="s">
        <v>18</v>
      </c>
      <c r="G350">
        <v>2</v>
      </c>
      <c r="H350">
        <v>3</v>
      </c>
      <c r="I350" t="s">
        <v>20</v>
      </c>
      <c r="J350" t="s">
        <v>19</v>
      </c>
      <c r="K350">
        <v>2</v>
      </c>
      <c r="L350" t="s">
        <v>19</v>
      </c>
      <c r="M350">
        <v>3</v>
      </c>
      <c r="N350">
        <v>2</v>
      </c>
      <c r="O350" t="s">
        <v>19</v>
      </c>
      <c r="P350" t="s">
        <v>25</v>
      </c>
      <c r="Q350" t="s">
        <v>22</v>
      </c>
    </row>
    <row r="351" spans="1:17" x14ac:dyDescent="0.2">
      <c r="A351" t="s">
        <v>23</v>
      </c>
      <c r="B351">
        <v>20</v>
      </c>
      <c r="C351">
        <v>1.98</v>
      </c>
      <c r="D351">
        <v>125</v>
      </c>
      <c r="E351" t="s">
        <v>18</v>
      </c>
      <c r="F351" t="s">
        <v>18</v>
      </c>
      <c r="G351">
        <v>2</v>
      </c>
      <c r="H351">
        <v>3</v>
      </c>
      <c r="I351" t="s">
        <v>31</v>
      </c>
      <c r="J351" t="s">
        <v>19</v>
      </c>
      <c r="K351">
        <v>3</v>
      </c>
      <c r="L351" t="s">
        <v>19</v>
      </c>
      <c r="M351">
        <v>1</v>
      </c>
      <c r="N351">
        <v>1</v>
      </c>
      <c r="O351" t="s">
        <v>20</v>
      </c>
      <c r="P351" t="s">
        <v>21</v>
      </c>
      <c r="Q351" t="s">
        <v>30</v>
      </c>
    </row>
    <row r="352" spans="1:17" x14ac:dyDescent="0.2">
      <c r="A352" t="s">
        <v>23</v>
      </c>
      <c r="B352">
        <v>17</v>
      </c>
      <c r="C352">
        <v>1.75</v>
      </c>
      <c r="D352">
        <v>70</v>
      </c>
      <c r="E352" t="s">
        <v>18</v>
      </c>
      <c r="F352" t="s">
        <v>19</v>
      </c>
      <c r="G352">
        <v>2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3</v>
      </c>
      <c r="N352">
        <v>2</v>
      </c>
      <c r="O352" t="s">
        <v>20</v>
      </c>
      <c r="P352" t="s">
        <v>25</v>
      </c>
      <c r="Q352" t="s">
        <v>22</v>
      </c>
    </row>
    <row r="353" spans="1:17" x14ac:dyDescent="0.2">
      <c r="A353" t="s">
        <v>17</v>
      </c>
      <c r="B353">
        <v>26</v>
      </c>
      <c r="C353">
        <v>1.65</v>
      </c>
      <c r="D353">
        <v>60</v>
      </c>
      <c r="E353" t="s">
        <v>19</v>
      </c>
      <c r="F353" t="s">
        <v>19</v>
      </c>
      <c r="G353">
        <v>3</v>
      </c>
      <c r="H353">
        <v>4</v>
      </c>
      <c r="I353" t="s">
        <v>31</v>
      </c>
      <c r="J353" t="s">
        <v>19</v>
      </c>
      <c r="K353">
        <v>2</v>
      </c>
      <c r="L353" t="s">
        <v>19</v>
      </c>
      <c r="M353">
        <v>2</v>
      </c>
      <c r="N353">
        <v>0</v>
      </c>
      <c r="O353" t="s">
        <v>19</v>
      </c>
      <c r="P353" t="s">
        <v>25</v>
      </c>
      <c r="Q353" t="s">
        <v>22</v>
      </c>
    </row>
    <row r="354" spans="1:17" x14ac:dyDescent="0.2">
      <c r="A354" t="s">
        <v>17</v>
      </c>
      <c r="B354">
        <v>17</v>
      </c>
      <c r="C354">
        <v>1.6</v>
      </c>
      <c r="D354">
        <v>53</v>
      </c>
      <c r="E354" t="s">
        <v>19</v>
      </c>
      <c r="F354" t="s">
        <v>18</v>
      </c>
      <c r="G354">
        <v>1</v>
      </c>
      <c r="H354">
        <v>3</v>
      </c>
      <c r="I354" t="s">
        <v>20</v>
      </c>
      <c r="J354" t="s">
        <v>19</v>
      </c>
      <c r="K354">
        <v>1</v>
      </c>
      <c r="L354" t="s">
        <v>19</v>
      </c>
      <c r="M354">
        <v>2</v>
      </c>
      <c r="N354">
        <v>2</v>
      </c>
      <c r="O354" t="s">
        <v>20</v>
      </c>
      <c r="P354" t="s">
        <v>25</v>
      </c>
      <c r="Q354" t="s">
        <v>22</v>
      </c>
    </row>
    <row r="355" spans="1:17" x14ac:dyDescent="0.2">
      <c r="A355" t="s">
        <v>17</v>
      </c>
      <c r="B355">
        <v>24</v>
      </c>
      <c r="C355">
        <v>1.6</v>
      </c>
      <c r="D355">
        <v>51</v>
      </c>
      <c r="E355" t="s">
        <v>18</v>
      </c>
      <c r="F355" t="s">
        <v>18</v>
      </c>
      <c r="G355">
        <v>1</v>
      </c>
      <c r="H355">
        <v>3</v>
      </c>
      <c r="I355" t="s">
        <v>20</v>
      </c>
      <c r="J355" t="s">
        <v>19</v>
      </c>
      <c r="K355">
        <v>2</v>
      </c>
      <c r="L355" t="s">
        <v>19</v>
      </c>
      <c r="M355">
        <v>0</v>
      </c>
      <c r="N355">
        <v>1</v>
      </c>
      <c r="O355" t="s">
        <v>20</v>
      </c>
      <c r="P355" t="s">
        <v>28</v>
      </c>
      <c r="Q355" t="s">
        <v>22</v>
      </c>
    </row>
    <row r="356" spans="1:17" x14ac:dyDescent="0.2">
      <c r="A356" t="s">
        <v>17</v>
      </c>
      <c r="B356">
        <v>17</v>
      </c>
      <c r="C356">
        <v>1.6</v>
      </c>
      <c r="D356">
        <v>59</v>
      </c>
      <c r="E356" t="s">
        <v>19</v>
      </c>
      <c r="F356" t="s">
        <v>18</v>
      </c>
      <c r="G356">
        <v>2</v>
      </c>
      <c r="H356">
        <v>3</v>
      </c>
      <c r="I356" t="s">
        <v>20</v>
      </c>
      <c r="J356" t="s">
        <v>19</v>
      </c>
      <c r="K356">
        <v>2</v>
      </c>
      <c r="L356" t="s">
        <v>19</v>
      </c>
      <c r="M356">
        <v>1</v>
      </c>
      <c r="N356">
        <v>2</v>
      </c>
      <c r="O356" t="s">
        <v>19</v>
      </c>
      <c r="P356" t="s">
        <v>21</v>
      </c>
      <c r="Q356" t="s">
        <v>22</v>
      </c>
    </row>
    <row r="357" spans="1:17" x14ac:dyDescent="0.2">
      <c r="A357" t="s">
        <v>17</v>
      </c>
      <c r="B357">
        <v>27</v>
      </c>
      <c r="C357">
        <v>1.55</v>
      </c>
      <c r="D357">
        <v>62</v>
      </c>
      <c r="E357" t="s">
        <v>19</v>
      </c>
      <c r="F357" t="s">
        <v>18</v>
      </c>
      <c r="G357">
        <v>3</v>
      </c>
      <c r="H357">
        <v>1</v>
      </c>
      <c r="I357" t="s">
        <v>20</v>
      </c>
      <c r="J357" t="s">
        <v>19</v>
      </c>
      <c r="K357">
        <v>1</v>
      </c>
      <c r="L357" t="s">
        <v>19</v>
      </c>
      <c r="M357">
        <v>1</v>
      </c>
      <c r="N357">
        <v>0</v>
      </c>
      <c r="O357" t="s">
        <v>20</v>
      </c>
      <c r="P357" t="s">
        <v>21</v>
      </c>
      <c r="Q357" t="s">
        <v>26</v>
      </c>
    </row>
    <row r="358" spans="1:17" x14ac:dyDescent="0.2">
      <c r="A358" t="s">
        <v>23</v>
      </c>
      <c r="B358">
        <v>17</v>
      </c>
      <c r="C358">
        <v>1.9</v>
      </c>
      <c r="D358">
        <v>60</v>
      </c>
      <c r="E358" t="s">
        <v>19</v>
      </c>
      <c r="F358" t="s">
        <v>19</v>
      </c>
      <c r="G358">
        <v>3</v>
      </c>
      <c r="H358">
        <v>3</v>
      </c>
      <c r="I358" t="s">
        <v>20</v>
      </c>
      <c r="J358" t="s">
        <v>19</v>
      </c>
      <c r="K358">
        <v>2</v>
      </c>
      <c r="L358" t="s">
        <v>19</v>
      </c>
      <c r="M358">
        <v>3</v>
      </c>
      <c r="N358">
        <v>1</v>
      </c>
      <c r="O358" t="s">
        <v>19</v>
      </c>
      <c r="P358" t="s">
        <v>25</v>
      </c>
      <c r="Q358" t="s">
        <v>32</v>
      </c>
    </row>
    <row r="359" spans="1:17" x14ac:dyDescent="0.2">
      <c r="A359" t="s">
        <v>17</v>
      </c>
      <c r="B359">
        <v>17</v>
      </c>
      <c r="C359">
        <v>1.7</v>
      </c>
      <c r="D359">
        <v>56</v>
      </c>
      <c r="E359" t="s">
        <v>18</v>
      </c>
      <c r="F359" t="s">
        <v>18</v>
      </c>
      <c r="G359">
        <v>1</v>
      </c>
      <c r="H359">
        <v>3</v>
      </c>
      <c r="I359" t="s">
        <v>20</v>
      </c>
      <c r="J359" t="s">
        <v>19</v>
      </c>
      <c r="K359">
        <v>1</v>
      </c>
      <c r="L359" t="s">
        <v>19</v>
      </c>
      <c r="M359">
        <v>1</v>
      </c>
      <c r="N359">
        <v>1</v>
      </c>
      <c r="O359" t="s">
        <v>19</v>
      </c>
      <c r="P359" t="s">
        <v>28</v>
      </c>
      <c r="Q359" t="s">
        <v>22</v>
      </c>
    </row>
    <row r="360" spans="1:17" x14ac:dyDescent="0.2">
      <c r="A360" t="s">
        <v>23</v>
      </c>
      <c r="B360">
        <v>41</v>
      </c>
      <c r="C360">
        <v>1.75</v>
      </c>
      <c r="D360">
        <v>110</v>
      </c>
      <c r="E360" t="s">
        <v>18</v>
      </c>
      <c r="F360" t="s">
        <v>19</v>
      </c>
      <c r="G360">
        <v>2</v>
      </c>
      <c r="H360">
        <v>1</v>
      </c>
      <c r="I360" t="s">
        <v>20</v>
      </c>
      <c r="J360" t="s">
        <v>19</v>
      </c>
      <c r="K360">
        <v>1</v>
      </c>
      <c r="L360" t="s">
        <v>19</v>
      </c>
      <c r="M360">
        <v>1</v>
      </c>
      <c r="N360">
        <v>0</v>
      </c>
      <c r="O360" t="s">
        <v>24</v>
      </c>
      <c r="P360" t="s">
        <v>28</v>
      </c>
      <c r="Q360" t="s">
        <v>33</v>
      </c>
    </row>
    <row r="361" spans="1:17" x14ac:dyDescent="0.2">
      <c r="A361" t="s">
        <v>17</v>
      </c>
      <c r="B361">
        <v>33</v>
      </c>
      <c r="C361">
        <v>1.56</v>
      </c>
      <c r="D361">
        <v>48</v>
      </c>
      <c r="E361" t="s">
        <v>18</v>
      </c>
      <c r="F361" t="s">
        <v>19</v>
      </c>
      <c r="G361">
        <v>2</v>
      </c>
      <c r="H361">
        <v>3</v>
      </c>
      <c r="I361" t="s">
        <v>20</v>
      </c>
      <c r="J361" t="s">
        <v>19</v>
      </c>
      <c r="K361">
        <v>2</v>
      </c>
      <c r="L361" t="s">
        <v>19</v>
      </c>
      <c r="M361">
        <v>1</v>
      </c>
      <c r="N361">
        <v>0</v>
      </c>
      <c r="O361" t="s">
        <v>20</v>
      </c>
      <c r="P361" t="s">
        <v>21</v>
      </c>
      <c r="Q361" t="s">
        <v>22</v>
      </c>
    </row>
    <row r="362" spans="1:17" x14ac:dyDescent="0.2">
      <c r="A362" t="s">
        <v>23</v>
      </c>
      <c r="B362">
        <v>20</v>
      </c>
      <c r="C362">
        <v>1.87</v>
      </c>
      <c r="D362">
        <v>75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1</v>
      </c>
      <c r="L362" t="s">
        <v>19</v>
      </c>
      <c r="M362">
        <v>1</v>
      </c>
      <c r="N362">
        <v>1</v>
      </c>
      <c r="O362" t="s">
        <v>20</v>
      </c>
      <c r="P362" t="s">
        <v>21</v>
      </c>
      <c r="Q362" t="s">
        <v>22</v>
      </c>
    </row>
    <row r="363" spans="1:17" x14ac:dyDescent="0.2">
      <c r="A363" t="s">
        <v>17</v>
      </c>
      <c r="B363">
        <v>40</v>
      </c>
      <c r="C363">
        <v>1.56</v>
      </c>
      <c r="D363">
        <v>80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2</v>
      </c>
      <c r="N363">
        <v>0</v>
      </c>
      <c r="O363" t="s">
        <v>19</v>
      </c>
      <c r="P363" t="s">
        <v>21</v>
      </c>
      <c r="Q363" t="s">
        <v>30</v>
      </c>
    </row>
    <row r="364" spans="1:17" x14ac:dyDescent="0.2">
      <c r="A364" t="s">
        <v>17</v>
      </c>
      <c r="B364">
        <v>37</v>
      </c>
      <c r="C364">
        <v>1.65</v>
      </c>
      <c r="D364">
        <v>73</v>
      </c>
      <c r="E364" t="s">
        <v>18</v>
      </c>
      <c r="F364" t="s">
        <v>19</v>
      </c>
      <c r="G364">
        <v>3</v>
      </c>
      <c r="H364">
        <v>3</v>
      </c>
      <c r="I364" t="s">
        <v>20</v>
      </c>
      <c r="J364" t="s">
        <v>19</v>
      </c>
      <c r="K364">
        <v>2</v>
      </c>
      <c r="L364" t="s">
        <v>19</v>
      </c>
      <c r="M364">
        <v>1</v>
      </c>
      <c r="N364">
        <v>0</v>
      </c>
      <c r="O364" t="s">
        <v>20</v>
      </c>
      <c r="P364" t="s">
        <v>28</v>
      </c>
      <c r="Q364" t="s">
        <v>26</v>
      </c>
    </row>
    <row r="365" spans="1:17" x14ac:dyDescent="0.2">
      <c r="A365" t="s">
        <v>23</v>
      </c>
      <c r="B365">
        <v>19</v>
      </c>
      <c r="C365">
        <v>1.8</v>
      </c>
      <c r="D365">
        <v>80</v>
      </c>
      <c r="E365" t="s">
        <v>19</v>
      </c>
      <c r="F365" t="s">
        <v>18</v>
      </c>
      <c r="G365">
        <v>2</v>
      </c>
      <c r="H365">
        <v>1</v>
      </c>
      <c r="I365" t="s">
        <v>20</v>
      </c>
      <c r="J365" t="s">
        <v>19</v>
      </c>
      <c r="K365">
        <v>2</v>
      </c>
      <c r="L365" t="s">
        <v>19</v>
      </c>
      <c r="M365">
        <v>2</v>
      </c>
      <c r="N365">
        <v>1</v>
      </c>
      <c r="O365" t="s">
        <v>20</v>
      </c>
      <c r="P365" t="s">
        <v>21</v>
      </c>
      <c r="Q365" t="s">
        <v>22</v>
      </c>
    </row>
    <row r="366" spans="1:17" x14ac:dyDescent="0.2">
      <c r="A366" t="s">
        <v>23</v>
      </c>
      <c r="B366">
        <v>24</v>
      </c>
      <c r="C366">
        <v>1.84</v>
      </c>
      <c r="D366">
        <v>86</v>
      </c>
      <c r="E366" t="s">
        <v>18</v>
      </c>
      <c r="F366" t="s">
        <v>18</v>
      </c>
      <c r="G366">
        <v>2</v>
      </c>
      <c r="H366">
        <v>1</v>
      </c>
      <c r="I366" t="s">
        <v>31</v>
      </c>
      <c r="J366" t="s">
        <v>19</v>
      </c>
      <c r="K366">
        <v>2</v>
      </c>
      <c r="L366" t="s">
        <v>19</v>
      </c>
      <c r="M366">
        <v>2</v>
      </c>
      <c r="N366">
        <v>1</v>
      </c>
      <c r="O366" t="s">
        <v>20</v>
      </c>
      <c r="P366" t="s">
        <v>21</v>
      </c>
      <c r="Q366" t="s">
        <v>26</v>
      </c>
    </row>
    <row r="367" spans="1:17" x14ac:dyDescent="0.2">
      <c r="A367" t="s">
        <v>23</v>
      </c>
      <c r="B367">
        <v>24</v>
      </c>
      <c r="C367">
        <v>1.7</v>
      </c>
      <c r="D367">
        <v>68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2</v>
      </c>
      <c r="L367" t="s">
        <v>19</v>
      </c>
      <c r="M367">
        <v>0</v>
      </c>
      <c r="N367">
        <v>0</v>
      </c>
      <c r="O367" t="s">
        <v>20</v>
      </c>
      <c r="P367" t="s">
        <v>29</v>
      </c>
      <c r="Q367" t="s">
        <v>22</v>
      </c>
    </row>
    <row r="368" spans="1:17" x14ac:dyDescent="0.2">
      <c r="A368" t="s">
        <v>23</v>
      </c>
      <c r="B368">
        <v>33</v>
      </c>
      <c r="C368">
        <v>1.72</v>
      </c>
      <c r="D368">
        <v>83</v>
      </c>
      <c r="E368" t="s">
        <v>18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3</v>
      </c>
      <c r="N368">
        <v>0</v>
      </c>
      <c r="O368" t="s">
        <v>20</v>
      </c>
      <c r="P368" t="s">
        <v>28</v>
      </c>
      <c r="Q368" t="s">
        <v>27</v>
      </c>
    </row>
    <row r="369" spans="1:17" x14ac:dyDescent="0.2">
      <c r="A369" t="s">
        <v>17</v>
      </c>
      <c r="B369">
        <v>40</v>
      </c>
      <c r="C369">
        <v>1.58</v>
      </c>
      <c r="D369">
        <v>63</v>
      </c>
      <c r="E369" t="s">
        <v>19</v>
      </c>
      <c r="F369" t="s">
        <v>18</v>
      </c>
      <c r="G369">
        <v>2</v>
      </c>
      <c r="H369">
        <v>3</v>
      </c>
      <c r="I369" t="s">
        <v>24</v>
      </c>
      <c r="J369" t="s">
        <v>19</v>
      </c>
      <c r="K369">
        <v>2</v>
      </c>
      <c r="L369" t="s">
        <v>19</v>
      </c>
      <c r="M369">
        <v>3</v>
      </c>
      <c r="N369">
        <v>1</v>
      </c>
      <c r="O369" t="s">
        <v>20</v>
      </c>
      <c r="P369" t="s">
        <v>21</v>
      </c>
      <c r="Q369" t="s">
        <v>26</v>
      </c>
    </row>
    <row r="370" spans="1:17" x14ac:dyDescent="0.2">
      <c r="A370" t="s">
        <v>17</v>
      </c>
      <c r="B370">
        <v>37</v>
      </c>
      <c r="C370">
        <v>1.68</v>
      </c>
      <c r="D370">
        <v>83</v>
      </c>
      <c r="E370" t="s">
        <v>18</v>
      </c>
      <c r="F370" t="s">
        <v>18</v>
      </c>
      <c r="G370">
        <v>2</v>
      </c>
      <c r="H370">
        <v>1</v>
      </c>
      <c r="I370" t="s">
        <v>20</v>
      </c>
      <c r="J370" t="s">
        <v>19</v>
      </c>
      <c r="K370">
        <v>2</v>
      </c>
      <c r="L370" t="s">
        <v>19</v>
      </c>
      <c r="M370">
        <v>0</v>
      </c>
      <c r="N370">
        <v>0</v>
      </c>
      <c r="O370" t="s">
        <v>19</v>
      </c>
      <c r="P370" t="s">
        <v>28</v>
      </c>
      <c r="Q370" t="s">
        <v>27</v>
      </c>
    </row>
    <row r="371" spans="1:17" x14ac:dyDescent="0.2">
      <c r="A371" t="s">
        <v>23</v>
      </c>
      <c r="B371">
        <v>20</v>
      </c>
      <c r="C371">
        <v>1.58</v>
      </c>
      <c r="D371">
        <v>74</v>
      </c>
      <c r="E371" t="s">
        <v>19</v>
      </c>
      <c r="F371" t="s">
        <v>19</v>
      </c>
      <c r="G371">
        <v>3</v>
      </c>
      <c r="H371">
        <v>3</v>
      </c>
      <c r="I371" t="s">
        <v>24</v>
      </c>
      <c r="J371" t="s">
        <v>19</v>
      </c>
      <c r="K371">
        <v>2</v>
      </c>
      <c r="L371" t="s">
        <v>19</v>
      </c>
      <c r="M371">
        <v>3</v>
      </c>
      <c r="N371">
        <v>1</v>
      </c>
      <c r="O371" t="s">
        <v>20</v>
      </c>
      <c r="P371" t="s">
        <v>21</v>
      </c>
      <c r="Q371" t="s">
        <v>27</v>
      </c>
    </row>
    <row r="372" spans="1:17" x14ac:dyDescent="0.2">
      <c r="A372" t="s">
        <v>23</v>
      </c>
      <c r="B372">
        <v>19</v>
      </c>
      <c r="C372">
        <v>1.8</v>
      </c>
      <c r="D372">
        <v>60</v>
      </c>
      <c r="E372" t="s">
        <v>19</v>
      </c>
      <c r="F372" t="s">
        <v>18</v>
      </c>
      <c r="G372">
        <v>2</v>
      </c>
      <c r="H372">
        <v>3</v>
      </c>
      <c r="I372" t="s">
        <v>20</v>
      </c>
      <c r="J372" t="s">
        <v>19</v>
      </c>
      <c r="K372">
        <v>1</v>
      </c>
      <c r="L372" t="s">
        <v>19</v>
      </c>
      <c r="M372">
        <v>1</v>
      </c>
      <c r="N372">
        <v>1</v>
      </c>
      <c r="O372" t="s">
        <v>19</v>
      </c>
      <c r="P372" t="s">
        <v>21</v>
      </c>
      <c r="Q372" t="s">
        <v>22</v>
      </c>
    </row>
    <row r="373" spans="1:17" x14ac:dyDescent="0.2">
      <c r="A373" t="s">
        <v>23</v>
      </c>
      <c r="B373">
        <v>17</v>
      </c>
      <c r="C373">
        <v>1.62</v>
      </c>
      <c r="D373">
        <v>69</v>
      </c>
      <c r="E373" t="s">
        <v>18</v>
      </c>
      <c r="F373" t="s">
        <v>18</v>
      </c>
      <c r="G373">
        <v>3</v>
      </c>
      <c r="H373">
        <v>1</v>
      </c>
      <c r="I373" t="s">
        <v>31</v>
      </c>
      <c r="J373" t="s">
        <v>19</v>
      </c>
      <c r="K373">
        <v>2</v>
      </c>
      <c r="L373" t="s">
        <v>18</v>
      </c>
      <c r="M373">
        <v>1</v>
      </c>
      <c r="N373">
        <v>2</v>
      </c>
      <c r="O373" t="s">
        <v>20</v>
      </c>
      <c r="P373" t="s">
        <v>21</v>
      </c>
      <c r="Q373" t="s">
        <v>26</v>
      </c>
    </row>
    <row r="374" spans="1:17" x14ac:dyDescent="0.2">
      <c r="A374" t="s">
        <v>17</v>
      </c>
      <c r="B374">
        <v>18</v>
      </c>
      <c r="C374">
        <v>1.62</v>
      </c>
      <c r="D374">
        <v>58</v>
      </c>
      <c r="E374" t="s">
        <v>19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1</v>
      </c>
      <c r="L374" t="s">
        <v>19</v>
      </c>
      <c r="M374">
        <v>0</v>
      </c>
      <c r="N374">
        <v>2</v>
      </c>
      <c r="O374" t="s">
        <v>19</v>
      </c>
      <c r="P374" t="s">
        <v>28</v>
      </c>
      <c r="Q374" t="s">
        <v>22</v>
      </c>
    </row>
    <row r="375" spans="1:17" x14ac:dyDescent="0.2">
      <c r="A375" t="s">
        <v>17</v>
      </c>
      <c r="B375">
        <v>21</v>
      </c>
      <c r="C375">
        <v>1.54</v>
      </c>
      <c r="D375">
        <v>56</v>
      </c>
      <c r="E375" t="s">
        <v>19</v>
      </c>
      <c r="F375" t="s">
        <v>18</v>
      </c>
      <c r="G375">
        <v>2</v>
      </c>
      <c r="H375">
        <v>1</v>
      </c>
      <c r="I375" t="s">
        <v>20</v>
      </c>
      <c r="J375" t="s">
        <v>19</v>
      </c>
      <c r="K375">
        <v>2</v>
      </c>
      <c r="L375" t="s">
        <v>19</v>
      </c>
      <c r="M375">
        <v>0</v>
      </c>
      <c r="N375">
        <v>2</v>
      </c>
      <c r="O375" t="s">
        <v>20</v>
      </c>
      <c r="P375" t="s">
        <v>21</v>
      </c>
      <c r="Q375" t="s">
        <v>22</v>
      </c>
    </row>
    <row r="376" spans="1:17" x14ac:dyDescent="0.2">
      <c r="A376" t="s">
        <v>23</v>
      </c>
      <c r="B376">
        <v>18</v>
      </c>
      <c r="C376">
        <v>1.76</v>
      </c>
      <c r="D376">
        <v>70</v>
      </c>
      <c r="E376" t="s">
        <v>18</v>
      </c>
      <c r="F376" t="s">
        <v>18</v>
      </c>
      <c r="G376">
        <v>2</v>
      </c>
      <c r="H376">
        <v>4</v>
      </c>
      <c r="I376" t="s">
        <v>24</v>
      </c>
      <c r="J376" t="s">
        <v>19</v>
      </c>
      <c r="K376">
        <v>2</v>
      </c>
      <c r="L376" t="s">
        <v>19</v>
      </c>
      <c r="M376">
        <v>2</v>
      </c>
      <c r="N376">
        <v>1</v>
      </c>
      <c r="O376" t="s">
        <v>20</v>
      </c>
      <c r="P376" t="s">
        <v>28</v>
      </c>
      <c r="Q376" t="s">
        <v>22</v>
      </c>
    </row>
    <row r="377" spans="1:17" x14ac:dyDescent="0.2">
      <c r="A377" t="s">
        <v>23</v>
      </c>
      <c r="B377">
        <v>41</v>
      </c>
      <c r="C377">
        <v>1.8</v>
      </c>
      <c r="D377">
        <v>92</v>
      </c>
      <c r="E377" t="s">
        <v>18</v>
      </c>
      <c r="F377" t="s">
        <v>18</v>
      </c>
      <c r="G377">
        <v>2</v>
      </c>
      <c r="H377">
        <v>1</v>
      </c>
      <c r="I377" t="s">
        <v>24</v>
      </c>
      <c r="J377" t="s">
        <v>19</v>
      </c>
      <c r="K377">
        <v>3</v>
      </c>
      <c r="L377" t="s">
        <v>19</v>
      </c>
      <c r="M377">
        <v>1</v>
      </c>
      <c r="N377">
        <v>0</v>
      </c>
      <c r="O377" t="s">
        <v>20</v>
      </c>
      <c r="P377" t="s">
        <v>28</v>
      </c>
      <c r="Q377" t="s">
        <v>27</v>
      </c>
    </row>
    <row r="378" spans="1:17" x14ac:dyDescent="0.2">
      <c r="A378" t="s">
        <v>17</v>
      </c>
      <c r="B378">
        <v>36</v>
      </c>
      <c r="C378">
        <v>1.58</v>
      </c>
      <c r="D378">
        <v>60</v>
      </c>
      <c r="E378" t="s">
        <v>18</v>
      </c>
      <c r="F378" t="s">
        <v>19</v>
      </c>
      <c r="G378">
        <v>3</v>
      </c>
      <c r="H378">
        <v>3</v>
      </c>
      <c r="I378" t="s">
        <v>20</v>
      </c>
      <c r="J378" t="s">
        <v>19</v>
      </c>
      <c r="K378">
        <v>1</v>
      </c>
      <c r="L378" t="s">
        <v>19</v>
      </c>
      <c r="M378">
        <v>2</v>
      </c>
      <c r="N378">
        <v>0</v>
      </c>
      <c r="O378" t="s">
        <v>20</v>
      </c>
      <c r="P378" t="s">
        <v>28</v>
      </c>
      <c r="Q378" t="s">
        <v>22</v>
      </c>
    </row>
    <row r="379" spans="1:17" x14ac:dyDescent="0.2">
      <c r="A379" t="s">
        <v>23</v>
      </c>
      <c r="B379">
        <v>18</v>
      </c>
      <c r="C379">
        <v>1.76</v>
      </c>
      <c r="D379">
        <v>68</v>
      </c>
      <c r="E379" t="s">
        <v>19</v>
      </c>
      <c r="F379" t="s">
        <v>19</v>
      </c>
      <c r="G379">
        <v>2</v>
      </c>
      <c r="H379">
        <v>4</v>
      </c>
      <c r="I379" t="s">
        <v>24</v>
      </c>
      <c r="J379" t="s">
        <v>19</v>
      </c>
      <c r="K379">
        <v>2</v>
      </c>
      <c r="L379" t="s">
        <v>19</v>
      </c>
      <c r="M379">
        <v>1</v>
      </c>
      <c r="N379">
        <v>1</v>
      </c>
      <c r="O379" t="s">
        <v>20</v>
      </c>
      <c r="P379" t="s">
        <v>21</v>
      </c>
      <c r="Q379" t="s">
        <v>22</v>
      </c>
    </row>
    <row r="380" spans="1:17" x14ac:dyDescent="0.2">
      <c r="A380" t="s">
        <v>23</v>
      </c>
      <c r="B380">
        <v>18</v>
      </c>
      <c r="C380">
        <v>1.73</v>
      </c>
      <c r="D380">
        <v>70</v>
      </c>
      <c r="E380" t="s">
        <v>19</v>
      </c>
      <c r="F380" t="s">
        <v>18</v>
      </c>
      <c r="G380">
        <v>3</v>
      </c>
      <c r="H380">
        <v>3</v>
      </c>
      <c r="I380" t="s">
        <v>24</v>
      </c>
      <c r="J380" t="s">
        <v>19</v>
      </c>
      <c r="K380">
        <v>1</v>
      </c>
      <c r="L380" t="s">
        <v>19</v>
      </c>
      <c r="M380">
        <v>2</v>
      </c>
      <c r="N380">
        <v>1</v>
      </c>
      <c r="O380" t="s">
        <v>20</v>
      </c>
      <c r="P380" t="s">
        <v>21</v>
      </c>
      <c r="Q380" t="s">
        <v>22</v>
      </c>
    </row>
    <row r="381" spans="1:17" x14ac:dyDescent="0.2">
      <c r="A381" t="s">
        <v>23</v>
      </c>
      <c r="B381">
        <v>17</v>
      </c>
      <c r="C381">
        <v>1.7</v>
      </c>
      <c r="D381">
        <v>70</v>
      </c>
      <c r="E381" t="s">
        <v>18</v>
      </c>
      <c r="F381" t="s">
        <v>18</v>
      </c>
      <c r="G381">
        <v>3</v>
      </c>
      <c r="H381">
        <v>3</v>
      </c>
      <c r="I381" t="s">
        <v>20</v>
      </c>
      <c r="J381" t="s">
        <v>19</v>
      </c>
      <c r="K381">
        <v>2</v>
      </c>
      <c r="L381" t="s">
        <v>19</v>
      </c>
      <c r="M381">
        <v>0</v>
      </c>
      <c r="N381">
        <v>2</v>
      </c>
      <c r="O381" t="s">
        <v>20</v>
      </c>
      <c r="P381" t="s">
        <v>25</v>
      </c>
      <c r="Q381" t="s">
        <v>22</v>
      </c>
    </row>
    <row r="382" spans="1:17" x14ac:dyDescent="0.2">
      <c r="A382" t="s">
        <v>23</v>
      </c>
      <c r="B382">
        <v>25</v>
      </c>
      <c r="C382">
        <v>1.7</v>
      </c>
      <c r="D382">
        <v>83</v>
      </c>
      <c r="E382" t="s">
        <v>19</v>
      </c>
      <c r="F382" t="s">
        <v>18</v>
      </c>
      <c r="G382">
        <v>3</v>
      </c>
      <c r="H382">
        <v>3</v>
      </c>
      <c r="I382" t="s">
        <v>20</v>
      </c>
      <c r="J382" t="s">
        <v>19</v>
      </c>
      <c r="K382">
        <v>3</v>
      </c>
      <c r="L382" t="s">
        <v>18</v>
      </c>
      <c r="M382">
        <v>3</v>
      </c>
      <c r="N382">
        <v>0</v>
      </c>
      <c r="O382" t="s">
        <v>19</v>
      </c>
      <c r="P382" t="s">
        <v>29</v>
      </c>
      <c r="Q382" t="s">
        <v>27</v>
      </c>
    </row>
    <row r="383" spans="1:17" x14ac:dyDescent="0.2">
      <c r="A383" t="s">
        <v>23</v>
      </c>
      <c r="B383">
        <v>21</v>
      </c>
      <c r="C383">
        <v>1.8</v>
      </c>
      <c r="D383">
        <v>75</v>
      </c>
      <c r="E383" t="s">
        <v>18</v>
      </c>
      <c r="F383" t="s">
        <v>18</v>
      </c>
      <c r="G383">
        <v>3</v>
      </c>
      <c r="H383">
        <v>3</v>
      </c>
      <c r="I383" t="s">
        <v>24</v>
      </c>
      <c r="J383" t="s">
        <v>19</v>
      </c>
      <c r="K383">
        <v>1</v>
      </c>
      <c r="L383" t="s">
        <v>19</v>
      </c>
      <c r="M383">
        <v>2</v>
      </c>
      <c r="N383">
        <v>0</v>
      </c>
      <c r="O383" t="s">
        <v>20</v>
      </c>
      <c r="P383" t="s">
        <v>21</v>
      </c>
      <c r="Q383" t="s">
        <v>22</v>
      </c>
    </row>
    <row r="384" spans="1:17" x14ac:dyDescent="0.2">
      <c r="A384" t="s">
        <v>17</v>
      </c>
      <c r="B384">
        <v>29</v>
      </c>
      <c r="C384">
        <v>1.6</v>
      </c>
      <c r="D384">
        <v>56</v>
      </c>
      <c r="E384" t="s">
        <v>18</v>
      </c>
      <c r="F384" t="s">
        <v>19</v>
      </c>
      <c r="G384">
        <v>2</v>
      </c>
      <c r="H384">
        <v>3</v>
      </c>
      <c r="I384" t="s">
        <v>24</v>
      </c>
      <c r="J384" t="s">
        <v>19</v>
      </c>
      <c r="K384">
        <v>1</v>
      </c>
      <c r="L384" t="s">
        <v>19</v>
      </c>
      <c r="M384">
        <v>0</v>
      </c>
      <c r="N384">
        <v>1</v>
      </c>
      <c r="O384" t="s">
        <v>20</v>
      </c>
      <c r="P384" t="s">
        <v>21</v>
      </c>
      <c r="Q384" t="s">
        <v>22</v>
      </c>
    </row>
    <row r="385" spans="1:17" x14ac:dyDescent="0.2">
      <c r="A385" t="s">
        <v>23</v>
      </c>
      <c r="B385">
        <v>17</v>
      </c>
      <c r="C385">
        <v>1.7</v>
      </c>
      <c r="D385">
        <v>98</v>
      </c>
      <c r="E385" t="s">
        <v>18</v>
      </c>
      <c r="F385" t="s">
        <v>19</v>
      </c>
      <c r="G385">
        <v>2</v>
      </c>
      <c r="H385">
        <v>3</v>
      </c>
      <c r="I385" t="s">
        <v>20</v>
      </c>
      <c r="J385" t="s">
        <v>19</v>
      </c>
      <c r="K385">
        <v>2</v>
      </c>
      <c r="L385" t="s">
        <v>19</v>
      </c>
      <c r="M385">
        <v>0</v>
      </c>
      <c r="N385">
        <v>1</v>
      </c>
      <c r="O385" t="s">
        <v>20</v>
      </c>
      <c r="P385" t="s">
        <v>28</v>
      </c>
      <c r="Q385" t="s">
        <v>30</v>
      </c>
    </row>
    <row r="386" spans="1:17" x14ac:dyDescent="0.2">
      <c r="A386" t="s">
        <v>17</v>
      </c>
      <c r="B386">
        <v>18</v>
      </c>
      <c r="C386">
        <v>1.6</v>
      </c>
      <c r="D386">
        <v>60</v>
      </c>
      <c r="E386" t="s">
        <v>18</v>
      </c>
      <c r="F386" t="s">
        <v>18</v>
      </c>
      <c r="G386">
        <v>3</v>
      </c>
      <c r="H386">
        <v>1</v>
      </c>
      <c r="I386" t="s">
        <v>20</v>
      </c>
      <c r="J386" t="s">
        <v>19</v>
      </c>
      <c r="K386">
        <v>1</v>
      </c>
      <c r="L386" t="s">
        <v>18</v>
      </c>
      <c r="M386">
        <v>0</v>
      </c>
      <c r="N386">
        <v>2</v>
      </c>
      <c r="O386" t="s">
        <v>19</v>
      </c>
      <c r="P386" t="s">
        <v>25</v>
      </c>
      <c r="Q386" t="s">
        <v>22</v>
      </c>
    </row>
    <row r="387" spans="1:17" x14ac:dyDescent="0.2">
      <c r="A387" t="s">
        <v>17</v>
      </c>
      <c r="B387">
        <v>16</v>
      </c>
      <c r="C387">
        <v>1.55</v>
      </c>
      <c r="D387">
        <v>45</v>
      </c>
      <c r="E387" t="s">
        <v>19</v>
      </c>
      <c r="F387" t="s">
        <v>18</v>
      </c>
      <c r="G387">
        <v>2</v>
      </c>
      <c r="H387">
        <v>3</v>
      </c>
      <c r="I387" t="s">
        <v>24</v>
      </c>
      <c r="J387" t="s">
        <v>19</v>
      </c>
      <c r="K387">
        <v>2</v>
      </c>
      <c r="L387" t="s">
        <v>19</v>
      </c>
      <c r="M387">
        <v>1</v>
      </c>
      <c r="N387">
        <v>1</v>
      </c>
      <c r="O387" t="s">
        <v>19</v>
      </c>
      <c r="P387" t="s">
        <v>21</v>
      </c>
      <c r="Q387" t="s">
        <v>22</v>
      </c>
    </row>
    <row r="388" spans="1:17" x14ac:dyDescent="0.2">
      <c r="A388" t="s">
        <v>17</v>
      </c>
      <c r="B388">
        <v>18</v>
      </c>
      <c r="C388">
        <v>1.59</v>
      </c>
      <c r="D388">
        <v>53</v>
      </c>
      <c r="E388" t="s">
        <v>19</v>
      </c>
      <c r="F388" t="s">
        <v>19</v>
      </c>
      <c r="G388">
        <v>1</v>
      </c>
      <c r="H388">
        <v>3</v>
      </c>
      <c r="I388" t="s">
        <v>20</v>
      </c>
      <c r="J388" t="s">
        <v>19</v>
      </c>
      <c r="K388">
        <v>1</v>
      </c>
      <c r="L388" t="s">
        <v>19</v>
      </c>
      <c r="M388">
        <v>1</v>
      </c>
      <c r="N388">
        <v>2</v>
      </c>
      <c r="O388" t="s">
        <v>19</v>
      </c>
      <c r="P388" t="s">
        <v>21</v>
      </c>
      <c r="Q388" t="s">
        <v>22</v>
      </c>
    </row>
    <row r="389" spans="1:17" x14ac:dyDescent="0.2">
      <c r="A389" t="s">
        <v>17</v>
      </c>
      <c r="B389">
        <v>37</v>
      </c>
      <c r="C389">
        <v>1.5</v>
      </c>
      <c r="D389">
        <v>75</v>
      </c>
      <c r="E389" t="s">
        <v>18</v>
      </c>
      <c r="F389" t="s">
        <v>18</v>
      </c>
      <c r="G389">
        <v>2</v>
      </c>
      <c r="H389">
        <v>3</v>
      </c>
      <c r="I389" t="s">
        <v>24</v>
      </c>
      <c r="J389" t="s">
        <v>19</v>
      </c>
      <c r="K389">
        <v>1</v>
      </c>
      <c r="L389" t="s">
        <v>19</v>
      </c>
      <c r="M389">
        <v>0</v>
      </c>
      <c r="N389">
        <v>0</v>
      </c>
      <c r="O389" t="s">
        <v>20</v>
      </c>
      <c r="P389" t="s">
        <v>29</v>
      </c>
      <c r="Q389" t="s">
        <v>30</v>
      </c>
    </row>
    <row r="390" spans="1:17" x14ac:dyDescent="0.2">
      <c r="A390" t="s">
        <v>23</v>
      </c>
      <c r="B390">
        <v>18</v>
      </c>
      <c r="C390">
        <v>1.78</v>
      </c>
      <c r="D390">
        <v>108</v>
      </c>
      <c r="E390" t="s">
        <v>18</v>
      </c>
      <c r="F390" t="s">
        <v>19</v>
      </c>
      <c r="G390">
        <v>2</v>
      </c>
      <c r="H390">
        <v>3</v>
      </c>
      <c r="I390" t="s">
        <v>20</v>
      </c>
      <c r="J390" t="s">
        <v>19</v>
      </c>
      <c r="K390">
        <v>3</v>
      </c>
      <c r="L390" t="s">
        <v>19</v>
      </c>
      <c r="M390">
        <v>1</v>
      </c>
      <c r="N390">
        <v>0</v>
      </c>
      <c r="O390" t="s">
        <v>19</v>
      </c>
      <c r="P390" t="s">
        <v>21</v>
      </c>
      <c r="Q390" t="s">
        <v>30</v>
      </c>
    </row>
    <row r="391" spans="1:17" x14ac:dyDescent="0.2">
      <c r="A391" t="s">
        <v>17</v>
      </c>
      <c r="B391">
        <v>16</v>
      </c>
      <c r="C391">
        <v>1.61</v>
      </c>
      <c r="D391">
        <v>65</v>
      </c>
      <c r="E391" t="s">
        <v>18</v>
      </c>
      <c r="F391" t="s">
        <v>18</v>
      </c>
      <c r="G391">
        <v>1</v>
      </c>
      <c r="H391">
        <v>1</v>
      </c>
      <c r="I391" t="s">
        <v>20</v>
      </c>
      <c r="J391" t="s">
        <v>19</v>
      </c>
      <c r="K391">
        <v>2</v>
      </c>
      <c r="L391" t="s">
        <v>19</v>
      </c>
      <c r="M391">
        <v>0</v>
      </c>
      <c r="N391">
        <v>0</v>
      </c>
      <c r="O391" t="s">
        <v>19</v>
      </c>
      <c r="P391" t="s">
        <v>21</v>
      </c>
      <c r="Q391" t="s">
        <v>26</v>
      </c>
    </row>
    <row r="392" spans="1:17" x14ac:dyDescent="0.2">
      <c r="A392" t="s">
        <v>23</v>
      </c>
      <c r="B392">
        <v>23</v>
      </c>
      <c r="C392">
        <v>1.71</v>
      </c>
      <c r="D392">
        <v>50</v>
      </c>
      <c r="E392" t="s">
        <v>18</v>
      </c>
      <c r="F392" t="s">
        <v>18</v>
      </c>
      <c r="G392">
        <v>2</v>
      </c>
      <c r="H392">
        <v>3</v>
      </c>
      <c r="I392" t="s">
        <v>31</v>
      </c>
      <c r="J392" t="s">
        <v>19</v>
      </c>
      <c r="K392">
        <v>3</v>
      </c>
      <c r="L392" t="s">
        <v>19</v>
      </c>
      <c r="M392">
        <v>0</v>
      </c>
      <c r="N392">
        <v>2</v>
      </c>
      <c r="O392" t="s">
        <v>19</v>
      </c>
      <c r="P392" t="s">
        <v>21</v>
      </c>
      <c r="Q392" t="s">
        <v>32</v>
      </c>
    </row>
    <row r="393" spans="1:17" x14ac:dyDescent="0.2">
      <c r="A393" t="s">
        <v>17</v>
      </c>
      <c r="B393">
        <v>18</v>
      </c>
      <c r="C393">
        <v>1.7</v>
      </c>
      <c r="D393">
        <v>50</v>
      </c>
      <c r="E393" t="s">
        <v>19</v>
      </c>
      <c r="F393" t="s">
        <v>19</v>
      </c>
      <c r="G393">
        <v>2</v>
      </c>
      <c r="H393">
        <v>3</v>
      </c>
      <c r="I393" t="s">
        <v>20</v>
      </c>
      <c r="J393" t="s">
        <v>19</v>
      </c>
      <c r="K393">
        <v>2</v>
      </c>
      <c r="L393" t="s">
        <v>19</v>
      </c>
      <c r="M393">
        <v>0</v>
      </c>
      <c r="N393">
        <v>1</v>
      </c>
      <c r="O393" t="s">
        <v>20</v>
      </c>
      <c r="P393" t="s">
        <v>25</v>
      </c>
      <c r="Q393" t="s">
        <v>32</v>
      </c>
    </row>
    <row r="394" spans="1:17" x14ac:dyDescent="0.2">
      <c r="A394" t="s">
        <v>23</v>
      </c>
      <c r="B394">
        <v>18</v>
      </c>
      <c r="C394">
        <v>1.76</v>
      </c>
      <c r="D394">
        <v>69.5</v>
      </c>
      <c r="E394" t="s">
        <v>19</v>
      </c>
      <c r="F394" t="s">
        <v>19</v>
      </c>
      <c r="G394">
        <v>3</v>
      </c>
      <c r="H394">
        <v>3</v>
      </c>
      <c r="I394" t="s">
        <v>24</v>
      </c>
      <c r="J394" t="s">
        <v>19</v>
      </c>
      <c r="K394">
        <v>3</v>
      </c>
      <c r="L394" t="s">
        <v>19</v>
      </c>
      <c r="M394">
        <v>2</v>
      </c>
      <c r="N394">
        <v>2</v>
      </c>
      <c r="O394" t="s">
        <v>19</v>
      </c>
      <c r="P394" t="s">
        <v>21</v>
      </c>
      <c r="Q394" t="s">
        <v>22</v>
      </c>
    </row>
    <row r="395" spans="1:17" x14ac:dyDescent="0.2">
      <c r="A395" t="s">
        <v>23</v>
      </c>
      <c r="B395">
        <v>18</v>
      </c>
      <c r="C395">
        <v>1.7</v>
      </c>
      <c r="D395">
        <v>78</v>
      </c>
      <c r="E395" t="s">
        <v>19</v>
      </c>
      <c r="F395" t="s">
        <v>18</v>
      </c>
      <c r="G395">
        <v>1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1</v>
      </c>
      <c r="O395" t="s">
        <v>20</v>
      </c>
      <c r="P395" t="s">
        <v>21</v>
      </c>
      <c r="Q395" t="s">
        <v>27</v>
      </c>
    </row>
    <row r="396" spans="1:17" x14ac:dyDescent="0.2">
      <c r="A396" t="s">
        <v>17</v>
      </c>
      <c r="B396">
        <v>17</v>
      </c>
      <c r="C396">
        <v>1.53</v>
      </c>
      <c r="D396">
        <v>55</v>
      </c>
      <c r="E396" t="s">
        <v>18</v>
      </c>
      <c r="F396" t="s">
        <v>18</v>
      </c>
      <c r="G396">
        <v>2</v>
      </c>
      <c r="H396">
        <v>3</v>
      </c>
      <c r="I396" t="s">
        <v>20</v>
      </c>
      <c r="J396" t="s">
        <v>19</v>
      </c>
      <c r="K396">
        <v>1</v>
      </c>
      <c r="L396" t="s">
        <v>19</v>
      </c>
      <c r="M396">
        <v>0</v>
      </c>
      <c r="N396">
        <v>1</v>
      </c>
      <c r="O396" t="s">
        <v>19</v>
      </c>
      <c r="P396" t="s">
        <v>21</v>
      </c>
      <c r="Q396" t="s">
        <v>22</v>
      </c>
    </row>
    <row r="397" spans="1:17" x14ac:dyDescent="0.2">
      <c r="A397" t="s">
        <v>17</v>
      </c>
      <c r="B397">
        <v>20</v>
      </c>
      <c r="C397">
        <v>1.54</v>
      </c>
      <c r="D397">
        <v>39</v>
      </c>
      <c r="E397" t="s">
        <v>18</v>
      </c>
      <c r="F397" t="s">
        <v>18</v>
      </c>
      <c r="G397">
        <v>1</v>
      </c>
      <c r="H397">
        <v>3</v>
      </c>
      <c r="I397" t="s">
        <v>20</v>
      </c>
      <c r="J397" t="s">
        <v>19</v>
      </c>
      <c r="K397">
        <v>2</v>
      </c>
      <c r="L397" t="s">
        <v>19</v>
      </c>
      <c r="M397">
        <v>3</v>
      </c>
      <c r="N397">
        <v>2</v>
      </c>
      <c r="O397" t="s">
        <v>20</v>
      </c>
      <c r="P397" t="s">
        <v>21</v>
      </c>
      <c r="Q397" t="s">
        <v>32</v>
      </c>
    </row>
    <row r="398" spans="1:17" x14ac:dyDescent="0.2">
      <c r="A398" t="s">
        <v>17</v>
      </c>
      <c r="B398">
        <v>38</v>
      </c>
      <c r="C398">
        <v>1.55</v>
      </c>
      <c r="D398">
        <v>59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1</v>
      </c>
      <c r="L398" t="s">
        <v>19</v>
      </c>
      <c r="M398">
        <v>2</v>
      </c>
      <c r="N398">
        <v>1</v>
      </c>
      <c r="O398" t="s">
        <v>24</v>
      </c>
      <c r="P398" t="s">
        <v>28</v>
      </c>
      <c r="Q398" t="s">
        <v>22</v>
      </c>
    </row>
    <row r="399" spans="1:17" x14ac:dyDescent="0.2">
      <c r="A399" t="s">
        <v>23</v>
      </c>
      <c r="B399">
        <v>20</v>
      </c>
      <c r="C399">
        <v>1.66</v>
      </c>
      <c r="D399">
        <v>60</v>
      </c>
      <c r="E399" t="s">
        <v>19</v>
      </c>
      <c r="F399" t="s">
        <v>18</v>
      </c>
      <c r="G399">
        <v>2</v>
      </c>
      <c r="H399">
        <v>4</v>
      </c>
      <c r="I399" t="s">
        <v>24</v>
      </c>
      <c r="J399" t="s">
        <v>19</v>
      </c>
      <c r="K399">
        <v>3</v>
      </c>
      <c r="L399" t="s">
        <v>19</v>
      </c>
      <c r="M399">
        <v>0</v>
      </c>
      <c r="N399">
        <v>0</v>
      </c>
      <c r="O399" t="s">
        <v>19</v>
      </c>
      <c r="P399" t="s">
        <v>21</v>
      </c>
      <c r="Q399" t="s">
        <v>22</v>
      </c>
    </row>
    <row r="400" spans="1:17" x14ac:dyDescent="0.2">
      <c r="A400" t="s">
        <v>23</v>
      </c>
      <c r="B400">
        <v>21</v>
      </c>
      <c r="C400">
        <v>1.85</v>
      </c>
      <c r="D400">
        <v>125</v>
      </c>
      <c r="E400" t="s">
        <v>18</v>
      </c>
      <c r="F400" t="s">
        <v>18</v>
      </c>
      <c r="G400">
        <v>3</v>
      </c>
      <c r="H400">
        <v>1</v>
      </c>
      <c r="I400" t="s">
        <v>31</v>
      </c>
      <c r="J400" t="s">
        <v>19</v>
      </c>
      <c r="K400">
        <v>1</v>
      </c>
      <c r="L400" t="s">
        <v>19</v>
      </c>
      <c r="M400">
        <v>0</v>
      </c>
      <c r="N400">
        <v>0</v>
      </c>
      <c r="O400" t="s">
        <v>20</v>
      </c>
      <c r="P400" t="s">
        <v>21</v>
      </c>
      <c r="Q400" t="s">
        <v>33</v>
      </c>
    </row>
    <row r="401" spans="1:17" x14ac:dyDescent="0.2">
      <c r="A401" t="s">
        <v>23</v>
      </c>
      <c r="B401">
        <v>21</v>
      </c>
      <c r="C401">
        <v>1.65</v>
      </c>
      <c r="D401">
        <v>60</v>
      </c>
      <c r="E401" t="s">
        <v>19</v>
      </c>
      <c r="F401" t="s">
        <v>19</v>
      </c>
      <c r="G401">
        <v>3</v>
      </c>
      <c r="H401">
        <v>1</v>
      </c>
      <c r="I401" t="s">
        <v>24</v>
      </c>
      <c r="J401" t="s">
        <v>19</v>
      </c>
      <c r="K401">
        <v>1</v>
      </c>
      <c r="L401" t="s">
        <v>19</v>
      </c>
      <c r="M401">
        <v>0</v>
      </c>
      <c r="N401">
        <v>0</v>
      </c>
      <c r="O401" t="s">
        <v>20</v>
      </c>
      <c r="P401" t="s">
        <v>29</v>
      </c>
      <c r="Q401" t="s">
        <v>22</v>
      </c>
    </row>
    <row r="402" spans="1:17" x14ac:dyDescent="0.2">
      <c r="A402" t="s">
        <v>23</v>
      </c>
      <c r="B402">
        <v>18</v>
      </c>
      <c r="C402">
        <v>1.65</v>
      </c>
      <c r="D402">
        <v>70</v>
      </c>
      <c r="E402" t="s">
        <v>18</v>
      </c>
      <c r="F402" t="s">
        <v>19</v>
      </c>
      <c r="G402">
        <v>2</v>
      </c>
      <c r="H402">
        <v>3</v>
      </c>
      <c r="I402" t="s">
        <v>20</v>
      </c>
      <c r="J402" t="s">
        <v>19</v>
      </c>
      <c r="K402">
        <v>2</v>
      </c>
      <c r="L402" t="s">
        <v>19</v>
      </c>
      <c r="M402">
        <v>0</v>
      </c>
      <c r="N402">
        <v>0</v>
      </c>
      <c r="O402" t="s">
        <v>19</v>
      </c>
      <c r="P402" t="s">
        <v>21</v>
      </c>
      <c r="Q402" t="s">
        <v>26</v>
      </c>
    </row>
    <row r="403" spans="1:17" x14ac:dyDescent="0.2">
      <c r="A403" t="s">
        <v>23</v>
      </c>
      <c r="B403">
        <v>26</v>
      </c>
      <c r="C403">
        <v>1.83</v>
      </c>
      <c r="D403">
        <v>82</v>
      </c>
      <c r="E403" t="s">
        <v>19</v>
      </c>
      <c r="F403" t="s">
        <v>18</v>
      </c>
      <c r="G403">
        <v>2</v>
      </c>
      <c r="H403">
        <v>3</v>
      </c>
      <c r="I403" t="s">
        <v>31</v>
      </c>
      <c r="J403" t="s">
        <v>19</v>
      </c>
      <c r="K403">
        <v>2</v>
      </c>
      <c r="L403" t="s">
        <v>19</v>
      </c>
      <c r="M403">
        <v>1</v>
      </c>
      <c r="N403">
        <v>1</v>
      </c>
      <c r="O403" t="s">
        <v>20</v>
      </c>
      <c r="P403" t="s">
        <v>21</v>
      </c>
      <c r="Q403" t="s">
        <v>22</v>
      </c>
    </row>
    <row r="404" spans="1:17" x14ac:dyDescent="0.2">
      <c r="A404" t="s">
        <v>23</v>
      </c>
      <c r="B404">
        <v>27</v>
      </c>
      <c r="C404">
        <v>1.83</v>
      </c>
      <c r="D404">
        <v>99</v>
      </c>
      <c r="E404" t="s">
        <v>18</v>
      </c>
      <c r="F404" t="s">
        <v>18</v>
      </c>
      <c r="G404">
        <v>3</v>
      </c>
      <c r="H404">
        <v>1</v>
      </c>
      <c r="I404" t="s">
        <v>24</v>
      </c>
      <c r="J404" t="s">
        <v>19</v>
      </c>
      <c r="K404">
        <v>2</v>
      </c>
      <c r="L404" t="s">
        <v>19</v>
      </c>
      <c r="M404">
        <v>2</v>
      </c>
      <c r="N404">
        <v>1</v>
      </c>
      <c r="O404" t="s">
        <v>20</v>
      </c>
      <c r="P404" t="s">
        <v>25</v>
      </c>
      <c r="Q404" t="s">
        <v>27</v>
      </c>
    </row>
    <row r="405" spans="1:17" x14ac:dyDescent="0.2">
      <c r="A405" t="s">
        <v>17</v>
      </c>
      <c r="B405">
        <v>26</v>
      </c>
      <c r="C405">
        <v>1.66</v>
      </c>
      <c r="D405">
        <v>112</v>
      </c>
      <c r="E405" t="s">
        <v>18</v>
      </c>
      <c r="F405" t="s">
        <v>19</v>
      </c>
      <c r="G405">
        <v>3</v>
      </c>
      <c r="H405">
        <v>3</v>
      </c>
      <c r="I405" t="s">
        <v>20</v>
      </c>
      <c r="J405" t="s">
        <v>19</v>
      </c>
      <c r="K405">
        <v>3</v>
      </c>
      <c r="L405" t="s">
        <v>19</v>
      </c>
      <c r="M405">
        <v>0</v>
      </c>
      <c r="N405">
        <v>0</v>
      </c>
      <c r="O405" t="s">
        <v>19</v>
      </c>
      <c r="P405" t="s">
        <v>28</v>
      </c>
      <c r="Q405" t="s">
        <v>35</v>
      </c>
    </row>
    <row r="406" spans="1:17" x14ac:dyDescent="0.2">
      <c r="A406" t="s">
        <v>23</v>
      </c>
      <c r="B406">
        <v>34</v>
      </c>
      <c r="C406">
        <v>1.78</v>
      </c>
      <c r="D406">
        <v>73</v>
      </c>
      <c r="E406" t="s">
        <v>19</v>
      </c>
      <c r="F406" t="s">
        <v>18</v>
      </c>
      <c r="G406">
        <v>2</v>
      </c>
      <c r="H406">
        <v>3</v>
      </c>
      <c r="I406" t="s">
        <v>20</v>
      </c>
      <c r="J406" t="s">
        <v>19</v>
      </c>
      <c r="K406">
        <v>2</v>
      </c>
      <c r="L406" t="s">
        <v>19</v>
      </c>
      <c r="M406">
        <v>3</v>
      </c>
      <c r="N406">
        <v>1</v>
      </c>
      <c r="O406" t="s">
        <v>20</v>
      </c>
      <c r="P406" t="s">
        <v>28</v>
      </c>
      <c r="Q406" t="s">
        <v>22</v>
      </c>
    </row>
    <row r="407" spans="1:17" x14ac:dyDescent="0.2">
      <c r="A407" t="s">
        <v>23</v>
      </c>
      <c r="B407">
        <v>18</v>
      </c>
      <c r="C407">
        <v>1.74</v>
      </c>
      <c r="D407">
        <v>86</v>
      </c>
      <c r="E407" t="s">
        <v>19</v>
      </c>
      <c r="F407" t="s">
        <v>19</v>
      </c>
      <c r="G407">
        <v>3</v>
      </c>
      <c r="H407">
        <v>3</v>
      </c>
      <c r="I407" t="s">
        <v>20</v>
      </c>
      <c r="J407" t="s">
        <v>19</v>
      </c>
      <c r="K407">
        <v>2</v>
      </c>
      <c r="L407" t="s">
        <v>19</v>
      </c>
      <c r="M407">
        <v>3</v>
      </c>
      <c r="N407">
        <v>0</v>
      </c>
      <c r="O407" t="s">
        <v>19</v>
      </c>
      <c r="P407" t="s">
        <v>21</v>
      </c>
      <c r="Q407" t="s">
        <v>27</v>
      </c>
    </row>
    <row r="408" spans="1:17" x14ac:dyDescent="0.2">
      <c r="A408" t="s">
        <v>23</v>
      </c>
      <c r="B408">
        <v>33</v>
      </c>
      <c r="C408">
        <v>1.76</v>
      </c>
      <c r="D408">
        <v>66.5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19</v>
      </c>
      <c r="M408">
        <v>3</v>
      </c>
      <c r="N408">
        <v>1</v>
      </c>
      <c r="O408" t="s">
        <v>20</v>
      </c>
      <c r="P408" t="s">
        <v>28</v>
      </c>
      <c r="Q408" t="s">
        <v>22</v>
      </c>
    </row>
    <row r="409" spans="1:17" x14ac:dyDescent="0.2">
      <c r="A409" t="s">
        <v>17</v>
      </c>
      <c r="B409">
        <v>19</v>
      </c>
      <c r="C409">
        <v>1.51</v>
      </c>
      <c r="D409">
        <v>59</v>
      </c>
      <c r="E409" t="s">
        <v>18</v>
      </c>
      <c r="F409" t="s">
        <v>18</v>
      </c>
      <c r="G409">
        <v>3</v>
      </c>
      <c r="H409">
        <v>3</v>
      </c>
      <c r="I409" t="s">
        <v>24</v>
      </c>
      <c r="J409" t="s">
        <v>19</v>
      </c>
      <c r="K409">
        <v>1</v>
      </c>
      <c r="L409" t="s">
        <v>19</v>
      </c>
      <c r="M409">
        <v>1</v>
      </c>
      <c r="N409">
        <v>2</v>
      </c>
      <c r="O409" t="s">
        <v>20</v>
      </c>
      <c r="P409" t="s">
        <v>25</v>
      </c>
      <c r="Q409" t="s">
        <v>26</v>
      </c>
    </row>
    <row r="410" spans="1:17" x14ac:dyDescent="0.2">
      <c r="A410" t="s">
        <v>23</v>
      </c>
      <c r="B410">
        <v>20</v>
      </c>
      <c r="C410">
        <v>1.81</v>
      </c>
      <c r="D410">
        <v>79</v>
      </c>
      <c r="E410" t="s">
        <v>18</v>
      </c>
      <c r="F410" t="s">
        <v>19</v>
      </c>
      <c r="G410">
        <v>3</v>
      </c>
      <c r="H410">
        <v>1</v>
      </c>
      <c r="I410" t="s">
        <v>20</v>
      </c>
      <c r="J410" t="s">
        <v>19</v>
      </c>
      <c r="K410">
        <v>2</v>
      </c>
      <c r="L410" t="s">
        <v>19</v>
      </c>
      <c r="M410">
        <v>0</v>
      </c>
      <c r="N410">
        <v>0</v>
      </c>
      <c r="O410" t="s">
        <v>20</v>
      </c>
      <c r="P410" t="s">
        <v>21</v>
      </c>
      <c r="Q410" t="s">
        <v>22</v>
      </c>
    </row>
    <row r="411" spans="1:17" x14ac:dyDescent="0.2">
      <c r="A411" t="s">
        <v>17</v>
      </c>
      <c r="B411">
        <v>33</v>
      </c>
      <c r="C411">
        <v>1.55</v>
      </c>
      <c r="D411">
        <v>55</v>
      </c>
      <c r="E411" t="s">
        <v>18</v>
      </c>
      <c r="F411" t="s">
        <v>18</v>
      </c>
      <c r="G411">
        <v>3</v>
      </c>
      <c r="H411">
        <v>1</v>
      </c>
      <c r="I411" t="s">
        <v>20</v>
      </c>
      <c r="J411" t="s">
        <v>19</v>
      </c>
      <c r="K411">
        <v>3</v>
      </c>
      <c r="L411" t="s">
        <v>19</v>
      </c>
      <c r="M411">
        <v>2</v>
      </c>
      <c r="N411">
        <v>1</v>
      </c>
      <c r="O411" t="s">
        <v>20</v>
      </c>
      <c r="P411" t="s">
        <v>21</v>
      </c>
      <c r="Q411" t="s">
        <v>22</v>
      </c>
    </row>
    <row r="412" spans="1:17" x14ac:dyDescent="0.2">
      <c r="A412" t="s">
        <v>23</v>
      </c>
      <c r="B412">
        <v>20</v>
      </c>
      <c r="C412">
        <v>1.83</v>
      </c>
      <c r="D412">
        <v>66</v>
      </c>
      <c r="E412" t="s">
        <v>19</v>
      </c>
      <c r="F412" t="s">
        <v>19</v>
      </c>
      <c r="G412">
        <v>2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19</v>
      </c>
      <c r="P412" t="s">
        <v>21</v>
      </c>
      <c r="Q412" t="s">
        <v>22</v>
      </c>
    </row>
    <row r="413" spans="1:17" x14ac:dyDescent="0.2">
      <c r="A413" t="s">
        <v>17</v>
      </c>
      <c r="B413">
        <v>20</v>
      </c>
      <c r="C413">
        <v>1.6</v>
      </c>
      <c r="D413">
        <v>65</v>
      </c>
      <c r="E413" t="s">
        <v>19</v>
      </c>
      <c r="F413" t="s">
        <v>19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18</v>
      </c>
      <c r="M413">
        <v>0</v>
      </c>
      <c r="N413">
        <v>0</v>
      </c>
      <c r="O413" t="s">
        <v>20</v>
      </c>
      <c r="P413" t="s">
        <v>21</v>
      </c>
      <c r="Q413" t="s">
        <v>26</v>
      </c>
    </row>
    <row r="414" spans="1:17" x14ac:dyDescent="0.2">
      <c r="A414" t="s">
        <v>23</v>
      </c>
      <c r="B414">
        <v>33</v>
      </c>
      <c r="C414">
        <v>1.85</v>
      </c>
      <c r="D414">
        <v>85</v>
      </c>
      <c r="E414" t="s">
        <v>19</v>
      </c>
      <c r="F414" t="s">
        <v>18</v>
      </c>
      <c r="G414">
        <v>2</v>
      </c>
      <c r="H414">
        <v>3</v>
      </c>
      <c r="I414" t="s">
        <v>24</v>
      </c>
      <c r="J414" t="s">
        <v>19</v>
      </c>
      <c r="K414">
        <v>2</v>
      </c>
      <c r="L414" t="s">
        <v>19</v>
      </c>
      <c r="M414">
        <v>1</v>
      </c>
      <c r="N414">
        <v>0</v>
      </c>
      <c r="O414" t="s">
        <v>20</v>
      </c>
      <c r="P414" t="s">
        <v>28</v>
      </c>
      <c r="Q414" t="s">
        <v>22</v>
      </c>
    </row>
    <row r="415" spans="1:17" x14ac:dyDescent="0.2">
      <c r="A415" t="s">
        <v>23</v>
      </c>
      <c r="B415">
        <v>33</v>
      </c>
      <c r="C415">
        <v>1.75</v>
      </c>
      <c r="D415">
        <v>85</v>
      </c>
      <c r="E415" t="s">
        <v>19</v>
      </c>
      <c r="F415" t="s">
        <v>19</v>
      </c>
      <c r="G415">
        <v>2</v>
      </c>
      <c r="H415">
        <v>3</v>
      </c>
      <c r="I415" t="s">
        <v>20</v>
      </c>
      <c r="J415" t="s">
        <v>19</v>
      </c>
      <c r="K415">
        <v>2</v>
      </c>
      <c r="L415" t="s">
        <v>18</v>
      </c>
      <c r="M415">
        <v>1</v>
      </c>
      <c r="N415">
        <v>0</v>
      </c>
      <c r="O415" t="s">
        <v>20</v>
      </c>
      <c r="P415" t="s">
        <v>21</v>
      </c>
      <c r="Q415" t="s">
        <v>27</v>
      </c>
    </row>
    <row r="416" spans="1:17" x14ac:dyDescent="0.2">
      <c r="A416" t="s">
        <v>23</v>
      </c>
      <c r="B416">
        <v>33</v>
      </c>
      <c r="C416">
        <v>1.83</v>
      </c>
      <c r="D416">
        <v>113</v>
      </c>
      <c r="E416" t="s">
        <v>18</v>
      </c>
      <c r="F416" t="s">
        <v>18</v>
      </c>
      <c r="G416">
        <v>2</v>
      </c>
      <c r="H416">
        <v>1</v>
      </c>
      <c r="I416" t="s">
        <v>31</v>
      </c>
      <c r="J416" t="s">
        <v>19</v>
      </c>
      <c r="K416">
        <v>2</v>
      </c>
      <c r="L416" t="s">
        <v>19</v>
      </c>
      <c r="M416">
        <v>1</v>
      </c>
      <c r="N416">
        <v>2</v>
      </c>
      <c r="O416" t="s">
        <v>24</v>
      </c>
      <c r="P416" t="s">
        <v>28</v>
      </c>
      <c r="Q416" t="s">
        <v>30</v>
      </c>
    </row>
    <row r="417" spans="1:17" x14ac:dyDescent="0.2">
      <c r="A417" t="s">
        <v>23</v>
      </c>
      <c r="B417">
        <v>14</v>
      </c>
      <c r="C417">
        <v>1.71</v>
      </c>
      <c r="D417">
        <v>72</v>
      </c>
      <c r="E417" t="s">
        <v>18</v>
      </c>
      <c r="F417" t="s">
        <v>18</v>
      </c>
      <c r="G417">
        <v>3</v>
      </c>
      <c r="H417">
        <v>3</v>
      </c>
      <c r="I417" t="s">
        <v>20</v>
      </c>
      <c r="J417" t="s">
        <v>19</v>
      </c>
      <c r="K417">
        <v>3</v>
      </c>
      <c r="L417" t="s">
        <v>19</v>
      </c>
      <c r="M417">
        <v>2</v>
      </c>
      <c r="N417">
        <v>1</v>
      </c>
      <c r="O417" t="s">
        <v>19</v>
      </c>
      <c r="P417" t="s">
        <v>25</v>
      </c>
      <c r="Q417" t="s">
        <v>22</v>
      </c>
    </row>
    <row r="418" spans="1:17" x14ac:dyDescent="0.2">
      <c r="A418" t="s">
        <v>23</v>
      </c>
      <c r="B418">
        <v>34</v>
      </c>
      <c r="C418">
        <v>1.84</v>
      </c>
      <c r="D418">
        <v>88</v>
      </c>
      <c r="E418" t="s">
        <v>19</v>
      </c>
      <c r="F418" t="s">
        <v>18</v>
      </c>
      <c r="G418">
        <v>3</v>
      </c>
      <c r="H418">
        <v>3</v>
      </c>
      <c r="I418" t="s">
        <v>20</v>
      </c>
      <c r="J418" t="s">
        <v>19</v>
      </c>
      <c r="K418">
        <v>1</v>
      </c>
      <c r="L418" t="s">
        <v>18</v>
      </c>
      <c r="M418">
        <v>2</v>
      </c>
      <c r="N418">
        <v>0</v>
      </c>
      <c r="O418" t="s">
        <v>19</v>
      </c>
      <c r="P418" t="s">
        <v>28</v>
      </c>
      <c r="Q418" t="s">
        <v>26</v>
      </c>
    </row>
    <row r="419" spans="1:17" x14ac:dyDescent="0.2">
      <c r="A419" t="s">
        <v>23</v>
      </c>
      <c r="B419">
        <v>18</v>
      </c>
      <c r="C419">
        <v>1.77</v>
      </c>
      <c r="D419">
        <v>87</v>
      </c>
      <c r="E419" t="s">
        <v>18</v>
      </c>
      <c r="F419" t="s">
        <v>18</v>
      </c>
      <c r="G419">
        <v>3</v>
      </c>
      <c r="H419">
        <v>3</v>
      </c>
      <c r="I419" t="s">
        <v>20</v>
      </c>
      <c r="J419" t="s">
        <v>19</v>
      </c>
      <c r="K419">
        <v>2</v>
      </c>
      <c r="L419" t="s">
        <v>19</v>
      </c>
      <c r="M419">
        <v>1</v>
      </c>
      <c r="N419">
        <v>1</v>
      </c>
      <c r="O419" t="s">
        <v>24</v>
      </c>
      <c r="P419" t="s">
        <v>21</v>
      </c>
      <c r="Q419" t="s">
        <v>27</v>
      </c>
    </row>
    <row r="420" spans="1:17" x14ac:dyDescent="0.2">
      <c r="A420" t="s">
        <v>23</v>
      </c>
      <c r="B420">
        <v>18</v>
      </c>
      <c r="C420">
        <v>1.7</v>
      </c>
      <c r="D420">
        <v>90</v>
      </c>
      <c r="E420" t="s">
        <v>19</v>
      </c>
      <c r="F420" t="s">
        <v>18</v>
      </c>
      <c r="G420">
        <v>3</v>
      </c>
      <c r="H420">
        <v>3</v>
      </c>
      <c r="I420" t="s">
        <v>20</v>
      </c>
      <c r="J420" t="s">
        <v>19</v>
      </c>
      <c r="K420">
        <v>2</v>
      </c>
      <c r="L420" t="s">
        <v>19</v>
      </c>
      <c r="M420">
        <v>2</v>
      </c>
      <c r="N420">
        <v>0</v>
      </c>
      <c r="O420" t="s">
        <v>20</v>
      </c>
      <c r="P420" t="s">
        <v>21</v>
      </c>
      <c r="Q420" t="s">
        <v>30</v>
      </c>
    </row>
    <row r="421" spans="1:17" x14ac:dyDescent="0.2">
      <c r="A421" t="s">
        <v>23</v>
      </c>
      <c r="B421">
        <v>29</v>
      </c>
      <c r="C421">
        <v>1.62</v>
      </c>
      <c r="D421">
        <v>89</v>
      </c>
      <c r="E421" t="s">
        <v>18</v>
      </c>
      <c r="F421" t="s">
        <v>18</v>
      </c>
      <c r="G421">
        <v>1</v>
      </c>
      <c r="H421">
        <v>3</v>
      </c>
      <c r="I421" t="s">
        <v>20</v>
      </c>
      <c r="J421" t="s">
        <v>19</v>
      </c>
      <c r="K421">
        <v>1</v>
      </c>
      <c r="L421" t="s">
        <v>19</v>
      </c>
      <c r="M421">
        <v>0</v>
      </c>
      <c r="N421">
        <v>0</v>
      </c>
      <c r="O421" t="s">
        <v>20</v>
      </c>
      <c r="P421" t="s">
        <v>21</v>
      </c>
      <c r="Q421" t="s">
        <v>30</v>
      </c>
    </row>
    <row r="422" spans="1:17" x14ac:dyDescent="0.2">
      <c r="A422" t="s">
        <v>23</v>
      </c>
      <c r="B422">
        <v>18</v>
      </c>
      <c r="C422">
        <v>1.85</v>
      </c>
      <c r="D422">
        <v>60</v>
      </c>
      <c r="E422" t="s">
        <v>18</v>
      </c>
      <c r="F422" t="s">
        <v>18</v>
      </c>
      <c r="G422">
        <v>3</v>
      </c>
      <c r="H422">
        <v>4</v>
      </c>
      <c r="I422" t="s">
        <v>20</v>
      </c>
      <c r="J422" t="s">
        <v>19</v>
      </c>
      <c r="K422">
        <v>2</v>
      </c>
      <c r="L422" t="s">
        <v>18</v>
      </c>
      <c r="M422">
        <v>2</v>
      </c>
      <c r="N422">
        <v>0</v>
      </c>
      <c r="O422" t="s">
        <v>20</v>
      </c>
      <c r="P422" t="s">
        <v>28</v>
      </c>
      <c r="Q422" t="s">
        <v>32</v>
      </c>
    </row>
    <row r="423" spans="1:17" x14ac:dyDescent="0.2">
      <c r="A423" t="s">
        <v>23</v>
      </c>
      <c r="B423">
        <v>18</v>
      </c>
      <c r="C423">
        <v>1.84</v>
      </c>
      <c r="D423">
        <v>60</v>
      </c>
      <c r="E423" t="s">
        <v>18</v>
      </c>
      <c r="F423" t="s">
        <v>18</v>
      </c>
      <c r="G423">
        <v>3</v>
      </c>
      <c r="H423">
        <v>4</v>
      </c>
      <c r="I423" t="s">
        <v>20</v>
      </c>
      <c r="J423" t="s">
        <v>19</v>
      </c>
      <c r="K423">
        <v>2</v>
      </c>
      <c r="L423" t="s">
        <v>18</v>
      </c>
      <c r="M423">
        <v>2</v>
      </c>
      <c r="N423">
        <v>0</v>
      </c>
      <c r="O423" t="s">
        <v>20</v>
      </c>
      <c r="P423" t="s">
        <v>28</v>
      </c>
      <c r="Q423" t="s">
        <v>32</v>
      </c>
    </row>
    <row r="424" spans="1:17" x14ac:dyDescent="0.2">
      <c r="A424" t="s">
        <v>23</v>
      </c>
      <c r="B424">
        <v>19</v>
      </c>
      <c r="C424">
        <v>1.75</v>
      </c>
      <c r="D424">
        <v>58</v>
      </c>
      <c r="E424" t="s">
        <v>19</v>
      </c>
      <c r="F424" t="s">
        <v>18</v>
      </c>
      <c r="G424">
        <v>2</v>
      </c>
      <c r="H424">
        <v>3</v>
      </c>
      <c r="I424" t="s">
        <v>20</v>
      </c>
      <c r="J424" t="s">
        <v>19</v>
      </c>
      <c r="K424">
        <v>2</v>
      </c>
      <c r="L424" t="s">
        <v>19</v>
      </c>
      <c r="M424">
        <v>2</v>
      </c>
      <c r="N424">
        <v>0</v>
      </c>
      <c r="O424" t="s">
        <v>20</v>
      </c>
      <c r="P424" t="s">
        <v>34</v>
      </c>
      <c r="Q424" t="s">
        <v>22</v>
      </c>
    </row>
    <row r="425" spans="1:17" x14ac:dyDescent="0.2">
      <c r="A425" t="s">
        <v>23</v>
      </c>
      <c r="B425">
        <v>33</v>
      </c>
      <c r="C425">
        <v>1.85</v>
      </c>
      <c r="D425">
        <v>93</v>
      </c>
      <c r="E425" t="s">
        <v>18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1</v>
      </c>
      <c r="O425" t="s">
        <v>20</v>
      </c>
      <c r="P425" t="s">
        <v>25</v>
      </c>
      <c r="Q425" t="s">
        <v>27</v>
      </c>
    </row>
    <row r="426" spans="1:17" x14ac:dyDescent="0.2">
      <c r="A426" t="s">
        <v>23</v>
      </c>
      <c r="B426">
        <v>33</v>
      </c>
      <c r="C426">
        <v>1.74</v>
      </c>
      <c r="D426">
        <v>76</v>
      </c>
      <c r="E426" t="s">
        <v>19</v>
      </c>
      <c r="F426" t="s">
        <v>19</v>
      </c>
      <c r="G426">
        <v>2</v>
      </c>
      <c r="H426">
        <v>3</v>
      </c>
      <c r="I426" t="s">
        <v>20</v>
      </c>
      <c r="J426" t="s">
        <v>19</v>
      </c>
      <c r="K426">
        <v>1</v>
      </c>
      <c r="L426" t="s">
        <v>19</v>
      </c>
      <c r="M426">
        <v>0</v>
      </c>
      <c r="N426">
        <v>2</v>
      </c>
      <c r="O426" t="s">
        <v>20</v>
      </c>
      <c r="P426" t="s">
        <v>25</v>
      </c>
      <c r="Q426" t="s">
        <v>26</v>
      </c>
    </row>
    <row r="427" spans="1:17" x14ac:dyDescent="0.2">
      <c r="A427" t="s">
        <v>17</v>
      </c>
      <c r="B427">
        <v>19</v>
      </c>
      <c r="C427">
        <v>1.61</v>
      </c>
      <c r="D427">
        <v>53.8</v>
      </c>
      <c r="E427" t="s">
        <v>18</v>
      </c>
      <c r="F427" t="s">
        <v>18</v>
      </c>
      <c r="G427">
        <v>2</v>
      </c>
      <c r="H427">
        <v>3</v>
      </c>
      <c r="I427" t="s">
        <v>31</v>
      </c>
      <c r="J427" t="s">
        <v>19</v>
      </c>
      <c r="K427">
        <v>2</v>
      </c>
      <c r="L427" t="s">
        <v>19</v>
      </c>
      <c r="M427">
        <v>2</v>
      </c>
      <c r="N427">
        <v>1</v>
      </c>
      <c r="O427" t="s">
        <v>20</v>
      </c>
      <c r="P427" t="s">
        <v>21</v>
      </c>
      <c r="Q427" t="s">
        <v>22</v>
      </c>
    </row>
    <row r="428" spans="1:17" x14ac:dyDescent="0.2">
      <c r="A428" t="s">
        <v>23</v>
      </c>
      <c r="B428">
        <v>22</v>
      </c>
      <c r="C428">
        <v>1.75</v>
      </c>
      <c r="D428">
        <v>70</v>
      </c>
      <c r="E428" t="s">
        <v>19</v>
      </c>
      <c r="F428" t="s">
        <v>19</v>
      </c>
      <c r="G428">
        <v>2</v>
      </c>
      <c r="H428">
        <v>3</v>
      </c>
      <c r="I428" t="s">
        <v>20</v>
      </c>
      <c r="J428" t="s">
        <v>19</v>
      </c>
      <c r="K428">
        <v>3</v>
      </c>
      <c r="L428" t="s">
        <v>19</v>
      </c>
      <c r="M428">
        <v>1</v>
      </c>
      <c r="N428">
        <v>1</v>
      </c>
      <c r="O428" t="s">
        <v>19</v>
      </c>
      <c r="P428" t="s">
        <v>21</v>
      </c>
      <c r="Q428" t="s">
        <v>22</v>
      </c>
    </row>
    <row r="429" spans="1:17" x14ac:dyDescent="0.2">
      <c r="A429" t="s">
        <v>17</v>
      </c>
      <c r="B429">
        <v>20</v>
      </c>
      <c r="C429">
        <v>1.67</v>
      </c>
      <c r="D429">
        <v>60</v>
      </c>
      <c r="E429" t="s">
        <v>19</v>
      </c>
      <c r="F429" t="s">
        <v>18</v>
      </c>
      <c r="G429">
        <v>3</v>
      </c>
      <c r="H429">
        <v>3</v>
      </c>
      <c r="I429" t="s">
        <v>19</v>
      </c>
      <c r="J429" t="s">
        <v>19</v>
      </c>
      <c r="K429">
        <v>2</v>
      </c>
      <c r="L429" t="s">
        <v>19</v>
      </c>
      <c r="M429">
        <v>3</v>
      </c>
      <c r="N429">
        <v>0</v>
      </c>
      <c r="O429" t="s">
        <v>20</v>
      </c>
      <c r="P429" t="s">
        <v>21</v>
      </c>
      <c r="Q429" t="s">
        <v>22</v>
      </c>
    </row>
    <row r="430" spans="1:17" x14ac:dyDescent="0.2">
      <c r="A430" t="s">
        <v>23</v>
      </c>
      <c r="B430">
        <v>23</v>
      </c>
      <c r="C430">
        <v>1.7</v>
      </c>
      <c r="D430">
        <v>69</v>
      </c>
      <c r="E430" t="s">
        <v>19</v>
      </c>
      <c r="F430" t="s">
        <v>18</v>
      </c>
      <c r="G430">
        <v>3</v>
      </c>
      <c r="H430">
        <v>1</v>
      </c>
      <c r="I430" t="s">
        <v>24</v>
      </c>
      <c r="J430" t="s">
        <v>19</v>
      </c>
      <c r="K430">
        <v>1</v>
      </c>
      <c r="L430" t="s">
        <v>19</v>
      </c>
      <c r="M430">
        <v>2</v>
      </c>
      <c r="N430">
        <v>1</v>
      </c>
      <c r="O430" t="s">
        <v>20</v>
      </c>
      <c r="P430" t="s">
        <v>21</v>
      </c>
      <c r="Q430" t="s">
        <v>22</v>
      </c>
    </row>
    <row r="431" spans="1:17" x14ac:dyDescent="0.2">
      <c r="A431" t="s">
        <v>23</v>
      </c>
      <c r="B431">
        <v>26</v>
      </c>
      <c r="C431">
        <v>1.9</v>
      </c>
      <c r="D431">
        <v>80</v>
      </c>
      <c r="E431" t="s">
        <v>18</v>
      </c>
      <c r="F431" t="s">
        <v>18</v>
      </c>
      <c r="G431">
        <v>2</v>
      </c>
      <c r="H431">
        <v>3</v>
      </c>
      <c r="I431" t="s">
        <v>24</v>
      </c>
      <c r="J431" t="s">
        <v>19</v>
      </c>
      <c r="K431">
        <v>1</v>
      </c>
      <c r="L431" t="s">
        <v>18</v>
      </c>
      <c r="M431">
        <v>1</v>
      </c>
      <c r="N431">
        <v>0</v>
      </c>
      <c r="O431" t="s">
        <v>20</v>
      </c>
      <c r="P431" t="s">
        <v>28</v>
      </c>
      <c r="Q431" t="s">
        <v>22</v>
      </c>
    </row>
    <row r="432" spans="1:17" x14ac:dyDescent="0.2">
      <c r="A432" t="s">
        <v>23</v>
      </c>
      <c r="B432">
        <v>18</v>
      </c>
      <c r="C432">
        <v>1.65</v>
      </c>
      <c r="D432">
        <v>85</v>
      </c>
      <c r="E432" t="s">
        <v>19</v>
      </c>
      <c r="F432" t="s">
        <v>18</v>
      </c>
      <c r="G432">
        <v>2</v>
      </c>
      <c r="H432">
        <v>3</v>
      </c>
      <c r="I432" t="s">
        <v>20</v>
      </c>
      <c r="J432" t="s">
        <v>19</v>
      </c>
      <c r="K432">
        <v>1</v>
      </c>
      <c r="L432" t="s">
        <v>19</v>
      </c>
      <c r="M432">
        <v>1</v>
      </c>
      <c r="N432">
        <v>0</v>
      </c>
      <c r="O432" t="s">
        <v>20</v>
      </c>
      <c r="P432" t="s">
        <v>21</v>
      </c>
      <c r="Q432" t="s">
        <v>30</v>
      </c>
    </row>
    <row r="433" spans="1:17" x14ac:dyDescent="0.2">
      <c r="A433" t="s">
        <v>17</v>
      </c>
      <c r="B433">
        <v>18</v>
      </c>
      <c r="C433">
        <v>1.6</v>
      </c>
      <c r="D433">
        <v>55</v>
      </c>
      <c r="E433" t="s">
        <v>19</v>
      </c>
      <c r="F433" t="s">
        <v>18</v>
      </c>
      <c r="G433">
        <v>2</v>
      </c>
      <c r="H433">
        <v>4</v>
      </c>
      <c r="I433" t="s">
        <v>24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21</v>
      </c>
      <c r="Q433" t="s">
        <v>22</v>
      </c>
    </row>
    <row r="434" spans="1:17" x14ac:dyDescent="0.2">
      <c r="A434" t="s">
        <v>23</v>
      </c>
      <c r="B434">
        <v>19</v>
      </c>
      <c r="C434">
        <v>1.8</v>
      </c>
      <c r="D434">
        <v>70</v>
      </c>
      <c r="E434" t="s">
        <v>19</v>
      </c>
      <c r="F434" t="s">
        <v>18</v>
      </c>
      <c r="G434">
        <v>3</v>
      </c>
      <c r="H434">
        <v>3</v>
      </c>
      <c r="I434" t="s">
        <v>24</v>
      </c>
      <c r="J434" t="s">
        <v>19</v>
      </c>
      <c r="K434">
        <v>1</v>
      </c>
      <c r="L434" t="s">
        <v>19</v>
      </c>
      <c r="M434">
        <v>2</v>
      </c>
      <c r="N434">
        <v>0</v>
      </c>
      <c r="O434" t="s">
        <v>19</v>
      </c>
      <c r="P434" t="s">
        <v>21</v>
      </c>
      <c r="Q434" t="s">
        <v>22</v>
      </c>
    </row>
    <row r="435" spans="1:17" x14ac:dyDescent="0.2">
      <c r="A435" t="s">
        <v>17</v>
      </c>
      <c r="B435">
        <v>18</v>
      </c>
      <c r="C435">
        <v>1.64</v>
      </c>
      <c r="D435">
        <v>59</v>
      </c>
      <c r="E435" t="s">
        <v>18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1</v>
      </c>
      <c r="N435">
        <v>1</v>
      </c>
      <c r="O435" t="s">
        <v>20</v>
      </c>
      <c r="P435" t="s">
        <v>21</v>
      </c>
      <c r="Q435" t="s">
        <v>22</v>
      </c>
    </row>
    <row r="436" spans="1:17" x14ac:dyDescent="0.2">
      <c r="A436" t="s">
        <v>23</v>
      </c>
      <c r="B436">
        <v>19</v>
      </c>
      <c r="C436">
        <v>1.89</v>
      </c>
      <c r="D436">
        <v>87</v>
      </c>
      <c r="E436" t="s">
        <v>19</v>
      </c>
      <c r="F436" t="s">
        <v>18</v>
      </c>
      <c r="G436">
        <v>2</v>
      </c>
      <c r="H436">
        <v>4</v>
      </c>
      <c r="I436" t="s">
        <v>24</v>
      </c>
      <c r="J436" t="s">
        <v>19</v>
      </c>
      <c r="K436">
        <v>2</v>
      </c>
      <c r="L436" t="s">
        <v>19</v>
      </c>
      <c r="M436">
        <v>3</v>
      </c>
      <c r="N436">
        <v>1</v>
      </c>
      <c r="O436" t="s">
        <v>24</v>
      </c>
      <c r="P436" t="s">
        <v>28</v>
      </c>
      <c r="Q436" t="s">
        <v>22</v>
      </c>
    </row>
    <row r="437" spans="1:17" x14ac:dyDescent="0.2">
      <c r="A437" t="s">
        <v>17</v>
      </c>
      <c r="B437">
        <v>19</v>
      </c>
      <c r="C437">
        <v>1.76</v>
      </c>
      <c r="D437">
        <v>80</v>
      </c>
      <c r="E437" t="s">
        <v>18</v>
      </c>
      <c r="F437" t="s">
        <v>18</v>
      </c>
      <c r="G437">
        <v>2</v>
      </c>
      <c r="H437">
        <v>1</v>
      </c>
      <c r="I437" t="s">
        <v>20</v>
      </c>
      <c r="J437" t="s">
        <v>19</v>
      </c>
      <c r="K437">
        <v>3</v>
      </c>
      <c r="L437" t="s">
        <v>19</v>
      </c>
      <c r="M437">
        <v>3</v>
      </c>
      <c r="N437">
        <v>1</v>
      </c>
      <c r="O437" t="s">
        <v>19</v>
      </c>
      <c r="P437" t="s">
        <v>21</v>
      </c>
      <c r="Q437" t="s">
        <v>26</v>
      </c>
    </row>
    <row r="438" spans="1:17" x14ac:dyDescent="0.2">
      <c r="A438" t="s">
        <v>17</v>
      </c>
      <c r="B438">
        <v>18</v>
      </c>
      <c r="C438">
        <v>1.56</v>
      </c>
      <c r="D438">
        <v>55</v>
      </c>
      <c r="E438" t="s">
        <v>19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1</v>
      </c>
      <c r="L438" t="s">
        <v>19</v>
      </c>
      <c r="M438">
        <v>0</v>
      </c>
      <c r="N438">
        <v>0</v>
      </c>
      <c r="O438" t="s">
        <v>24</v>
      </c>
      <c r="P438" t="s">
        <v>28</v>
      </c>
      <c r="Q438" t="s">
        <v>22</v>
      </c>
    </row>
    <row r="439" spans="1:17" x14ac:dyDescent="0.2">
      <c r="A439" t="s">
        <v>17</v>
      </c>
      <c r="B439">
        <v>18</v>
      </c>
      <c r="C439">
        <v>1.6</v>
      </c>
      <c r="D439">
        <v>56</v>
      </c>
      <c r="E439" t="s">
        <v>18</v>
      </c>
      <c r="F439" t="s">
        <v>18</v>
      </c>
      <c r="G439">
        <v>2</v>
      </c>
      <c r="H439">
        <v>1</v>
      </c>
      <c r="I439" t="s">
        <v>31</v>
      </c>
      <c r="J439" t="s">
        <v>19</v>
      </c>
      <c r="K439">
        <v>2</v>
      </c>
      <c r="L439" t="s">
        <v>19</v>
      </c>
      <c r="M439">
        <v>1</v>
      </c>
      <c r="N439">
        <v>0</v>
      </c>
      <c r="O439" t="s">
        <v>20</v>
      </c>
      <c r="P439" t="s">
        <v>25</v>
      </c>
      <c r="Q439" t="s">
        <v>22</v>
      </c>
    </row>
    <row r="440" spans="1:17" x14ac:dyDescent="0.2">
      <c r="A440" t="s">
        <v>17</v>
      </c>
      <c r="B440">
        <v>19</v>
      </c>
      <c r="C440">
        <v>1.67</v>
      </c>
      <c r="D440">
        <v>64</v>
      </c>
      <c r="E440" t="s">
        <v>19</v>
      </c>
      <c r="F440" t="s">
        <v>18</v>
      </c>
      <c r="G440">
        <v>3</v>
      </c>
      <c r="H440">
        <v>3</v>
      </c>
      <c r="I440" t="s">
        <v>20</v>
      </c>
      <c r="J440" t="s">
        <v>19</v>
      </c>
      <c r="K440">
        <v>2</v>
      </c>
      <c r="L440" t="s">
        <v>19</v>
      </c>
      <c r="M440">
        <v>2</v>
      </c>
      <c r="N440">
        <v>1</v>
      </c>
      <c r="O440" t="s">
        <v>20</v>
      </c>
      <c r="P440" t="s">
        <v>28</v>
      </c>
      <c r="Q440" t="s">
        <v>22</v>
      </c>
    </row>
    <row r="441" spans="1:17" x14ac:dyDescent="0.2">
      <c r="A441" t="s">
        <v>17</v>
      </c>
      <c r="B441">
        <v>19</v>
      </c>
      <c r="C441">
        <v>1.6</v>
      </c>
      <c r="D441">
        <v>60</v>
      </c>
      <c r="E441" t="s">
        <v>19</v>
      </c>
      <c r="F441" t="s">
        <v>18</v>
      </c>
      <c r="G441">
        <v>2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0</v>
      </c>
      <c r="N441">
        <v>1</v>
      </c>
      <c r="O441" t="s">
        <v>20</v>
      </c>
      <c r="P441" t="s">
        <v>21</v>
      </c>
      <c r="Q441" t="s">
        <v>22</v>
      </c>
    </row>
    <row r="442" spans="1:17" x14ac:dyDescent="0.2">
      <c r="A442" t="s">
        <v>17</v>
      </c>
      <c r="B442">
        <v>18</v>
      </c>
      <c r="C442">
        <v>1.55</v>
      </c>
      <c r="D442">
        <v>56</v>
      </c>
      <c r="E442" t="s">
        <v>19</v>
      </c>
      <c r="F442" t="s">
        <v>18</v>
      </c>
      <c r="G442">
        <v>2</v>
      </c>
      <c r="H442">
        <v>3</v>
      </c>
      <c r="I442" t="s">
        <v>20</v>
      </c>
      <c r="J442" t="s">
        <v>19</v>
      </c>
      <c r="K442">
        <v>1</v>
      </c>
      <c r="L442" t="s">
        <v>19</v>
      </c>
      <c r="M442">
        <v>0</v>
      </c>
      <c r="N442">
        <v>0</v>
      </c>
      <c r="O442" t="s">
        <v>19</v>
      </c>
      <c r="P442" t="s">
        <v>28</v>
      </c>
      <c r="Q442" t="s">
        <v>22</v>
      </c>
    </row>
    <row r="443" spans="1:17" x14ac:dyDescent="0.2">
      <c r="A443" t="s">
        <v>17</v>
      </c>
      <c r="B443">
        <v>18</v>
      </c>
      <c r="C443">
        <v>1.55</v>
      </c>
      <c r="D443">
        <v>50</v>
      </c>
      <c r="E443" t="s">
        <v>18</v>
      </c>
      <c r="F443" t="s">
        <v>18</v>
      </c>
      <c r="G443">
        <v>3</v>
      </c>
      <c r="H443">
        <v>3</v>
      </c>
      <c r="I443" t="s">
        <v>24</v>
      </c>
      <c r="J443" t="s">
        <v>19</v>
      </c>
      <c r="K443">
        <v>1</v>
      </c>
      <c r="L443" t="s">
        <v>19</v>
      </c>
      <c r="M443">
        <v>1</v>
      </c>
      <c r="N443">
        <v>2</v>
      </c>
      <c r="O443" t="s">
        <v>19</v>
      </c>
      <c r="P443" t="s">
        <v>21</v>
      </c>
      <c r="Q443" t="s">
        <v>22</v>
      </c>
    </row>
    <row r="444" spans="1:17" x14ac:dyDescent="0.2">
      <c r="A444" t="s">
        <v>23</v>
      </c>
      <c r="B444">
        <v>26</v>
      </c>
      <c r="C444">
        <v>1.72</v>
      </c>
      <c r="D444">
        <v>65</v>
      </c>
      <c r="E444" t="s">
        <v>18</v>
      </c>
      <c r="F444" t="s">
        <v>18</v>
      </c>
      <c r="G444">
        <v>2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0</v>
      </c>
      <c r="N444">
        <v>1</v>
      </c>
      <c r="O444" t="s">
        <v>20</v>
      </c>
      <c r="P444" t="s">
        <v>25</v>
      </c>
      <c r="Q444" t="s">
        <v>22</v>
      </c>
    </row>
    <row r="445" spans="1:17" x14ac:dyDescent="0.2">
      <c r="A445" t="s">
        <v>23</v>
      </c>
      <c r="B445">
        <v>18</v>
      </c>
      <c r="C445">
        <v>1.72</v>
      </c>
      <c r="D445">
        <v>53</v>
      </c>
      <c r="E445" t="s">
        <v>18</v>
      </c>
      <c r="F445" t="s">
        <v>18</v>
      </c>
      <c r="G445">
        <v>2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0</v>
      </c>
      <c r="N445">
        <v>2</v>
      </c>
      <c r="O445" t="s">
        <v>20</v>
      </c>
      <c r="P445" t="s">
        <v>21</v>
      </c>
      <c r="Q445" t="s">
        <v>32</v>
      </c>
    </row>
    <row r="446" spans="1:17" x14ac:dyDescent="0.2">
      <c r="A446" t="s">
        <v>23</v>
      </c>
      <c r="B446">
        <v>19</v>
      </c>
      <c r="C446">
        <v>1.7</v>
      </c>
      <c r="D446">
        <v>60</v>
      </c>
      <c r="E446" t="s">
        <v>18</v>
      </c>
      <c r="F446" t="s">
        <v>18</v>
      </c>
      <c r="G446">
        <v>2</v>
      </c>
      <c r="H446">
        <v>1</v>
      </c>
      <c r="I446" t="s">
        <v>20</v>
      </c>
      <c r="J446" t="s">
        <v>19</v>
      </c>
      <c r="K446">
        <v>2</v>
      </c>
      <c r="L446" t="s">
        <v>19</v>
      </c>
      <c r="M446">
        <v>2</v>
      </c>
      <c r="N446">
        <v>0</v>
      </c>
      <c r="O446" t="s">
        <v>20</v>
      </c>
      <c r="P446" t="s">
        <v>21</v>
      </c>
      <c r="Q446" t="s">
        <v>22</v>
      </c>
    </row>
    <row r="447" spans="1:17" x14ac:dyDescent="0.2">
      <c r="A447" t="s">
        <v>17</v>
      </c>
      <c r="B447">
        <v>19</v>
      </c>
      <c r="C447">
        <v>1.51</v>
      </c>
      <c r="D447">
        <v>45</v>
      </c>
      <c r="E447" t="s">
        <v>19</v>
      </c>
      <c r="F447" t="s">
        <v>18</v>
      </c>
      <c r="G447">
        <v>2</v>
      </c>
      <c r="H447">
        <v>4</v>
      </c>
      <c r="I447" t="s">
        <v>20</v>
      </c>
      <c r="J447" t="s">
        <v>19</v>
      </c>
      <c r="K447">
        <v>1</v>
      </c>
      <c r="L447" t="s">
        <v>19</v>
      </c>
      <c r="M447">
        <v>3</v>
      </c>
      <c r="N447">
        <v>0</v>
      </c>
      <c r="O447" t="s">
        <v>20</v>
      </c>
      <c r="P447" t="s">
        <v>21</v>
      </c>
      <c r="Q447" t="s">
        <v>22</v>
      </c>
    </row>
    <row r="448" spans="1:17" x14ac:dyDescent="0.2">
      <c r="A448" t="s">
        <v>23</v>
      </c>
      <c r="B448">
        <v>19</v>
      </c>
      <c r="C448">
        <v>1.83</v>
      </c>
      <c r="D448">
        <v>82</v>
      </c>
      <c r="E448" t="s">
        <v>18</v>
      </c>
      <c r="F448" t="s">
        <v>18</v>
      </c>
      <c r="G448">
        <v>3</v>
      </c>
      <c r="H448">
        <v>3</v>
      </c>
      <c r="I448" t="s">
        <v>24</v>
      </c>
      <c r="J448" t="s">
        <v>19</v>
      </c>
      <c r="K448">
        <v>2</v>
      </c>
      <c r="L448" t="s">
        <v>19</v>
      </c>
      <c r="M448">
        <v>2</v>
      </c>
      <c r="N448">
        <v>0</v>
      </c>
      <c r="O448" t="s">
        <v>20</v>
      </c>
      <c r="P448" t="s">
        <v>21</v>
      </c>
      <c r="Q448" t="s">
        <v>22</v>
      </c>
    </row>
    <row r="449" spans="1:17" x14ac:dyDescent="0.2">
      <c r="A449" t="s">
        <v>23</v>
      </c>
      <c r="B449">
        <v>19</v>
      </c>
      <c r="C449">
        <v>1.8</v>
      </c>
      <c r="D449">
        <v>87</v>
      </c>
      <c r="E449" t="s">
        <v>18</v>
      </c>
      <c r="F449" t="s">
        <v>18</v>
      </c>
      <c r="G449">
        <v>2</v>
      </c>
      <c r="H449">
        <v>4</v>
      </c>
      <c r="I449" t="s">
        <v>20</v>
      </c>
      <c r="J449" t="s">
        <v>19</v>
      </c>
      <c r="K449">
        <v>2</v>
      </c>
      <c r="L449" t="s">
        <v>19</v>
      </c>
      <c r="M449">
        <v>2</v>
      </c>
      <c r="N449">
        <v>1</v>
      </c>
      <c r="O449" t="s">
        <v>20</v>
      </c>
      <c r="P449" t="s">
        <v>21</v>
      </c>
      <c r="Q449" t="s">
        <v>26</v>
      </c>
    </row>
    <row r="450" spans="1:17" x14ac:dyDescent="0.2">
      <c r="A450" t="s">
        <v>17</v>
      </c>
      <c r="B450">
        <v>24</v>
      </c>
      <c r="C450">
        <v>1.6</v>
      </c>
      <c r="D450">
        <v>100.5</v>
      </c>
      <c r="E450" t="s">
        <v>18</v>
      </c>
      <c r="F450" t="s">
        <v>18</v>
      </c>
      <c r="G450">
        <v>3</v>
      </c>
      <c r="H450">
        <v>1</v>
      </c>
      <c r="I450" t="s">
        <v>20</v>
      </c>
      <c r="J450" t="s">
        <v>19</v>
      </c>
      <c r="K450">
        <v>1</v>
      </c>
      <c r="L450" t="s">
        <v>19</v>
      </c>
      <c r="M450">
        <v>0</v>
      </c>
      <c r="N450">
        <v>2</v>
      </c>
      <c r="O450" t="s">
        <v>20</v>
      </c>
      <c r="P450" t="s">
        <v>21</v>
      </c>
      <c r="Q450" t="s">
        <v>33</v>
      </c>
    </row>
    <row r="451" spans="1:17" x14ac:dyDescent="0.2">
      <c r="A451" t="s">
        <v>17</v>
      </c>
      <c r="B451">
        <v>18</v>
      </c>
      <c r="C451">
        <v>1.63</v>
      </c>
      <c r="D451">
        <v>63</v>
      </c>
      <c r="E451" t="s">
        <v>18</v>
      </c>
      <c r="F451" t="s">
        <v>18</v>
      </c>
      <c r="G451">
        <v>1</v>
      </c>
      <c r="H451">
        <v>3</v>
      </c>
      <c r="I451" t="s">
        <v>20</v>
      </c>
      <c r="J451" t="s">
        <v>19</v>
      </c>
      <c r="K451">
        <v>2</v>
      </c>
      <c r="L451" t="s">
        <v>19</v>
      </c>
      <c r="M451">
        <v>2</v>
      </c>
      <c r="N451">
        <v>2</v>
      </c>
      <c r="O451" t="s">
        <v>20</v>
      </c>
      <c r="P451" t="s">
        <v>21</v>
      </c>
      <c r="Q451" t="s">
        <v>22</v>
      </c>
    </row>
    <row r="452" spans="1:17" x14ac:dyDescent="0.2">
      <c r="A452" t="s">
        <v>23</v>
      </c>
      <c r="B452">
        <v>19</v>
      </c>
      <c r="C452">
        <v>1.71</v>
      </c>
      <c r="D452">
        <v>71</v>
      </c>
      <c r="E452" t="s">
        <v>19</v>
      </c>
      <c r="F452" t="s">
        <v>18</v>
      </c>
      <c r="G452">
        <v>3</v>
      </c>
      <c r="H452">
        <v>3</v>
      </c>
      <c r="I452" t="s">
        <v>20</v>
      </c>
      <c r="J452" t="s">
        <v>19</v>
      </c>
      <c r="K452">
        <v>2</v>
      </c>
      <c r="L452" t="s">
        <v>19</v>
      </c>
      <c r="M452">
        <v>1</v>
      </c>
      <c r="N452">
        <v>1</v>
      </c>
      <c r="O452" t="s">
        <v>20</v>
      </c>
      <c r="P452" t="s">
        <v>21</v>
      </c>
      <c r="Q452" t="s">
        <v>22</v>
      </c>
    </row>
    <row r="453" spans="1:17" x14ac:dyDescent="0.2">
      <c r="A453" t="s">
        <v>23</v>
      </c>
      <c r="B453">
        <v>19</v>
      </c>
      <c r="C453">
        <v>1.7</v>
      </c>
      <c r="D453">
        <v>65</v>
      </c>
      <c r="E453" t="s">
        <v>18</v>
      </c>
      <c r="F453" t="s">
        <v>19</v>
      </c>
      <c r="G453">
        <v>2</v>
      </c>
      <c r="H453">
        <v>3</v>
      </c>
      <c r="I453" t="s">
        <v>24</v>
      </c>
      <c r="J453" t="s">
        <v>19</v>
      </c>
      <c r="K453">
        <v>2</v>
      </c>
      <c r="L453" t="s">
        <v>19</v>
      </c>
      <c r="M453">
        <v>1</v>
      </c>
      <c r="N453">
        <v>0</v>
      </c>
      <c r="O453" t="s">
        <v>19</v>
      </c>
      <c r="P453" t="s">
        <v>21</v>
      </c>
      <c r="Q453" t="s">
        <v>22</v>
      </c>
    </row>
    <row r="454" spans="1:17" x14ac:dyDescent="0.2">
      <c r="A454" t="s">
        <v>23</v>
      </c>
      <c r="B454">
        <v>23</v>
      </c>
      <c r="C454">
        <v>1.75</v>
      </c>
      <c r="D454">
        <v>69</v>
      </c>
      <c r="E454" t="s">
        <v>19</v>
      </c>
      <c r="F454" t="s">
        <v>19</v>
      </c>
      <c r="G454">
        <v>3</v>
      </c>
      <c r="H454">
        <v>3</v>
      </c>
      <c r="I454" t="s">
        <v>19</v>
      </c>
      <c r="J454" t="s">
        <v>19</v>
      </c>
      <c r="K454">
        <v>2</v>
      </c>
      <c r="L454" t="s">
        <v>19</v>
      </c>
      <c r="M454">
        <v>2</v>
      </c>
      <c r="N454">
        <v>1</v>
      </c>
      <c r="O454" t="s">
        <v>20</v>
      </c>
      <c r="P454" t="s">
        <v>28</v>
      </c>
      <c r="Q454" t="s">
        <v>22</v>
      </c>
    </row>
    <row r="455" spans="1:17" x14ac:dyDescent="0.2">
      <c r="A455" t="s">
        <v>17</v>
      </c>
      <c r="B455">
        <v>18</v>
      </c>
      <c r="C455">
        <v>1.62</v>
      </c>
      <c r="D455">
        <v>50</v>
      </c>
      <c r="E455" t="s">
        <v>19</v>
      </c>
      <c r="F455" t="s">
        <v>18</v>
      </c>
      <c r="G455">
        <v>3</v>
      </c>
      <c r="H455">
        <v>3</v>
      </c>
      <c r="I455" t="s">
        <v>20</v>
      </c>
      <c r="J455" t="s">
        <v>19</v>
      </c>
      <c r="K455">
        <v>1</v>
      </c>
      <c r="L455" t="s">
        <v>19</v>
      </c>
      <c r="M455">
        <v>0</v>
      </c>
      <c r="N455">
        <v>0</v>
      </c>
      <c r="O455" t="s">
        <v>20</v>
      </c>
      <c r="P455" t="s">
        <v>28</v>
      </c>
      <c r="Q455" t="s">
        <v>22</v>
      </c>
    </row>
    <row r="456" spans="1:17" x14ac:dyDescent="0.2">
      <c r="A456" t="s">
        <v>17</v>
      </c>
      <c r="B456">
        <v>20</v>
      </c>
      <c r="C456">
        <v>1.68</v>
      </c>
      <c r="D456">
        <v>68</v>
      </c>
      <c r="E456" t="s">
        <v>19</v>
      </c>
      <c r="F456" t="s">
        <v>18</v>
      </c>
      <c r="G456">
        <v>3</v>
      </c>
      <c r="H456">
        <v>1</v>
      </c>
      <c r="I456" t="s">
        <v>20</v>
      </c>
      <c r="J456" t="s">
        <v>19</v>
      </c>
      <c r="K456">
        <v>1</v>
      </c>
      <c r="L456" t="s">
        <v>19</v>
      </c>
      <c r="M456">
        <v>1</v>
      </c>
      <c r="N456">
        <v>0</v>
      </c>
      <c r="O456" t="s">
        <v>19</v>
      </c>
      <c r="P456" t="s">
        <v>21</v>
      </c>
      <c r="Q456" t="s">
        <v>22</v>
      </c>
    </row>
    <row r="457" spans="1:17" x14ac:dyDescent="0.2">
      <c r="A457" t="s">
        <v>23</v>
      </c>
      <c r="B457">
        <v>18</v>
      </c>
      <c r="C457">
        <v>1.85</v>
      </c>
      <c r="D457">
        <v>66</v>
      </c>
      <c r="E457" t="s">
        <v>19</v>
      </c>
      <c r="F457" t="s">
        <v>18</v>
      </c>
      <c r="G457">
        <v>2</v>
      </c>
      <c r="H457">
        <v>3</v>
      </c>
      <c r="I457" t="s">
        <v>24</v>
      </c>
      <c r="J457" t="s">
        <v>19</v>
      </c>
      <c r="K457">
        <v>1</v>
      </c>
      <c r="L457" t="s">
        <v>19</v>
      </c>
      <c r="M457">
        <v>1</v>
      </c>
      <c r="N457">
        <v>1</v>
      </c>
      <c r="O457" t="s">
        <v>20</v>
      </c>
      <c r="P457" t="s">
        <v>21</v>
      </c>
      <c r="Q457" t="s">
        <v>22</v>
      </c>
    </row>
    <row r="458" spans="1:17" x14ac:dyDescent="0.2">
      <c r="A458" t="s">
        <v>17</v>
      </c>
      <c r="B458">
        <v>33</v>
      </c>
      <c r="C458">
        <v>1.59</v>
      </c>
      <c r="D458">
        <v>60</v>
      </c>
      <c r="E458" t="s">
        <v>19</v>
      </c>
      <c r="F458" t="s">
        <v>18</v>
      </c>
      <c r="G458">
        <v>3</v>
      </c>
      <c r="H458">
        <v>1</v>
      </c>
      <c r="I458" t="s">
        <v>24</v>
      </c>
      <c r="J458" t="s">
        <v>19</v>
      </c>
      <c r="K458">
        <v>2</v>
      </c>
      <c r="L458" t="s">
        <v>19</v>
      </c>
      <c r="M458">
        <v>0</v>
      </c>
      <c r="N458">
        <v>0</v>
      </c>
      <c r="O458" t="s">
        <v>19</v>
      </c>
      <c r="P458" t="s">
        <v>21</v>
      </c>
      <c r="Q458" t="s">
        <v>22</v>
      </c>
    </row>
    <row r="459" spans="1:17" x14ac:dyDescent="0.2">
      <c r="A459" t="s">
        <v>17</v>
      </c>
      <c r="B459">
        <v>19</v>
      </c>
      <c r="C459">
        <v>1.5</v>
      </c>
      <c r="D459">
        <v>45</v>
      </c>
      <c r="E459" t="s">
        <v>19</v>
      </c>
      <c r="F459" t="s">
        <v>18</v>
      </c>
      <c r="G459">
        <v>2</v>
      </c>
      <c r="H459">
        <v>3</v>
      </c>
      <c r="I459" t="s">
        <v>20</v>
      </c>
      <c r="J459" t="s">
        <v>19</v>
      </c>
      <c r="K459">
        <v>1</v>
      </c>
      <c r="L459" t="s">
        <v>19</v>
      </c>
      <c r="M459">
        <v>0</v>
      </c>
      <c r="N459">
        <v>0</v>
      </c>
      <c r="O459" t="s">
        <v>20</v>
      </c>
      <c r="P459" t="s">
        <v>21</v>
      </c>
      <c r="Q459" t="s">
        <v>22</v>
      </c>
    </row>
    <row r="460" spans="1:17" x14ac:dyDescent="0.2">
      <c r="A460" t="s">
        <v>23</v>
      </c>
      <c r="B460">
        <v>19</v>
      </c>
      <c r="C460">
        <v>1.69</v>
      </c>
      <c r="D460">
        <v>60</v>
      </c>
      <c r="E460" t="s">
        <v>19</v>
      </c>
      <c r="F460" t="s">
        <v>18</v>
      </c>
      <c r="G460">
        <v>2</v>
      </c>
      <c r="H460">
        <v>3</v>
      </c>
      <c r="I460" t="s">
        <v>31</v>
      </c>
      <c r="J460" t="s">
        <v>19</v>
      </c>
      <c r="K460">
        <v>1</v>
      </c>
      <c r="L460" t="s">
        <v>19</v>
      </c>
      <c r="M460">
        <v>1</v>
      </c>
      <c r="N460">
        <v>1</v>
      </c>
      <c r="O460" t="s">
        <v>20</v>
      </c>
      <c r="P460" t="s">
        <v>21</v>
      </c>
      <c r="Q460" t="s">
        <v>22</v>
      </c>
    </row>
    <row r="461" spans="1:17" x14ac:dyDescent="0.2">
      <c r="A461" t="s">
        <v>23</v>
      </c>
      <c r="B461">
        <v>19</v>
      </c>
      <c r="C461">
        <v>1.76</v>
      </c>
      <c r="D461">
        <v>79</v>
      </c>
      <c r="E461" t="s">
        <v>18</v>
      </c>
      <c r="F461" t="s">
        <v>18</v>
      </c>
      <c r="G461">
        <v>2</v>
      </c>
      <c r="H461">
        <v>3</v>
      </c>
      <c r="I461" t="s">
        <v>24</v>
      </c>
      <c r="J461" t="s">
        <v>19</v>
      </c>
      <c r="K461">
        <v>3</v>
      </c>
      <c r="L461" t="s">
        <v>19</v>
      </c>
      <c r="M461">
        <v>1</v>
      </c>
      <c r="N461">
        <v>2</v>
      </c>
      <c r="O461" t="s">
        <v>24</v>
      </c>
      <c r="P461" t="s">
        <v>21</v>
      </c>
      <c r="Q461" t="s">
        <v>26</v>
      </c>
    </row>
    <row r="462" spans="1:17" x14ac:dyDescent="0.2">
      <c r="A462" t="s">
        <v>17</v>
      </c>
      <c r="B462">
        <v>18</v>
      </c>
      <c r="C462">
        <v>1.62</v>
      </c>
      <c r="D462">
        <v>55</v>
      </c>
      <c r="E462" t="s">
        <v>18</v>
      </c>
      <c r="F462" t="s">
        <v>18</v>
      </c>
      <c r="G462">
        <v>2</v>
      </c>
      <c r="H462">
        <v>3</v>
      </c>
      <c r="I462" t="s">
        <v>24</v>
      </c>
      <c r="J462" t="s">
        <v>19</v>
      </c>
      <c r="K462">
        <v>1</v>
      </c>
      <c r="L462" t="s">
        <v>19</v>
      </c>
      <c r="M462">
        <v>1</v>
      </c>
      <c r="N462">
        <v>1</v>
      </c>
      <c r="O462" t="s">
        <v>19</v>
      </c>
      <c r="P462" t="s">
        <v>21</v>
      </c>
      <c r="Q462" t="s">
        <v>22</v>
      </c>
    </row>
    <row r="463" spans="1:17" x14ac:dyDescent="0.2">
      <c r="A463" t="s">
        <v>23</v>
      </c>
      <c r="B463">
        <v>21</v>
      </c>
      <c r="C463">
        <v>1.71</v>
      </c>
      <c r="D463">
        <v>100</v>
      </c>
      <c r="E463" t="s">
        <v>18</v>
      </c>
      <c r="F463" t="s">
        <v>18</v>
      </c>
      <c r="G463">
        <v>2</v>
      </c>
      <c r="H463">
        <v>1</v>
      </c>
      <c r="I463" t="s">
        <v>20</v>
      </c>
      <c r="J463" t="s">
        <v>19</v>
      </c>
      <c r="K463">
        <v>2</v>
      </c>
      <c r="L463" t="s">
        <v>19</v>
      </c>
      <c r="M463">
        <v>0</v>
      </c>
      <c r="N463">
        <v>2</v>
      </c>
      <c r="O463" t="s">
        <v>19</v>
      </c>
      <c r="P463" t="s">
        <v>21</v>
      </c>
      <c r="Q463" t="s">
        <v>30</v>
      </c>
    </row>
    <row r="464" spans="1:17" x14ac:dyDescent="0.2">
      <c r="A464" t="s">
        <v>23</v>
      </c>
      <c r="B464">
        <v>27</v>
      </c>
      <c r="C464">
        <v>1.72</v>
      </c>
      <c r="D464">
        <v>88</v>
      </c>
      <c r="E464" t="s">
        <v>18</v>
      </c>
      <c r="F464" t="s">
        <v>18</v>
      </c>
      <c r="G464">
        <v>2</v>
      </c>
      <c r="H464">
        <v>1</v>
      </c>
      <c r="I464" t="s">
        <v>31</v>
      </c>
      <c r="J464" t="s">
        <v>19</v>
      </c>
      <c r="K464">
        <v>2</v>
      </c>
      <c r="L464" t="s">
        <v>19</v>
      </c>
      <c r="M464">
        <v>0</v>
      </c>
      <c r="N464">
        <v>0</v>
      </c>
      <c r="O464" t="s">
        <v>20</v>
      </c>
      <c r="P464" t="s">
        <v>28</v>
      </c>
      <c r="Q464" t="s">
        <v>27</v>
      </c>
    </row>
    <row r="465" spans="1:17" x14ac:dyDescent="0.2">
      <c r="A465" t="s">
        <v>23</v>
      </c>
      <c r="B465">
        <v>17</v>
      </c>
      <c r="C465">
        <v>1.8</v>
      </c>
      <c r="D465">
        <v>68</v>
      </c>
      <c r="E465" t="s">
        <v>18</v>
      </c>
      <c r="F465" t="s">
        <v>19</v>
      </c>
      <c r="G465">
        <v>2</v>
      </c>
      <c r="H465">
        <v>3</v>
      </c>
      <c r="I465" t="s">
        <v>20</v>
      </c>
      <c r="J465" t="s">
        <v>19</v>
      </c>
      <c r="K465">
        <v>1</v>
      </c>
      <c r="L465" t="s">
        <v>19</v>
      </c>
      <c r="M465">
        <v>2</v>
      </c>
      <c r="N465">
        <v>1</v>
      </c>
      <c r="O465" t="s">
        <v>20</v>
      </c>
      <c r="P465" t="s">
        <v>21</v>
      </c>
      <c r="Q465" t="s">
        <v>22</v>
      </c>
    </row>
    <row r="466" spans="1:17" x14ac:dyDescent="0.2">
      <c r="A466" t="s">
        <v>23</v>
      </c>
      <c r="B466">
        <v>18</v>
      </c>
      <c r="C466">
        <v>1.93</v>
      </c>
      <c r="D466">
        <v>86</v>
      </c>
      <c r="E466" t="s">
        <v>19</v>
      </c>
      <c r="F466" t="s">
        <v>19</v>
      </c>
      <c r="G466">
        <v>3</v>
      </c>
      <c r="H466">
        <v>4</v>
      </c>
      <c r="I466" t="s">
        <v>31</v>
      </c>
      <c r="J466" t="s">
        <v>19</v>
      </c>
      <c r="K466">
        <v>2</v>
      </c>
      <c r="L466" t="s">
        <v>19</v>
      </c>
      <c r="M466">
        <v>2</v>
      </c>
      <c r="N466">
        <v>0</v>
      </c>
      <c r="O466" t="s">
        <v>20</v>
      </c>
      <c r="P466" t="s">
        <v>25</v>
      </c>
      <c r="Q466" t="s">
        <v>22</v>
      </c>
    </row>
    <row r="467" spans="1:17" x14ac:dyDescent="0.2">
      <c r="A467" t="s">
        <v>17</v>
      </c>
      <c r="B467">
        <v>18</v>
      </c>
      <c r="C467">
        <v>1.6</v>
      </c>
      <c r="D467">
        <v>51</v>
      </c>
      <c r="E467" t="s">
        <v>18</v>
      </c>
      <c r="F467" t="s">
        <v>18</v>
      </c>
      <c r="G467">
        <v>2</v>
      </c>
      <c r="H467">
        <v>3</v>
      </c>
      <c r="I467" t="s">
        <v>24</v>
      </c>
      <c r="J467" t="s">
        <v>19</v>
      </c>
      <c r="K467">
        <v>1</v>
      </c>
      <c r="L467" t="s">
        <v>19</v>
      </c>
      <c r="M467">
        <v>1</v>
      </c>
      <c r="N467">
        <v>1</v>
      </c>
      <c r="O467" t="s">
        <v>20</v>
      </c>
      <c r="P467" t="s">
        <v>21</v>
      </c>
      <c r="Q467" t="s">
        <v>22</v>
      </c>
    </row>
    <row r="468" spans="1:17" x14ac:dyDescent="0.2">
      <c r="A468" t="s">
        <v>23</v>
      </c>
      <c r="B468">
        <v>22</v>
      </c>
      <c r="C468">
        <v>1.74</v>
      </c>
      <c r="D468">
        <v>75</v>
      </c>
      <c r="E468" t="s">
        <v>18</v>
      </c>
      <c r="F468" t="s">
        <v>18</v>
      </c>
      <c r="G468">
        <v>3</v>
      </c>
      <c r="H468">
        <v>3</v>
      </c>
      <c r="I468" t="s">
        <v>24</v>
      </c>
      <c r="J468" t="s">
        <v>19</v>
      </c>
      <c r="K468">
        <v>1</v>
      </c>
      <c r="L468" t="s">
        <v>19</v>
      </c>
      <c r="M468">
        <v>1</v>
      </c>
      <c r="N468">
        <v>0</v>
      </c>
      <c r="O468" t="s">
        <v>19</v>
      </c>
      <c r="P468" t="s">
        <v>28</v>
      </c>
      <c r="Q468" t="s">
        <v>22</v>
      </c>
    </row>
    <row r="469" spans="1:17" x14ac:dyDescent="0.2">
      <c r="A469" t="s">
        <v>23</v>
      </c>
      <c r="B469">
        <v>22</v>
      </c>
      <c r="C469">
        <v>1.74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24</v>
      </c>
      <c r="J469" t="s">
        <v>19</v>
      </c>
      <c r="K469">
        <v>1</v>
      </c>
      <c r="L469" t="s">
        <v>19</v>
      </c>
      <c r="M469">
        <v>1</v>
      </c>
      <c r="N469">
        <v>0</v>
      </c>
      <c r="O469" t="s">
        <v>19</v>
      </c>
      <c r="P469" t="s">
        <v>28</v>
      </c>
      <c r="Q469" t="s">
        <v>22</v>
      </c>
    </row>
    <row r="470" spans="1:17" x14ac:dyDescent="0.2">
      <c r="A470" t="s">
        <v>17</v>
      </c>
      <c r="B470">
        <v>20</v>
      </c>
      <c r="C470">
        <v>1.62</v>
      </c>
      <c r="D470">
        <v>45</v>
      </c>
      <c r="E470" t="s">
        <v>19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19</v>
      </c>
      <c r="M470">
        <v>1</v>
      </c>
      <c r="N470">
        <v>0</v>
      </c>
      <c r="O470" t="s">
        <v>20</v>
      </c>
      <c r="P470" t="s">
        <v>21</v>
      </c>
      <c r="Q470" t="s">
        <v>32</v>
      </c>
    </row>
    <row r="471" spans="1:17" x14ac:dyDescent="0.2">
      <c r="A471" t="s">
        <v>17</v>
      </c>
      <c r="B471">
        <v>19</v>
      </c>
      <c r="C471">
        <v>1.54</v>
      </c>
      <c r="D471">
        <v>42</v>
      </c>
      <c r="E471" t="s">
        <v>19</v>
      </c>
      <c r="F471" t="s">
        <v>18</v>
      </c>
      <c r="G471">
        <v>3</v>
      </c>
      <c r="H471">
        <v>1</v>
      </c>
      <c r="I471" t="s">
        <v>20</v>
      </c>
      <c r="J471" t="s">
        <v>19</v>
      </c>
      <c r="K471">
        <v>2</v>
      </c>
      <c r="L471" t="s">
        <v>19</v>
      </c>
      <c r="M471">
        <v>0</v>
      </c>
      <c r="N471">
        <v>1</v>
      </c>
      <c r="O471" t="s">
        <v>19</v>
      </c>
      <c r="P471" t="s">
        <v>21</v>
      </c>
      <c r="Q471" t="s">
        <v>32</v>
      </c>
    </row>
    <row r="472" spans="1:17" x14ac:dyDescent="0.2">
      <c r="A472" t="s">
        <v>17</v>
      </c>
      <c r="B472">
        <v>20</v>
      </c>
      <c r="C472">
        <v>1.56</v>
      </c>
      <c r="D472">
        <v>51.5</v>
      </c>
      <c r="E472" t="s">
        <v>19</v>
      </c>
      <c r="F472" t="s">
        <v>18</v>
      </c>
      <c r="G472">
        <v>2</v>
      </c>
      <c r="H472">
        <v>3</v>
      </c>
      <c r="I472" t="s">
        <v>24</v>
      </c>
      <c r="J472" t="s">
        <v>19</v>
      </c>
      <c r="K472">
        <v>2</v>
      </c>
      <c r="L472" t="s">
        <v>19</v>
      </c>
      <c r="M472">
        <v>3</v>
      </c>
      <c r="N472">
        <v>0</v>
      </c>
      <c r="O472" t="s">
        <v>20</v>
      </c>
      <c r="P472" t="s">
        <v>21</v>
      </c>
      <c r="Q472" t="s">
        <v>22</v>
      </c>
    </row>
    <row r="473" spans="1:17" x14ac:dyDescent="0.2">
      <c r="A473" t="s">
        <v>17</v>
      </c>
      <c r="B473">
        <v>18</v>
      </c>
      <c r="C473">
        <v>1.6</v>
      </c>
      <c r="D473">
        <v>83</v>
      </c>
      <c r="E473" t="s">
        <v>18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2</v>
      </c>
      <c r="L473" t="s">
        <v>18</v>
      </c>
      <c r="M473">
        <v>1</v>
      </c>
      <c r="N473">
        <v>0</v>
      </c>
      <c r="O473" t="s">
        <v>19</v>
      </c>
      <c r="P473" t="s">
        <v>21</v>
      </c>
      <c r="Q473" t="s">
        <v>30</v>
      </c>
    </row>
    <row r="474" spans="1:17" x14ac:dyDescent="0.2">
      <c r="A474" t="s">
        <v>17</v>
      </c>
      <c r="B474">
        <v>18</v>
      </c>
      <c r="C474">
        <v>1.54</v>
      </c>
      <c r="D474">
        <v>71</v>
      </c>
      <c r="E474" t="s">
        <v>19</v>
      </c>
      <c r="F474" t="s">
        <v>19</v>
      </c>
      <c r="G474">
        <v>3</v>
      </c>
      <c r="H474">
        <v>4</v>
      </c>
      <c r="I474" t="s">
        <v>24</v>
      </c>
      <c r="J474" t="s">
        <v>19</v>
      </c>
      <c r="K474">
        <v>2</v>
      </c>
      <c r="L474" t="s">
        <v>19</v>
      </c>
      <c r="M474">
        <v>1</v>
      </c>
      <c r="N474">
        <v>1</v>
      </c>
      <c r="O474" t="s">
        <v>19</v>
      </c>
      <c r="P474" t="s">
        <v>21</v>
      </c>
      <c r="Q474" t="s">
        <v>27</v>
      </c>
    </row>
    <row r="475" spans="1:17" x14ac:dyDescent="0.2">
      <c r="A475" t="s">
        <v>17</v>
      </c>
      <c r="B475">
        <v>18</v>
      </c>
      <c r="C475">
        <v>1.63</v>
      </c>
      <c r="D475">
        <v>51</v>
      </c>
      <c r="E475" t="s">
        <v>18</v>
      </c>
      <c r="F475" t="s">
        <v>18</v>
      </c>
      <c r="G475">
        <v>1</v>
      </c>
      <c r="H475">
        <v>3</v>
      </c>
      <c r="I475" t="s">
        <v>24</v>
      </c>
      <c r="J475" t="s">
        <v>19</v>
      </c>
      <c r="K475">
        <v>1</v>
      </c>
      <c r="L475" t="s">
        <v>19</v>
      </c>
      <c r="M475">
        <v>1</v>
      </c>
      <c r="N475">
        <v>0</v>
      </c>
      <c r="O475" t="s">
        <v>20</v>
      </c>
      <c r="P475" t="s">
        <v>21</v>
      </c>
      <c r="Q475" t="s">
        <v>22</v>
      </c>
    </row>
    <row r="476" spans="1:17" x14ac:dyDescent="0.2">
      <c r="A476" t="s">
        <v>23</v>
      </c>
      <c r="B476">
        <v>19</v>
      </c>
      <c r="C476">
        <v>1.78</v>
      </c>
      <c r="D476">
        <v>64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1</v>
      </c>
      <c r="N476">
        <v>0</v>
      </c>
      <c r="O476" t="s">
        <v>19</v>
      </c>
      <c r="P476" t="s">
        <v>21</v>
      </c>
      <c r="Q476" t="s">
        <v>22</v>
      </c>
    </row>
    <row r="477" spans="1:17" x14ac:dyDescent="0.2">
      <c r="A477" t="s">
        <v>17</v>
      </c>
      <c r="B477">
        <v>18</v>
      </c>
      <c r="C477">
        <v>1.62</v>
      </c>
      <c r="D477">
        <v>68</v>
      </c>
      <c r="E477" t="s">
        <v>19</v>
      </c>
      <c r="F477" t="s">
        <v>19</v>
      </c>
      <c r="G477">
        <v>2</v>
      </c>
      <c r="H477">
        <v>1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21</v>
      </c>
      <c r="Q477" t="s">
        <v>26</v>
      </c>
    </row>
    <row r="478" spans="1:17" x14ac:dyDescent="0.2">
      <c r="A478" t="s">
        <v>17</v>
      </c>
      <c r="B478">
        <v>18</v>
      </c>
      <c r="C478">
        <v>1.71</v>
      </c>
      <c r="D478">
        <v>75</v>
      </c>
      <c r="E478" t="s">
        <v>18</v>
      </c>
      <c r="F478" t="s">
        <v>18</v>
      </c>
      <c r="G478">
        <v>3</v>
      </c>
      <c r="H478">
        <v>3</v>
      </c>
      <c r="I478" t="s">
        <v>20</v>
      </c>
      <c r="J478" t="s">
        <v>19</v>
      </c>
      <c r="K478">
        <v>2</v>
      </c>
      <c r="L478" t="s">
        <v>19</v>
      </c>
      <c r="M478">
        <v>1</v>
      </c>
      <c r="N478">
        <v>0</v>
      </c>
      <c r="O478" t="s">
        <v>19</v>
      </c>
      <c r="P478" t="s">
        <v>21</v>
      </c>
      <c r="Q478" t="s">
        <v>26</v>
      </c>
    </row>
    <row r="479" spans="1:17" x14ac:dyDescent="0.2">
      <c r="A479" t="s">
        <v>17</v>
      </c>
      <c r="B479">
        <v>18</v>
      </c>
      <c r="C479">
        <v>1.64</v>
      </c>
      <c r="D479">
        <v>56</v>
      </c>
      <c r="E479" t="s">
        <v>18</v>
      </c>
      <c r="F479" t="s">
        <v>18</v>
      </c>
      <c r="G479">
        <v>3</v>
      </c>
      <c r="H479">
        <v>3</v>
      </c>
      <c r="I479" t="s">
        <v>24</v>
      </c>
      <c r="J479" t="s">
        <v>19</v>
      </c>
      <c r="K479">
        <v>1</v>
      </c>
      <c r="L479" t="s">
        <v>18</v>
      </c>
      <c r="M479">
        <v>1</v>
      </c>
      <c r="N479">
        <v>1</v>
      </c>
      <c r="O479" t="s">
        <v>19</v>
      </c>
      <c r="P479" t="s">
        <v>21</v>
      </c>
      <c r="Q479" t="s">
        <v>22</v>
      </c>
    </row>
    <row r="480" spans="1:17" x14ac:dyDescent="0.2">
      <c r="A480" t="s">
        <v>23</v>
      </c>
      <c r="B480">
        <v>19</v>
      </c>
      <c r="C480">
        <v>1.69</v>
      </c>
      <c r="D480">
        <v>65</v>
      </c>
      <c r="E480" t="s">
        <v>19</v>
      </c>
      <c r="F480" t="s">
        <v>18</v>
      </c>
      <c r="G480">
        <v>2</v>
      </c>
      <c r="H480">
        <v>3</v>
      </c>
      <c r="I480" t="s">
        <v>24</v>
      </c>
      <c r="J480" t="s">
        <v>19</v>
      </c>
      <c r="K480">
        <v>1</v>
      </c>
      <c r="L480" t="s">
        <v>19</v>
      </c>
      <c r="M480">
        <v>1</v>
      </c>
      <c r="N480">
        <v>1</v>
      </c>
      <c r="O480" t="s">
        <v>20</v>
      </c>
      <c r="P480" t="s">
        <v>21</v>
      </c>
      <c r="Q480" t="s">
        <v>22</v>
      </c>
    </row>
    <row r="481" spans="1:17" x14ac:dyDescent="0.2">
      <c r="A481" t="s">
        <v>17</v>
      </c>
      <c r="B481">
        <v>17</v>
      </c>
      <c r="C481">
        <v>1.58</v>
      </c>
      <c r="D481">
        <v>50</v>
      </c>
      <c r="E481" t="s">
        <v>19</v>
      </c>
      <c r="F481" t="s">
        <v>18</v>
      </c>
      <c r="G481">
        <v>1</v>
      </c>
      <c r="H481">
        <v>4</v>
      </c>
      <c r="I481" t="s">
        <v>24</v>
      </c>
      <c r="J481" t="s">
        <v>19</v>
      </c>
      <c r="K481">
        <v>2</v>
      </c>
      <c r="L481" t="s">
        <v>19</v>
      </c>
      <c r="M481">
        <v>1</v>
      </c>
      <c r="N481">
        <v>2</v>
      </c>
      <c r="O481" t="s">
        <v>20</v>
      </c>
      <c r="P481" t="s">
        <v>21</v>
      </c>
      <c r="Q481" t="s">
        <v>22</v>
      </c>
    </row>
    <row r="482" spans="1:17" x14ac:dyDescent="0.2">
      <c r="A482" t="s">
        <v>17</v>
      </c>
      <c r="B482">
        <v>18</v>
      </c>
      <c r="C482">
        <v>1.57</v>
      </c>
      <c r="D482">
        <v>50</v>
      </c>
      <c r="E482" t="s">
        <v>19</v>
      </c>
      <c r="F482" t="s">
        <v>18</v>
      </c>
      <c r="G482">
        <v>2</v>
      </c>
      <c r="H482">
        <v>3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1</v>
      </c>
      <c r="O482" t="s">
        <v>20</v>
      </c>
      <c r="P482" t="s">
        <v>21</v>
      </c>
      <c r="Q482" t="s">
        <v>22</v>
      </c>
    </row>
    <row r="483" spans="1:17" x14ac:dyDescent="0.2">
      <c r="A483" t="s">
        <v>23</v>
      </c>
      <c r="B483">
        <v>18</v>
      </c>
      <c r="C483">
        <v>1.74</v>
      </c>
      <c r="D483">
        <v>64</v>
      </c>
      <c r="E483" t="s">
        <v>18</v>
      </c>
      <c r="F483" t="s">
        <v>18</v>
      </c>
      <c r="G483">
        <v>3</v>
      </c>
      <c r="H483">
        <v>4</v>
      </c>
      <c r="I483" t="s">
        <v>20</v>
      </c>
      <c r="J483" t="s">
        <v>19</v>
      </c>
      <c r="K483">
        <v>1</v>
      </c>
      <c r="L483" t="s">
        <v>18</v>
      </c>
      <c r="M483">
        <v>2</v>
      </c>
      <c r="N483">
        <v>0</v>
      </c>
      <c r="O483" t="s">
        <v>20</v>
      </c>
      <c r="P483" t="s">
        <v>21</v>
      </c>
      <c r="Q483" t="s">
        <v>22</v>
      </c>
    </row>
    <row r="484" spans="1:17" x14ac:dyDescent="0.2">
      <c r="A484" t="s">
        <v>17</v>
      </c>
      <c r="B484">
        <v>20</v>
      </c>
      <c r="C484">
        <v>1.58</v>
      </c>
      <c r="D484">
        <v>53.5</v>
      </c>
      <c r="E484" t="s">
        <v>18</v>
      </c>
      <c r="F484" t="s">
        <v>18</v>
      </c>
      <c r="G484">
        <v>2</v>
      </c>
      <c r="H484">
        <v>1</v>
      </c>
      <c r="I484" t="s">
        <v>24</v>
      </c>
      <c r="J484" t="s">
        <v>19</v>
      </c>
      <c r="K484">
        <v>2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</row>
    <row r="485" spans="1:17" x14ac:dyDescent="0.2">
      <c r="A485" t="s">
        <v>17</v>
      </c>
      <c r="B485">
        <v>18</v>
      </c>
      <c r="C485">
        <v>1.5</v>
      </c>
      <c r="D485">
        <v>58</v>
      </c>
      <c r="E485" t="s">
        <v>19</v>
      </c>
      <c r="F485" t="s">
        <v>18</v>
      </c>
      <c r="G485">
        <v>2</v>
      </c>
      <c r="H485">
        <v>3</v>
      </c>
      <c r="I485" t="s">
        <v>20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21</v>
      </c>
      <c r="Q485" t="s">
        <v>26</v>
      </c>
    </row>
    <row r="486" spans="1:17" x14ac:dyDescent="0.2">
      <c r="A486" t="s">
        <v>17</v>
      </c>
      <c r="B486">
        <v>36</v>
      </c>
      <c r="C486">
        <v>1.65</v>
      </c>
      <c r="D486">
        <v>80</v>
      </c>
      <c r="E486" t="s">
        <v>18</v>
      </c>
      <c r="F486" t="s">
        <v>18</v>
      </c>
      <c r="G486">
        <v>2</v>
      </c>
      <c r="H486">
        <v>3</v>
      </c>
      <c r="I486" t="s">
        <v>20</v>
      </c>
      <c r="J486" t="s">
        <v>19</v>
      </c>
      <c r="K486">
        <v>1</v>
      </c>
      <c r="L486" t="s">
        <v>19</v>
      </c>
      <c r="M486">
        <v>0</v>
      </c>
      <c r="N486">
        <v>2</v>
      </c>
      <c r="O486" t="s">
        <v>19</v>
      </c>
      <c r="P486" t="s">
        <v>28</v>
      </c>
      <c r="Q486" t="s">
        <v>27</v>
      </c>
    </row>
    <row r="487" spans="1:17" x14ac:dyDescent="0.2">
      <c r="A487" t="s">
        <v>23</v>
      </c>
      <c r="B487">
        <v>21</v>
      </c>
      <c r="C487">
        <v>1.8</v>
      </c>
      <c r="D487">
        <v>73</v>
      </c>
      <c r="E487" t="s">
        <v>18</v>
      </c>
      <c r="F487" t="s">
        <v>18</v>
      </c>
      <c r="G487">
        <v>1</v>
      </c>
      <c r="H487">
        <v>3</v>
      </c>
      <c r="I487" t="s">
        <v>31</v>
      </c>
      <c r="J487" t="s">
        <v>19</v>
      </c>
      <c r="K487">
        <v>2</v>
      </c>
      <c r="L487" t="s">
        <v>19</v>
      </c>
      <c r="M487">
        <v>3</v>
      </c>
      <c r="N487">
        <v>1</v>
      </c>
      <c r="O487" t="s">
        <v>20</v>
      </c>
      <c r="P487" t="s">
        <v>21</v>
      </c>
      <c r="Q487" t="s">
        <v>22</v>
      </c>
    </row>
    <row r="488" spans="1:17" x14ac:dyDescent="0.2">
      <c r="A488" t="s">
        <v>23</v>
      </c>
      <c r="B488">
        <v>23</v>
      </c>
      <c r="C488">
        <v>1.75</v>
      </c>
      <c r="D488">
        <v>75</v>
      </c>
      <c r="E488" t="s">
        <v>19</v>
      </c>
      <c r="F488" t="s">
        <v>18</v>
      </c>
      <c r="G488">
        <v>2</v>
      </c>
      <c r="H488">
        <v>3</v>
      </c>
      <c r="I488" t="s">
        <v>20</v>
      </c>
      <c r="J488" t="s">
        <v>19</v>
      </c>
      <c r="K488">
        <v>2</v>
      </c>
      <c r="L488" t="s">
        <v>19</v>
      </c>
      <c r="M488">
        <v>1</v>
      </c>
      <c r="N488">
        <v>0</v>
      </c>
      <c r="O488" t="s">
        <v>24</v>
      </c>
      <c r="P488" t="s">
        <v>21</v>
      </c>
      <c r="Q488" t="s">
        <v>22</v>
      </c>
    </row>
    <row r="489" spans="1:17" x14ac:dyDescent="0.2">
      <c r="A489" t="s">
        <v>23</v>
      </c>
      <c r="B489">
        <v>20</v>
      </c>
      <c r="C489">
        <v>1.84</v>
      </c>
      <c r="D489">
        <v>104</v>
      </c>
      <c r="E489" t="s">
        <v>18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3</v>
      </c>
      <c r="L489" t="s">
        <v>19</v>
      </c>
      <c r="M489">
        <v>3</v>
      </c>
      <c r="N489">
        <v>0</v>
      </c>
      <c r="O489" t="s">
        <v>19</v>
      </c>
      <c r="P489" t="s">
        <v>29</v>
      </c>
      <c r="Q489" t="s">
        <v>30</v>
      </c>
    </row>
    <row r="490" spans="1:17" x14ac:dyDescent="0.2">
      <c r="A490" t="s">
        <v>23</v>
      </c>
      <c r="B490">
        <v>21</v>
      </c>
      <c r="C490">
        <v>1.88</v>
      </c>
      <c r="D490">
        <v>84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3</v>
      </c>
      <c r="L490" t="s">
        <v>19</v>
      </c>
      <c r="M490">
        <v>2</v>
      </c>
      <c r="N490">
        <v>1</v>
      </c>
      <c r="O490" t="s">
        <v>20</v>
      </c>
      <c r="P490" t="s">
        <v>25</v>
      </c>
      <c r="Q490" t="s">
        <v>22</v>
      </c>
    </row>
    <row r="491" spans="1:17" x14ac:dyDescent="0.2">
      <c r="A491" t="s">
        <v>17</v>
      </c>
      <c r="B491">
        <v>19</v>
      </c>
      <c r="C491">
        <v>1.56</v>
      </c>
      <c r="D491">
        <v>50</v>
      </c>
      <c r="E491" t="s">
        <v>19</v>
      </c>
      <c r="F491" t="s">
        <v>18</v>
      </c>
      <c r="G491">
        <v>2</v>
      </c>
      <c r="H491">
        <v>1</v>
      </c>
      <c r="I491" t="s">
        <v>20</v>
      </c>
      <c r="J491" t="s">
        <v>19</v>
      </c>
      <c r="K491">
        <v>1</v>
      </c>
      <c r="L491" t="s">
        <v>19</v>
      </c>
      <c r="M491">
        <v>0</v>
      </c>
      <c r="N491">
        <v>2</v>
      </c>
      <c r="O491" t="s">
        <v>19</v>
      </c>
      <c r="P491" t="s">
        <v>21</v>
      </c>
      <c r="Q491" t="s">
        <v>22</v>
      </c>
    </row>
    <row r="492" spans="1:17" x14ac:dyDescent="0.2">
      <c r="A492" t="s">
        <v>23</v>
      </c>
      <c r="B492">
        <v>24</v>
      </c>
      <c r="C492">
        <v>1.75</v>
      </c>
      <c r="D492">
        <v>84</v>
      </c>
      <c r="E492" t="s">
        <v>19</v>
      </c>
      <c r="F492" t="s">
        <v>18</v>
      </c>
      <c r="G492">
        <v>3</v>
      </c>
      <c r="H492">
        <v>3</v>
      </c>
      <c r="I492" t="s">
        <v>19</v>
      </c>
      <c r="J492" t="s">
        <v>19</v>
      </c>
      <c r="K492">
        <v>2</v>
      </c>
      <c r="L492" t="s">
        <v>18</v>
      </c>
      <c r="M492">
        <v>1</v>
      </c>
      <c r="N492">
        <v>0</v>
      </c>
      <c r="O492" t="s">
        <v>20</v>
      </c>
      <c r="P492" t="s">
        <v>21</v>
      </c>
      <c r="Q492" t="s">
        <v>27</v>
      </c>
    </row>
    <row r="493" spans="1:17" x14ac:dyDescent="0.2">
      <c r="A493" t="s">
        <v>23</v>
      </c>
      <c r="B493">
        <v>25</v>
      </c>
      <c r="C493">
        <v>1.66</v>
      </c>
      <c r="D493">
        <v>68</v>
      </c>
      <c r="E493" t="s">
        <v>19</v>
      </c>
      <c r="F493" t="s">
        <v>18</v>
      </c>
      <c r="G493">
        <v>2</v>
      </c>
      <c r="H493">
        <v>3</v>
      </c>
      <c r="I493" t="s">
        <v>20</v>
      </c>
      <c r="J493" t="s">
        <v>18</v>
      </c>
      <c r="K493">
        <v>1</v>
      </c>
      <c r="L493" t="s">
        <v>19</v>
      </c>
      <c r="M493">
        <v>1</v>
      </c>
      <c r="N493">
        <v>1</v>
      </c>
      <c r="O493" t="s">
        <v>20</v>
      </c>
      <c r="P493" t="s">
        <v>21</v>
      </c>
      <c r="Q493" t="s">
        <v>22</v>
      </c>
    </row>
    <row r="494" spans="1:17" x14ac:dyDescent="0.2">
      <c r="A494" t="s">
        <v>23</v>
      </c>
      <c r="B494">
        <v>45</v>
      </c>
      <c r="C494">
        <v>1.7</v>
      </c>
      <c r="D494">
        <v>86</v>
      </c>
      <c r="E494" t="s">
        <v>19</v>
      </c>
      <c r="F494" t="s">
        <v>18</v>
      </c>
      <c r="G494">
        <v>3</v>
      </c>
      <c r="H494">
        <v>3</v>
      </c>
      <c r="I494" t="s">
        <v>24</v>
      </c>
      <c r="J494" t="s">
        <v>19</v>
      </c>
      <c r="K494">
        <v>1</v>
      </c>
      <c r="L494" t="s">
        <v>19</v>
      </c>
      <c r="M494">
        <v>0</v>
      </c>
      <c r="N494">
        <v>0</v>
      </c>
      <c r="O494" t="s">
        <v>19</v>
      </c>
      <c r="P494" t="s">
        <v>28</v>
      </c>
      <c r="Q494" t="s">
        <v>27</v>
      </c>
    </row>
    <row r="495" spans="1:17" x14ac:dyDescent="0.2">
      <c r="A495" t="s">
        <v>23</v>
      </c>
      <c r="B495">
        <v>20</v>
      </c>
      <c r="C495">
        <v>1.8</v>
      </c>
      <c r="D495">
        <v>65</v>
      </c>
      <c r="E495" t="s">
        <v>19</v>
      </c>
      <c r="F495" t="s">
        <v>18</v>
      </c>
      <c r="G495">
        <v>2</v>
      </c>
      <c r="H495">
        <v>3</v>
      </c>
      <c r="I495" t="s">
        <v>24</v>
      </c>
      <c r="J495" t="s">
        <v>19</v>
      </c>
      <c r="K495">
        <v>1</v>
      </c>
      <c r="L495" t="s">
        <v>19</v>
      </c>
      <c r="M495">
        <v>2</v>
      </c>
      <c r="N495">
        <v>0</v>
      </c>
      <c r="O495" t="s">
        <v>20</v>
      </c>
      <c r="P495" t="s">
        <v>29</v>
      </c>
      <c r="Q495" t="s">
        <v>22</v>
      </c>
    </row>
    <row r="496" spans="1:17" x14ac:dyDescent="0.2">
      <c r="A496" t="s">
        <v>17</v>
      </c>
      <c r="B496">
        <v>18</v>
      </c>
      <c r="C496">
        <v>1.67</v>
      </c>
      <c r="D496">
        <v>66</v>
      </c>
      <c r="E496" t="s">
        <v>19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</v>
      </c>
      <c r="L496" t="s">
        <v>19</v>
      </c>
      <c r="M496">
        <v>0</v>
      </c>
      <c r="N496">
        <v>0</v>
      </c>
      <c r="O496" t="s">
        <v>20</v>
      </c>
      <c r="P496" t="s">
        <v>21</v>
      </c>
      <c r="Q496" t="s">
        <v>22</v>
      </c>
    </row>
    <row r="497" spans="1:17" x14ac:dyDescent="0.2">
      <c r="A497" t="s">
        <v>23</v>
      </c>
      <c r="B497">
        <v>19</v>
      </c>
      <c r="C497">
        <v>1.8</v>
      </c>
      <c r="D497">
        <v>60</v>
      </c>
      <c r="E497" t="s">
        <v>18</v>
      </c>
      <c r="F497" t="s">
        <v>18</v>
      </c>
      <c r="G497">
        <v>3</v>
      </c>
      <c r="H497">
        <v>1</v>
      </c>
      <c r="I497" t="s">
        <v>31</v>
      </c>
      <c r="J497" t="s">
        <v>19</v>
      </c>
      <c r="K497">
        <v>1</v>
      </c>
      <c r="L497" t="s">
        <v>18</v>
      </c>
      <c r="M497">
        <v>0</v>
      </c>
      <c r="N497">
        <v>0</v>
      </c>
      <c r="O497" t="s">
        <v>19</v>
      </c>
      <c r="P497" t="s">
        <v>29</v>
      </c>
      <c r="Q497" t="s">
        <v>22</v>
      </c>
    </row>
    <row r="498" spans="1:17" x14ac:dyDescent="0.2">
      <c r="A498" t="s">
        <v>23</v>
      </c>
      <c r="B498">
        <v>18</v>
      </c>
      <c r="C498">
        <v>1.72</v>
      </c>
      <c r="D498">
        <v>53</v>
      </c>
      <c r="E498" t="s">
        <v>18</v>
      </c>
      <c r="F498" t="s">
        <v>18</v>
      </c>
      <c r="G498">
        <v>2</v>
      </c>
      <c r="H498">
        <v>3</v>
      </c>
      <c r="I498" t="s">
        <v>20</v>
      </c>
      <c r="J498" t="s">
        <v>19</v>
      </c>
      <c r="K498">
        <v>2</v>
      </c>
      <c r="L498" t="s">
        <v>19</v>
      </c>
      <c r="M498">
        <v>0</v>
      </c>
      <c r="N498">
        <v>2</v>
      </c>
      <c r="O498" t="s">
        <v>20</v>
      </c>
      <c r="P498" t="s">
        <v>21</v>
      </c>
      <c r="Q498" t="s">
        <v>32</v>
      </c>
    </row>
    <row r="499" spans="1:17" x14ac:dyDescent="0.2">
      <c r="A499" t="s">
        <v>23</v>
      </c>
      <c r="B499">
        <v>20</v>
      </c>
      <c r="C499">
        <v>1.56</v>
      </c>
      <c r="D499">
        <v>45</v>
      </c>
      <c r="E499" t="s">
        <v>19</v>
      </c>
      <c r="F499" t="s">
        <v>19</v>
      </c>
      <c r="G499">
        <v>2</v>
      </c>
      <c r="H499">
        <v>3</v>
      </c>
      <c r="I499" t="s">
        <v>20</v>
      </c>
      <c r="J499" t="s">
        <v>19</v>
      </c>
      <c r="K499">
        <v>2</v>
      </c>
      <c r="L499" t="s">
        <v>19</v>
      </c>
      <c r="M499">
        <v>1</v>
      </c>
      <c r="N499">
        <v>1</v>
      </c>
      <c r="O499" t="s">
        <v>20</v>
      </c>
      <c r="P499" t="s">
        <v>21</v>
      </c>
      <c r="Q499" t="s">
        <v>22</v>
      </c>
    </row>
    <row r="500" spans="1:17" x14ac:dyDescent="0.2">
      <c r="A500" t="s">
        <v>17</v>
      </c>
      <c r="B500">
        <v>25.196214000000001</v>
      </c>
      <c r="C500">
        <v>1.6863060000000001</v>
      </c>
      <c r="D500">
        <v>104.572712</v>
      </c>
      <c r="E500" t="s">
        <v>18</v>
      </c>
      <c r="F500" t="s">
        <v>18</v>
      </c>
      <c r="G500">
        <v>3</v>
      </c>
      <c r="H500">
        <v>3</v>
      </c>
      <c r="I500" t="s">
        <v>20</v>
      </c>
      <c r="J500" t="s">
        <v>19</v>
      </c>
      <c r="K500">
        <v>1.152736</v>
      </c>
      <c r="L500" t="s">
        <v>19</v>
      </c>
      <c r="M500">
        <v>0.319156</v>
      </c>
      <c r="N500">
        <v>1</v>
      </c>
      <c r="O500" t="s">
        <v>20</v>
      </c>
      <c r="P500" t="s">
        <v>21</v>
      </c>
      <c r="Q500" t="s">
        <v>35</v>
      </c>
    </row>
    <row r="501" spans="1:17" x14ac:dyDescent="0.2">
      <c r="A501" t="s">
        <v>17</v>
      </c>
      <c r="B501">
        <v>18.503343000000001</v>
      </c>
      <c r="C501">
        <v>1.6831240000000001</v>
      </c>
      <c r="D501">
        <v>126.67377999999999</v>
      </c>
      <c r="E501" t="s">
        <v>18</v>
      </c>
      <c r="F501" t="s">
        <v>18</v>
      </c>
      <c r="G501">
        <v>3</v>
      </c>
      <c r="H501">
        <v>3</v>
      </c>
      <c r="I501" t="s">
        <v>20</v>
      </c>
      <c r="J501" t="s">
        <v>19</v>
      </c>
      <c r="K501">
        <v>1.1159669999999999</v>
      </c>
      <c r="L501" t="s">
        <v>19</v>
      </c>
      <c r="M501">
        <v>1.541072</v>
      </c>
      <c r="N501">
        <v>1</v>
      </c>
      <c r="O501" t="s">
        <v>20</v>
      </c>
      <c r="P501" t="s">
        <v>21</v>
      </c>
      <c r="Q501" t="s">
        <v>35</v>
      </c>
    </row>
    <row r="502" spans="1:17" x14ac:dyDescent="0.2">
      <c r="A502" t="s">
        <v>17</v>
      </c>
      <c r="B502">
        <v>26</v>
      </c>
      <c r="C502">
        <v>1.6223970000000001</v>
      </c>
      <c r="D502">
        <v>110.79263</v>
      </c>
      <c r="E502" t="s">
        <v>18</v>
      </c>
      <c r="F502" t="s">
        <v>18</v>
      </c>
      <c r="G502">
        <v>3</v>
      </c>
      <c r="H502">
        <v>3</v>
      </c>
      <c r="I502" t="s">
        <v>20</v>
      </c>
      <c r="J502" t="s">
        <v>19</v>
      </c>
      <c r="K502">
        <v>2.704507</v>
      </c>
      <c r="L502" t="s">
        <v>19</v>
      </c>
      <c r="M502">
        <v>0</v>
      </c>
      <c r="N502">
        <v>0.29498999999999997</v>
      </c>
      <c r="O502" t="s">
        <v>20</v>
      </c>
      <c r="P502" t="s">
        <v>21</v>
      </c>
      <c r="Q502" t="s">
        <v>35</v>
      </c>
    </row>
    <row r="503" spans="1:17" x14ac:dyDescent="0.2">
      <c r="A503" t="s">
        <v>17</v>
      </c>
      <c r="B503">
        <v>21.853826000000002</v>
      </c>
      <c r="C503">
        <v>1.7556430000000001</v>
      </c>
      <c r="D503">
        <v>137.79688400000001</v>
      </c>
      <c r="E503" t="s">
        <v>18</v>
      </c>
      <c r="F503" t="s">
        <v>18</v>
      </c>
      <c r="G503">
        <v>3</v>
      </c>
      <c r="H503">
        <v>3</v>
      </c>
      <c r="I503" t="s">
        <v>20</v>
      </c>
      <c r="J503" t="s">
        <v>19</v>
      </c>
      <c r="K503">
        <v>2.184707</v>
      </c>
      <c r="L503" t="s">
        <v>19</v>
      </c>
      <c r="M503">
        <v>1.978631</v>
      </c>
      <c r="N503">
        <v>0.83895699999999995</v>
      </c>
      <c r="O503" t="s">
        <v>20</v>
      </c>
      <c r="P503" t="s">
        <v>21</v>
      </c>
      <c r="Q503" t="s">
        <v>35</v>
      </c>
    </row>
    <row r="504" spans="1:17" x14ac:dyDescent="0.2">
      <c r="A504" t="s">
        <v>17</v>
      </c>
      <c r="B504">
        <v>21.900120000000001</v>
      </c>
      <c r="C504">
        <v>1.8434189999999999</v>
      </c>
      <c r="D504">
        <v>165.05726899999999</v>
      </c>
      <c r="E504" t="s">
        <v>18</v>
      </c>
      <c r="F504" t="s">
        <v>18</v>
      </c>
      <c r="G504">
        <v>3</v>
      </c>
      <c r="H504">
        <v>3</v>
      </c>
      <c r="I504" t="s">
        <v>20</v>
      </c>
      <c r="J504" t="s">
        <v>19</v>
      </c>
      <c r="K504">
        <v>2.4065409999999998</v>
      </c>
      <c r="L504" t="s">
        <v>19</v>
      </c>
      <c r="M504">
        <v>0.10032000000000001</v>
      </c>
      <c r="N504">
        <v>0.47922100000000001</v>
      </c>
      <c r="O504" t="s">
        <v>20</v>
      </c>
      <c r="P504" t="s">
        <v>21</v>
      </c>
      <c r="Q504" t="s">
        <v>35</v>
      </c>
    </row>
    <row r="505" spans="1:17" x14ac:dyDescent="0.2">
      <c r="A505" t="s">
        <v>17</v>
      </c>
      <c r="B505">
        <v>18.306615000000001</v>
      </c>
      <c r="C505">
        <v>1.7456</v>
      </c>
      <c r="D505">
        <v>133.03441000000001</v>
      </c>
      <c r="E505" t="s">
        <v>18</v>
      </c>
      <c r="F505" t="s">
        <v>18</v>
      </c>
      <c r="G505">
        <v>3</v>
      </c>
      <c r="H505">
        <v>3</v>
      </c>
      <c r="I505" t="s">
        <v>20</v>
      </c>
      <c r="J505" t="s">
        <v>19</v>
      </c>
      <c r="K505">
        <v>2.9843229999999998</v>
      </c>
      <c r="L505" t="s">
        <v>19</v>
      </c>
      <c r="M505">
        <v>1.586525</v>
      </c>
      <c r="N505">
        <v>0.62534999999999996</v>
      </c>
      <c r="O505" t="s">
        <v>20</v>
      </c>
      <c r="P505" t="s">
        <v>21</v>
      </c>
      <c r="Q505" t="s">
        <v>35</v>
      </c>
    </row>
    <row r="506" spans="1:17" x14ac:dyDescent="0.2">
      <c r="A506" t="s">
        <v>17</v>
      </c>
      <c r="B506">
        <v>26</v>
      </c>
      <c r="C506">
        <v>1.630927</v>
      </c>
      <c r="D506">
        <v>111.485516</v>
      </c>
      <c r="E506" t="s">
        <v>18</v>
      </c>
      <c r="F506" t="s">
        <v>18</v>
      </c>
      <c r="G506">
        <v>3</v>
      </c>
      <c r="H506">
        <v>3</v>
      </c>
      <c r="I506" t="s">
        <v>20</v>
      </c>
      <c r="J506" t="s">
        <v>19</v>
      </c>
      <c r="K506">
        <v>2.4441250000000001</v>
      </c>
      <c r="L506" t="s">
        <v>19</v>
      </c>
      <c r="M506">
        <v>0</v>
      </c>
      <c r="N506">
        <v>0.26579000000000003</v>
      </c>
      <c r="O506" t="s">
        <v>20</v>
      </c>
      <c r="P506" t="s">
        <v>21</v>
      </c>
      <c r="Q506" t="s">
        <v>35</v>
      </c>
    </row>
    <row r="507" spans="1:17" x14ac:dyDescent="0.2">
      <c r="A507" t="s">
        <v>17</v>
      </c>
      <c r="B507">
        <v>26</v>
      </c>
      <c r="C507">
        <v>1.6291910000000001</v>
      </c>
      <c r="D507">
        <v>104.826776</v>
      </c>
      <c r="E507" t="s">
        <v>18</v>
      </c>
      <c r="F507" t="s">
        <v>18</v>
      </c>
      <c r="G507">
        <v>3</v>
      </c>
      <c r="H507">
        <v>3</v>
      </c>
      <c r="I507" t="s">
        <v>20</v>
      </c>
      <c r="J507" t="s">
        <v>19</v>
      </c>
      <c r="K507">
        <v>2.6547019999999999</v>
      </c>
      <c r="L507" t="s">
        <v>19</v>
      </c>
      <c r="M507">
        <v>0</v>
      </c>
      <c r="N507">
        <v>0.55546799999999996</v>
      </c>
      <c r="O507" t="s">
        <v>20</v>
      </c>
      <c r="P507" t="s">
        <v>21</v>
      </c>
      <c r="Q507" t="s">
        <v>35</v>
      </c>
    </row>
    <row r="508" spans="1:17" x14ac:dyDescent="0.2">
      <c r="A508" t="s">
        <v>17</v>
      </c>
      <c r="B508">
        <v>21.849705</v>
      </c>
      <c r="C508">
        <v>1.7706120000000001</v>
      </c>
      <c r="D508">
        <v>133.96334899999999</v>
      </c>
      <c r="E508" t="s">
        <v>18</v>
      </c>
      <c r="F508" t="s">
        <v>18</v>
      </c>
      <c r="G508">
        <v>3</v>
      </c>
      <c r="H508">
        <v>3</v>
      </c>
      <c r="I508" t="s">
        <v>20</v>
      </c>
      <c r="J508" t="s">
        <v>19</v>
      </c>
      <c r="K508">
        <v>2.8256290000000002</v>
      </c>
      <c r="L508" t="s">
        <v>19</v>
      </c>
      <c r="M508">
        <v>1.3991830000000001</v>
      </c>
      <c r="N508">
        <v>0.92897200000000002</v>
      </c>
      <c r="O508" t="s">
        <v>20</v>
      </c>
      <c r="P508" t="s">
        <v>21</v>
      </c>
      <c r="Q508" t="s">
        <v>35</v>
      </c>
    </row>
    <row r="509" spans="1:17" x14ac:dyDescent="0.2">
      <c r="A509" t="s">
        <v>23</v>
      </c>
      <c r="B509">
        <v>19.799054000000002</v>
      </c>
      <c r="C509">
        <v>1.7437020000000001</v>
      </c>
      <c r="D509">
        <v>54.927529</v>
      </c>
      <c r="E509" t="s">
        <v>18</v>
      </c>
      <c r="F509" t="s">
        <v>18</v>
      </c>
      <c r="G509">
        <v>2</v>
      </c>
      <c r="H509">
        <v>3.2892600000000001</v>
      </c>
      <c r="I509" t="s">
        <v>20</v>
      </c>
      <c r="J509" t="s">
        <v>19</v>
      </c>
      <c r="K509">
        <v>2.847264</v>
      </c>
      <c r="L509" t="s">
        <v>19</v>
      </c>
      <c r="M509">
        <v>1.680844</v>
      </c>
      <c r="N509">
        <v>2</v>
      </c>
      <c r="O509" t="s">
        <v>20</v>
      </c>
      <c r="P509" t="s">
        <v>21</v>
      </c>
      <c r="Q509" t="s">
        <v>32</v>
      </c>
    </row>
    <row r="510" spans="1:17" x14ac:dyDescent="0.2">
      <c r="A510" t="s">
        <v>23</v>
      </c>
      <c r="B510">
        <v>17.188753999999999</v>
      </c>
      <c r="C510">
        <v>1.7719149999999999</v>
      </c>
      <c r="D510">
        <v>55.695036000000002</v>
      </c>
      <c r="E510" t="s">
        <v>18</v>
      </c>
      <c r="F510" t="s">
        <v>18</v>
      </c>
      <c r="G510">
        <v>2</v>
      </c>
      <c r="H510">
        <v>4</v>
      </c>
      <c r="I510" t="s">
        <v>20</v>
      </c>
      <c r="J510" t="s">
        <v>19</v>
      </c>
      <c r="K510">
        <v>2.8840330000000001</v>
      </c>
      <c r="L510" t="s">
        <v>19</v>
      </c>
      <c r="M510">
        <v>2</v>
      </c>
      <c r="N510">
        <v>1.3401069999999999</v>
      </c>
      <c r="O510" t="s">
        <v>20</v>
      </c>
      <c r="P510" t="s">
        <v>21</v>
      </c>
      <c r="Q510" t="s">
        <v>32</v>
      </c>
    </row>
    <row r="511" spans="1:17" x14ac:dyDescent="0.2">
      <c r="A511" t="s">
        <v>23</v>
      </c>
      <c r="B511">
        <v>22.285024</v>
      </c>
      <c r="C511">
        <v>1.75376</v>
      </c>
      <c r="D511">
        <v>55.879263000000002</v>
      </c>
      <c r="E511" t="s">
        <v>18</v>
      </c>
      <c r="F511" t="s">
        <v>18</v>
      </c>
      <c r="G511">
        <v>2.450218</v>
      </c>
      <c r="H511">
        <v>3.9951469999999998</v>
      </c>
      <c r="I511" t="s">
        <v>20</v>
      </c>
      <c r="J511" t="s">
        <v>19</v>
      </c>
      <c r="K511">
        <v>2.1477460000000002</v>
      </c>
      <c r="L511" t="s">
        <v>19</v>
      </c>
      <c r="M511">
        <v>2</v>
      </c>
      <c r="N511">
        <v>0.58997999999999995</v>
      </c>
      <c r="O511" t="s">
        <v>20</v>
      </c>
      <c r="P511" t="s">
        <v>21</v>
      </c>
      <c r="Q511" t="s">
        <v>32</v>
      </c>
    </row>
    <row r="512" spans="1:17" x14ac:dyDescent="0.2">
      <c r="A512" t="s">
        <v>17</v>
      </c>
      <c r="B512">
        <v>22</v>
      </c>
      <c r="C512">
        <v>1.675446</v>
      </c>
      <c r="D512">
        <v>51.154201</v>
      </c>
      <c r="E512" t="s">
        <v>18</v>
      </c>
      <c r="F512" t="s">
        <v>18</v>
      </c>
      <c r="G512">
        <v>3</v>
      </c>
      <c r="H512">
        <v>3</v>
      </c>
      <c r="I512" t="s">
        <v>24</v>
      </c>
      <c r="J512" t="s">
        <v>19</v>
      </c>
      <c r="K512">
        <v>2.815293</v>
      </c>
      <c r="L512" t="s">
        <v>19</v>
      </c>
      <c r="M512">
        <v>1.978631</v>
      </c>
      <c r="N512">
        <v>1</v>
      </c>
      <c r="O512" t="s">
        <v>19</v>
      </c>
      <c r="P512" t="s">
        <v>21</v>
      </c>
      <c r="Q512" t="s">
        <v>32</v>
      </c>
    </row>
    <row r="513" spans="1:17" x14ac:dyDescent="0.2">
      <c r="A513" t="s">
        <v>17</v>
      </c>
      <c r="B513">
        <v>21.02497</v>
      </c>
      <c r="C513">
        <v>1.6662030000000001</v>
      </c>
      <c r="D513">
        <v>49.869790999999999</v>
      </c>
      <c r="E513" t="s">
        <v>18</v>
      </c>
      <c r="F513" t="s">
        <v>18</v>
      </c>
      <c r="G513">
        <v>3</v>
      </c>
      <c r="H513">
        <v>3</v>
      </c>
      <c r="I513" t="s">
        <v>24</v>
      </c>
      <c r="J513" t="s">
        <v>19</v>
      </c>
      <c r="K513">
        <v>2.5934590000000002</v>
      </c>
      <c r="L513" t="s">
        <v>19</v>
      </c>
      <c r="M513">
        <v>2</v>
      </c>
      <c r="N513">
        <v>1</v>
      </c>
      <c r="O513" t="s">
        <v>19</v>
      </c>
      <c r="P513" t="s">
        <v>21</v>
      </c>
      <c r="Q513" t="s">
        <v>32</v>
      </c>
    </row>
    <row r="514" spans="1:17" x14ac:dyDescent="0.2">
      <c r="A514" t="s">
        <v>17</v>
      </c>
      <c r="B514">
        <v>22.038326999999999</v>
      </c>
      <c r="C514">
        <v>1.7114670000000001</v>
      </c>
      <c r="D514">
        <v>51.965521000000003</v>
      </c>
      <c r="E514" t="s">
        <v>18</v>
      </c>
      <c r="F514" t="s">
        <v>18</v>
      </c>
      <c r="G514">
        <v>2.8801610000000002</v>
      </c>
      <c r="H514">
        <v>3</v>
      </c>
      <c r="I514" t="s">
        <v>24</v>
      </c>
      <c r="J514" t="s">
        <v>19</v>
      </c>
      <c r="K514">
        <v>1.0313540000000001</v>
      </c>
      <c r="L514" t="s">
        <v>19</v>
      </c>
      <c r="M514">
        <v>2.2067380000000001</v>
      </c>
      <c r="N514">
        <v>1.3746499999999999</v>
      </c>
      <c r="O514" t="s">
        <v>19</v>
      </c>
      <c r="P514" t="s">
        <v>21</v>
      </c>
      <c r="Q514" t="s">
        <v>32</v>
      </c>
    </row>
    <row r="515" spans="1:17" x14ac:dyDescent="0.2">
      <c r="A515" t="s">
        <v>17</v>
      </c>
      <c r="B515">
        <v>21.243141999999999</v>
      </c>
      <c r="C515">
        <v>1.5980190000000001</v>
      </c>
      <c r="D515">
        <v>44.845655000000001</v>
      </c>
      <c r="E515" t="s">
        <v>19</v>
      </c>
      <c r="F515" t="s">
        <v>19</v>
      </c>
      <c r="G515">
        <v>3</v>
      </c>
      <c r="H515">
        <v>1.7262599999999999</v>
      </c>
      <c r="I515" t="s">
        <v>24</v>
      </c>
      <c r="J515" t="s">
        <v>19</v>
      </c>
      <c r="K515">
        <v>2.4441250000000001</v>
      </c>
      <c r="L515" t="s">
        <v>19</v>
      </c>
      <c r="M515">
        <v>1.3181700000000001</v>
      </c>
      <c r="N515">
        <v>0</v>
      </c>
      <c r="O515" t="s">
        <v>19</v>
      </c>
      <c r="P515" t="s">
        <v>21</v>
      </c>
      <c r="Q515" t="s">
        <v>32</v>
      </c>
    </row>
    <row r="516" spans="1:17" x14ac:dyDescent="0.2">
      <c r="A516" t="s">
        <v>17</v>
      </c>
      <c r="B516">
        <v>22.142431999999999</v>
      </c>
      <c r="C516">
        <v>1.5961099999999999</v>
      </c>
      <c r="D516">
        <v>42.848033000000001</v>
      </c>
      <c r="E516" t="s">
        <v>19</v>
      </c>
      <c r="F516" t="s">
        <v>19</v>
      </c>
      <c r="G516">
        <v>3</v>
      </c>
      <c r="H516">
        <v>2.5810149999999998</v>
      </c>
      <c r="I516" t="s">
        <v>24</v>
      </c>
      <c r="J516" t="s">
        <v>19</v>
      </c>
      <c r="K516">
        <v>2.6547019999999999</v>
      </c>
      <c r="L516" t="s">
        <v>19</v>
      </c>
      <c r="M516">
        <v>0.90209499999999998</v>
      </c>
      <c r="N516">
        <v>0</v>
      </c>
      <c r="O516" t="s">
        <v>19</v>
      </c>
      <c r="P516" t="s">
        <v>21</v>
      </c>
      <c r="Q516" t="s">
        <v>32</v>
      </c>
    </row>
    <row r="517" spans="1:17" x14ac:dyDescent="0.2">
      <c r="A517" t="s">
        <v>17</v>
      </c>
      <c r="B517">
        <v>21.962426000000001</v>
      </c>
      <c r="C517">
        <v>1.57206</v>
      </c>
      <c r="D517">
        <v>43.919834999999999</v>
      </c>
      <c r="E517" t="s">
        <v>19</v>
      </c>
      <c r="F517" t="s">
        <v>19</v>
      </c>
      <c r="G517">
        <v>3</v>
      </c>
      <c r="H517">
        <v>1.6008119999999999</v>
      </c>
      <c r="I517" t="s">
        <v>24</v>
      </c>
      <c r="J517" t="s">
        <v>19</v>
      </c>
      <c r="K517">
        <v>2.6512579999999999</v>
      </c>
      <c r="L517" t="s">
        <v>19</v>
      </c>
      <c r="M517">
        <v>0.60081700000000005</v>
      </c>
      <c r="N517">
        <v>0</v>
      </c>
      <c r="O517" t="s">
        <v>19</v>
      </c>
      <c r="P517" t="s">
        <v>21</v>
      </c>
      <c r="Q517" t="s">
        <v>32</v>
      </c>
    </row>
    <row r="518" spans="1:17" x14ac:dyDescent="0.2">
      <c r="A518" t="s">
        <v>17</v>
      </c>
      <c r="B518">
        <v>21.491054999999999</v>
      </c>
      <c r="C518">
        <v>1.5869519999999999</v>
      </c>
      <c r="D518">
        <v>43.087508</v>
      </c>
      <c r="E518" t="s">
        <v>19</v>
      </c>
      <c r="F518" t="s">
        <v>19</v>
      </c>
      <c r="G518">
        <v>2.0087600000000001</v>
      </c>
      <c r="H518">
        <v>1.7376199999999999</v>
      </c>
      <c r="I518" t="s">
        <v>24</v>
      </c>
      <c r="J518" t="s">
        <v>19</v>
      </c>
      <c r="K518">
        <v>1.792022</v>
      </c>
      <c r="L518" t="s">
        <v>19</v>
      </c>
      <c r="M518">
        <v>0.119643</v>
      </c>
      <c r="N518">
        <v>0</v>
      </c>
      <c r="O518" t="s">
        <v>19</v>
      </c>
      <c r="P518" t="s">
        <v>21</v>
      </c>
      <c r="Q518" t="s">
        <v>32</v>
      </c>
    </row>
    <row r="519" spans="1:17" x14ac:dyDescent="0.2">
      <c r="A519" t="s">
        <v>17</v>
      </c>
      <c r="B519">
        <v>22.717943000000002</v>
      </c>
      <c r="C519">
        <v>1.5955900000000001</v>
      </c>
      <c r="D519">
        <v>44.581159</v>
      </c>
      <c r="E519" t="s">
        <v>19</v>
      </c>
      <c r="F519" t="s">
        <v>19</v>
      </c>
      <c r="G519">
        <v>2.5965790000000002</v>
      </c>
      <c r="H519">
        <v>1.10548</v>
      </c>
      <c r="I519" t="s">
        <v>24</v>
      </c>
      <c r="J519" t="s">
        <v>19</v>
      </c>
      <c r="K519">
        <v>1.490613</v>
      </c>
      <c r="L519" t="s">
        <v>19</v>
      </c>
      <c r="M519">
        <v>0.34568399999999999</v>
      </c>
      <c r="N519">
        <v>0</v>
      </c>
      <c r="O519" t="s">
        <v>19</v>
      </c>
      <c r="P519" t="s">
        <v>21</v>
      </c>
      <c r="Q519" t="s">
        <v>32</v>
      </c>
    </row>
    <row r="520" spans="1:17" x14ac:dyDescent="0.2">
      <c r="A520" t="s">
        <v>17</v>
      </c>
      <c r="B520">
        <v>23.501249000000001</v>
      </c>
      <c r="C520">
        <v>1.6</v>
      </c>
      <c r="D520">
        <v>45</v>
      </c>
      <c r="E520" t="s">
        <v>19</v>
      </c>
      <c r="F520" t="s">
        <v>19</v>
      </c>
      <c r="G520">
        <v>2.5914389999999998</v>
      </c>
      <c r="H520">
        <v>3</v>
      </c>
      <c r="I520" t="s">
        <v>24</v>
      </c>
      <c r="J520" t="s">
        <v>19</v>
      </c>
      <c r="K520">
        <v>2.0740479999999999</v>
      </c>
      <c r="L520" t="s">
        <v>19</v>
      </c>
      <c r="M520">
        <v>1.679935</v>
      </c>
      <c r="N520">
        <v>0</v>
      </c>
      <c r="O520" t="s">
        <v>19</v>
      </c>
      <c r="P520" t="s">
        <v>21</v>
      </c>
      <c r="Q520" t="s">
        <v>32</v>
      </c>
    </row>
    <row r="521" spans="1:17" x14ac:dyDescent="0.2">
      <c r="A521" t="s">
        <v>17</v>
      </c>
      <c r="B521">
        <v>18.535074999999999</v>
      </c>
      <c r="C521">
        <v>1.6880250000000001</v>
      </c>
      <c r="D521">
        <v>45</v>
      </c>
      <c r="E521" t="s">
        <v>19</v>
      </c>
      <c r="F521" t="s">
        <v>18</v>
      </c>
      <c r="G521">
        <v>3</v>
      </c>
      <c r="H521">
        <v>3</v>
      </c>
      <c r="I521" t="s">
        <v>20</v>
      </c>
      <c r="J521" t="s">
        <v>19</v>
      </c>
      <c r="K521">
        <v>3</v>
      </c>
      <c r="L521" t="s">
        <v>18</v>
      </c>
      <c r="M521">
        <v>2.5397620000000001</v>
      </c>
      <c r="N521">
        <v>1.2836730000000001</v>
      </c>
      <c r="O521" t="s">
        <v>19</v>
      </c>
      <c r="P521" t="s">
        <v>21</v>
      </c>
      <c r="Q521" t="s">
        <v>32</v>
      </c>
    </row>
    <row r="522" spans="1:17" x14ac:dyDescent="0.2">
      <c r="A522" t="s">
        <v>17</v>
      </c>
      <c r="B522">
        <v>19</v>
      </c>
      <c r="C522">
        <v>1.556211</v>
      </c>
      <c r="D522">
        <v>42.339767000000002</v>
      </c>
      <c r="E522" t="s">
        <v>19</v>
      </c>
      <c r="F522" t="s">
        <v>18</v>
      </c>
      <c r="G522">
        <v>3</v>
      </c>
      <c r="H522">
        <v>2.0846</v>
      </c>
      <c r="I522" t="s">
        <v>20</v>
      </c>
      <c r="J522" t="s">
        <v>19</v>
      </c>
      <c r="K522">
        <v>2.1375500000000001</v>
      </c>
      <c r="L522" t="s">
        <v>18</v>
      </c>
      <c r="M522">
        <v>0.19615199999999999</v>
      </c>
      <c r="N522">
        <v>6.2488000000000002E-2</v>
      </c>
      <c r="O522" t="s">
        <v>19</v>
      </c>
      <c r="P522" t="s">
        <v>21</v>
      </c>
      <c r="Q522" t="s">
        <v>32</v>
      </c>
    </row>
    <row r="523" spans="1:17" x14ac:dyDescent="0.2">
      <c r="A523" t="s">
        <v>17</v>
      </c>
      <c r="B523">
        <v>19</v>
      </c>
      <c r="C523">
        <v>1.5641989999999999</v>
      </c>
      <c r="D523">
        <v>42.096062000000003</v>
      </c>
      <c r="E523" t="s">
        <v>19</v>
      </c>
      <c r="F523" t="s">
        <v>18</v>
      </c>
      <c r="G523">
        <v>3</v>
      </c>
      <c r="H523">
        <v>1.8943840000000001</v>
      </c>
      <c r="I523" t="s">
        <v>20</v>
      </c>
      <c r="J523" t="s">
        <v>19</v>
      </c>
      <c r="K523">
        <v>2.4565809999999999</v>
      </c>
      <c r="L523" t="s">
        <v>18</v>
      </c>
      <c r="M523">
        <v>1.596576</v>
      </c>
      <c r="N523">
        <v>0.99739999999999995</v>
      </c>
      <c r="O523" t="s">
        <v>19</v>
      </c>
      <c r="P523" t="s">
        <v>21</v>
      </c>
      <c r="Q523" t="s">
        <v>32</v>
      </c>
    </row>
    <row r="524" spans="1:17" x14ac:dyDescent="0.2">
      <c r="A524" t="s">
        <v>17</v>
      </c>
      <c r="B524">
        <v>20.254534</v>
      </c>
      <c r="C524">
        <v>1.56948</v>
      </c>
      <c r="D524">
        <v>41.324558000000003</v>
      </c>
      <c r="E524" t="s">
        <v>19</v>
      </c>
      <c r="F524" t="s">
        <v>18</v>
      </c>
      <c r="G524">
        <v>2.392665</v>
      </c>
      <c r="H524">
        <v>1</v>
      </c>
      <c r="I524" t="s">
        <v>24</v>
      </c>
      <c r="J524" t="s">
        <v>19</v>
      </c>
      <c r="K524">
        <v>1</v>
      </c>
      <c r="L524" t="s">
        <v>19</v>
      </c>
      <c r="M524">
        <v>0</v>
      </c>
      <c r="N524">
        <v>0.73826899999999995</v>
      </c>
      <c r="O524" t="s">
        <v>20</v>
      </c>
      <c r="P524" t="s">
        <v>21</v>
      </c>
      <c r="Q524" t="s">
        <v>32</v>
      </c>
    </row>
    <row r="525" spans="1:17" x14ac:dyDescent="0.2">
      <c r="A525" t="s">
        <v>17</v>
      </c>
      <c r="B525">
        <v>21</v>
      </c>
      <c r="C525">
        <v>1.52</v>
      </c>
      <c r="D525">
        <v>42</v>
      </c>
      <c r="E525" t="s">
        <v>19</v>
      </c>
      <c r="F525" t="s">
        <v>18</v>
      </c>
      <c r="G525">
        <v>3</v>
      </c>
      <c r="H525">
        <v>1</v>
      </c>
      <c r="I525" t="s">
        <v>24</v>
      </c>
      <c r="J525" t="s">
        <v>19</v>
      </c>
      <c r="K525">
        <v>1</v>
      </c>
      <c r="L525" t="s">
        <v>19</v>
      </c>
      <c r="M525">
        <v>0</v>
      </c>
      <c r="N525">
        <v>0</v>
      </c>
      <c r="O525" t="s">
        <v>20</v>
      </c>
      <c r="P525" t="s">
        <v>21</v>
      </c>
      <c r="Q525" t="s">
        <v>32</v>
      </c>
    </row>
    <row r="526" spans="1:17" x14ac:dyDescent="0.2">
      <c r="A526" t="s">
        <v>17</v>
      </c>
      <c r="B526">
        <v>20.225396</v>
      </c>
      <c r="C526">
        <v>1.550648</v>
      </c>
      <c r="D526">
        <v>44.641795999999999</v>
      </c>
      <c r="E526" t="s">
        <v>19</v>
      </c>
      <c r="F526" t="s">
        <v>18</v>
      </c>
      <c r="G526">
        <v>3</v>
      </c>
      <c r="H526">
        <v>2.8577870000000001</v>
      </c>
      <c r="I526" t="s">
        <v>24</v>
      </c>
      <c r="J526" t="s">
        <v>19</v>
      </c>
      <c r="K526">
        <v>1</v>
      </c>
      <c r="L526" t="s">
        <v>19</v>
      </c>
      <c r="M526">
        <v>0.75464600000000004</v>
      </c>
      <c r="N526">
        <v>0</v>
      </c>
      <c r="O526" t="s">
        <v>20</v>
      </c>
      <c r="P526" t="s">
        <v>21</v>
      </c>
      <c r="Q526" t="s">
        <v>32</v>
      </c>
    </row>
    <row r="527" spans="1:17" x14ac:dyDescent="0.2">
      <c r="A527" t="s">
        <v>17</v>
      </c>
      <c r="B527">
        <v>19.869969999999999</v>
      </c>
      <c r="C527">
        <v>1.5209969999999999</v>
      </c>
      <c r="D527">
        <v>42</v>
      </c>
      <c r="E527" t="s">
        <v>19</v>
      </c>
      <c r="F527" t="s">
        <v>18</v>
      </c>
      <c r="G527">
        <v>3</v>
      </c>
      <c r="H527">
        <v>1</v>
      </c>
      <c r="I527" t="s">
        <v>24</v>
      </c>
      <c r="J527" t="s">
        <v>19</v>
      </c>
      <c r="K527">
        <v>1.5270360000000001</v>
      </c>
      <c r="L527" t="s">
        <v>19</v>
      </c>
      <c r="M527">
        <v>0</v>
      </c>
      <c r="N527">
        <v>0.86049699999999996</v>
      </c>
      <c r="O527" t="s">
        <v>20</v>
      </c>
      <c r="P527" t="s">
        <v>21</v>
      </c>
      <c r="Q527" t="s">
        <v>32</v>
      </c>
    </row>
    <row r="528" spans="1:17" x14ac:dyDescent="0.2">
      <c r="A528" t="s">
        <v>17</v>
      </c>
      <c r="B528">
        <v>20.147113999999998</v>
      </c>
      <c r="C528">
        <v>1.528011</v>
      </c>
      <c r="D528">
        <v>42</v>
      </c>
      <c r="E528" t="s">
        <v>19</v>
      </c>
      <c r="F528" t="s">
        <v>18</v>
      </c>
      <c r="G528">
        <v>3</v>
      </c>
      <c r="H528">
        <v>1</v>
      </c>
      <c r="I528" t="s">
        <v>24</v>
      </c>
      <c r="J528" t="s">
        <v>19</v>
      </c>
      <c r="K528">
        <v>1.3226690000000001</v>
      </c>
      <c r="L528" t="s">
        <v>19</v>
      </c>
      <c r="M528">
        <v>0</v>
      </c>
      <c r="N528">
        <v>0.47867599999999999</v>
      </c>
      <c r="O528" t="s">
        <v>20</v>
      </c>
      <c r="P528" t="s">
        <v>21</v>
      </c>
      <c r="Q528" t="s">
        <v>32</v>
      </c>
    </row>
    <row r="529" spans="1:17" x14ac:dyDescent="0.2">
      <c r="A529" t="s">
        <v>17</v>
      </c>
      <c r="B529">
        <v>21</v>
      </c>
      <c r="C529">
        <v>1.52</v>
      </c>
      <c r="D529">
        <v>42</v>
      </c>
      <c r="E529" t="s">
        <v>19</v>
      </c>
      <c r="F529" t="s">
        <v>18</v>
      </c>
      <c r="G529">
        <v>3</v>
      </c>
      <c r="H529">
        <v>1</v>
      </c>
      <c r="I529" t="s">
        <v>24</v>
      </c>
      <c r="J529" t="s">
        <v>19</v>
      </c>
      <c r="K529">
        <v>1</v>
      </c>
      <c r="L529" t="s">
        <v>19</v>
      </c>
      <c r="M529">
        <v>0</v>
      </c>
      <c r="N529">
        <v>0</v>
      </c>
      <c r="O529" t="s">
        <v>20</v>
      </c>
      <c r="P529" t="s">
        <v>21</v>
      </c>
      <c r="Q529" t="s">
        <v>32</v>
      </c>
    </row>
    <row r="530" spans="1:17" x14ac:dyDescent="0.2">
      <c r="A530" t="s">
        <v>17</v>
      </c>
      <c r="B530">
        <v>21.996523</v>
      </c>
      <c r="C530">
        <v>1.733263</v>
      </c>
      <c r="D530">
        <v>50.890363000000001</v>
      </c>
      <c r="E530" t="s">
        <v>19</v>
      </c>
      <c r="F530" t="s">
        <v>19</v>
      </c>
      <c r="G530">
        <v>3</v>
      </c>
      <c r="H530">
        <v>3.7655259999999999</v>
      </c>
      <c r="I530" t="s">
        <v>24</v>
      </c>
      <c r="J530" t="s">
        <v>19</v>
      </c>
      <c r="K530">
        <v>1.6560820000000001</v>
      </c>
      <c r="L530" t="s">
        <v>19</v>
      </c>
      <c r="M530">
        <v>0.42776999999999998</v>
      </c>
      <c r="N530">
        <v>0.55596699999999999</v>
      </c>
      <c r="O530" t="s">
        <v>20</v>
      </c>
      <c r="P530" t="s">
        <v>21</v>
      </c>
      <c r="Q530" t="s">
        <v>32</v>
      </c>
    </row>
    <row r="531" spans="1:17" x14ac:dyDescent="0.2">
      <c r="A531" t="s">
        <v>17</v>
      </c>
      <c r="B531">
        <v>21.376425999999999</v>
      </c>
      <c r="C531">
        <v>1.7225269999999999</v>
      </c>
      <c r="D531">
        <v>50.833029000000003</v>
      </c>
      <c r="E531" t="s">
        <v>19</v>
      </c>
      <c r="F531" t="s">
        <v>19</v>
      </c>
      <c r="G531">
        <v>3</v>
      </c>
      <c r="H531">
        <v>3.2851669999999999</v>
      </c>
      <c r="I531" t="s">
        <v>24</v>
      </c>
      <c r="J531" t="s">
        <v>19</v>
      </c>
      <c r="K531">
        <v>1.5690820000000001</v>
      </c>
      <c r="L531" t="s">
        <v>19</v>
      </c>
      <c r="M531">
        <v>0.54593100000000006</v>
      </c>
      <c r="N531">
        <v>0.46973500000000001</v>
      </c>
      <c r="O531" t="s">
        <v>20</v>
      </c>
      <c r="P531" t="s">
        <v>21</v>
      </c>
      <c r="Q531" t="s">
        <v>32</v>
      </c>
    </row>
    <row r="532" spans="1:17" x14ac:dyDescent="0.2">
      <c r="A532" t="s">
        <v>17</v>
      </c>
      <c r="B532">
        <v>19.724105999999999</v>
      </c>
      <c r="C532">
        <v>1.7348319999999999</v>
      </c>
      <c r="D532">
        <v>50</v>
      </c>
      <c r="E532" t="s">
        <v>19</v>
      </c>
      <c r="F532" t="s">
        <v>19</v>
      </c>
      <c r="G532">
        <v>1.123939</v>
      </c>
      <c r="H532">
        <v>4</v>
      </c>
      <c r="I532" t="s">
        <v>24</v>
      </c>
      <c r="J532" t="s">
        <v>19</v>
      </c>
      <c r="K532">
        <v>1</v>
      </c>
      <c r="L532" t="s">
        <v>19</v>
      </c>
      <c r="M532">
        <v>1.303976</v>
      </c>
      <c r="N532">
        <v>0.37194100000000002</v>
      </c>
      <c r="O532" t="s">
        <v>20</v>
      </c>
      <c r="P532" t="s">
        <v>21</v>
      </c>
      <c r="Q532" t="s">
        <v>32</v>
      </c>
    </row>
    <row r="533" spans="1:17" x14ac:dyDescent="0.2">
      <c r="A533" t="s">
        <v>23</v>
      </c>
      <c r="B533">
        <v>23</v>
      </c>
      <c r="C533">
        <v>1.882779</v>
      </c>
      <c r="D533">
        <v>64.106108000000006</v>
      </c>
      <c r="E533" t="s">
        <v>18</v>
      </c>
      <c r="F533" t="s">
        <v>18</v>
      </c>
      <c r="G533">
        <v>3</v>
      </c>
      <c r="H533">
        <v>3</v>
      </c>
      <c r="I533" t="s">
        <v>20</v>
      </c>
      <c r="J533" t="s">
        <v>19</v>
      </c>
      <c r="K533">
        <v>2.8437770000000002</v>
      </c>
      <c r="L533" t="s">
        <v>19</v>
      </c>
      <c r="M533">
        <v>1.4888429999999999</v>
      </c>
      <c r="N533">
        <v>9.2540000000000001E-3</v>
      </c>
      <c r="O533" t="s">
        <v>20</v>
      </c>
      <c r="P533" t="s">
        <v>28</v>
      </c>
      <c r="Q533" t="s">
        <v>32</v>
      </c>
    </row>
    <row r="534" spans="1:17" x14ac:dyDescent="0.2">
      <c r="A534" t="s">
        <v>23</v>
      </c>
      <c r="B534">
        <v>22.851834</v>
      </c>
      <c r="C534">
        <v>1.854592</v>
      </c>
      <c r="D534">
        <v>63.611108999999999</v>
      </c>
      <c r="E534" t="s">
        <v>18</v>
      </c>
      <c r="F534" t="s">
        <v>18</v>
      </c>
      <c r="G534">
        <v>3</v>
      </c>
      <c r="H534">
        <v>3.6912259999999999</v>
      </c>
      <c r="I534" t="s">
        <v>20</v>
      </c>
      <c r="J534" t="s">
        <v>19</v>
      </c>
      <c r="K534">
        <v>2.650989</v>
      </c>
      <c r="L534" t="s">
        <v>19</v>
      </c>
      <c r="M534">
        <v>1.2281359999999999</v>
      </c>
      <c r="N534">
        <v>0.83240000000000003</v>
      </c>
      <c r="O534" t="s">
        <v>20</v>
      </c>
      <c r="P534" t="s">
        <v>28</v>
      </c>
      <c r="Q534" t="s">
        <v>32</v>
      </c>
    </row>
    <row r="535" spans="1:17" x14ac:dyDescent="0.2">
      <c r="A535" t="s">
        <v>23</v>
      </c>
      <c r="B535">
        <v>23</v>
      </c>
      <c r="C535">
        <v>1.8356429999999999</v>
      </c>
      <c r="D535">
        <v>58.854416000000001</v>
      </c>
      <c r="E535" t="s">
        <v>18</v>
      </c>
      <c r="F535" t="s">
        <v>18</v>
      </c>
      <c r="G535">
        <v>3</v>
      </c>
      <c r="H535">
        <v>3</v>
      </c>
      <c r="I535" t="s">
        <v>20</v>
      </c>
      <c r="J535" t="s">
        <v>19</v>
      </c>
      <c r="K535">
        <v>2.027984</v>
      </c>
      <c r="L535" t="s">
        <v>19</v>
      </c>
      <c r="M535">
        <v>1.661556</v>
      </c>
      <c r="N535">
        <v>0.114716</v>
      </c>
      <c r="O535" t="s">
        <v>20</v>
      </c>
      <c r="P535" t="s">
        <v>28</v>
      </c>
      <c r="Q535" t="s">
        <v>32</v>
      </c>
    </row>
    <row r="536" spans="1:17" x14ac:dyDescent="0.2">
      <c r="A536" t="s">
        <v>23</v>
      </c>
      <c r="B536">
        <v>18.216031999999998</v>
      </c>
      <c r="C536">
        <v>1.7555069999999999</v>
      </c>
      <c r="D536">
        <v>52</v>
      </c>
      <c r="E536" t="s">
        <v>18</v>
      </c>
      <c r="F536" t="s">
        <v>18</v>
      </c>
      <c r="G536">
        <v>3</v>
      </c>
      <c r="H536">
        <v>3</v>
      </c>
      <c r="I536" t="s">
        <v>24</v>
      </c>
      <c r="J536" t="s">
        <v>19</v>
      </c>
      <c r="K536">
        <v>2</v>
      </c>
      <c r="L536" t="s">
        <v>19</v>
      </c>
      <c r="M536">
        <v>0.65889399999999998</v>
      </c>
      <c r="N536">
        <v>1</v>
      </c>
      <c r="O536" t="s">
        <v>19</v>
      </c>
      <c r="P536" t="s">
        <v>21</v>
      </c>
      <c r="Q536" t="s">
        <v>32</v>
      </c>
    </row>
    <row r="537" spans="1:17" x14ac:dyDescent="0.2">
      <c r="A537" t="s">
        <v>23</v>
      </c>
      <c r="B537">
        <v>21.81119</v>
      </c>
      <c r="C537">
        <v>1.7126600000000001</v>
      </c>
      <c r="D537">
        <v>51.598593000000001</v>
      </c>
      <c r="E537" t="s">
        <v>18</v>
      </c>
      <c r="F537" t="s">
        <v>18</v>
      </c>
      <c r="G537">
        <v>3</v>
      </c>
      <c r="H537">
        <v>3.1561530000000002</v>
      </c>
      <c r="I537" t="s">
        <v>24</v>
      </c>
      <c r="J537" t="s">
        <v>19</v>
      </c>
      <c r="K537">
        <v>1.253803</v>
      </c>
      <c r="L537" t="s">
        <v>19</v>
      </c>
      <c r="M537">
        <v>0.54478400000000005</v>
      </c>
      <c r="N537">
        <v>0.256382</v>
      </c>
      <c r="O537" t="s">
        <v>19</v>
      </c>
      <c r="P537" t="s">
        <v>21</v>
      </c>
      <c r="Q537" t="s">
        <v>32</v>
      </c>
    </row>
    <row r="538" spans="1:17" x14ac:dyDescent="0.2">
      <c r="A538" t="s">
        <v>23</v>
      </c>
      <c r="B538">
        <v>18.164767999999999</v>
      </c>
      <c r="C538">
        <v>1.6942649999999999</v>
      </c>
      <c r="D538">
        <v>52</v>
      </c>
      <c r="E538" t="s">
        <v>18</v>
      </c>
      <c r="F538" t="s">
        <v>18</v>
      </c>
      <c r="G538">
        <v>3</v>
      </c>
      <c r="H538">
        <v>3</v>
      </c>
      <c r="I538" t="s">
        <v>24</v>
      </c>
      <c r="J538" t="s">
        <v>19</v>
      </c>
      <c r="K538">
        <v>2</v>
      </c>
      <c r="L538" t="s">
        <v>19</v>
      </c>
      <c r="M538">
        <v>0.81968200000000002</v>
      </c>
      <c r="N538">
        <v>1</v>
      </c>
      <c r="O538" t="s">
        <v>19</v>
      </c>
      <c r="P538" t="s">
        <v>21</v>
      </c>
      <c r="Q538" t="s">
        <v>32</v>
      </c>
    </row>
    <row r="539" spans="1:17" x14ac:dyDescent="0.2">
      <c r="A539" t="s">
        <v>17</v>
      </c>
      <c r="B539">
        <v>18.871794000000001</v>
      </c>
      <c r="C539">
        <v>1.5868949999999999</v>
      </c>
      <c r="D539">
        <v>41.452385</v>
      </c>
      <c r="E539" t="s">
        <v>19</v>
      </c>
      <c r="F539" t="s">
        <v>18</v>
      </c>
      <c r="G539">
        <v>2</v>
      </c>
      <c r="H539">
        <v>1.0797600000000001</v>
      </c>
      <c r="I539" t="s">
        <v>20</v>
      </c>
      <c r="J539" t="s">
        <v>19</v>
      </c>
      <c r="K539">
        <v>1</v>
      </c>
      <c r="L539" t="s">
        <v>19</v>
      </c>
      <c r="M539">
        <v>0.194745</v>
      </c>
      <c r="N539">
        <v>1.547086</v>
      </c>
      <c r="O539" t="s">
        <v>20</v>
      </c>
      <c r="P539" t="s">
        <v>21</v>
      </c>
      <c r="Q539" t="s">
        <v>32</v>
      </c>
    </row>
    <row r="540" spans="1:17" x14ac:dyDescent="0.2">
      <c r="A540" t="s">
        <v>17</v>
      </c>
      <c r="B540">
        <v>18.766033</v>
      </c>
      <c r="C540">
        <v>1.579561</v>
      </c>
      <c r="D540">
        <v>41.890203999999997</v>
      </c>
      <c r="E540" t="s">
        <v>19</v>
      </c>
      <c r="F540" t="s">
        <v>18</v>
      </c>
      <c r="G540">
        <v>2.027574</v>
      </c>
      <c r="H540">
        <v>1</v>
      </c>
      <c r="I540" t="s">
        <v>20</v>
      </c>
      <c r="J540" t="s">
        <v>19</v>
      </c>
      <c r="K540">
        <v>1.6363259999999999</v>
      </c>
      <c r="L540" t="s">
        <v>19</v>
      </c>
      <c r="M540">
        <v>0</v>
      </c>
      <c r="N540">
        <v>1.9061410000000001</v>
      </c>
      <c r="O540" t="s">
        <v>20</v>
      </c>
      <c r="P540" t="s">
        <v>21</v>
      </c>
      <c r="Q540" t="s">
        <v>32</v>
      </c>
    </row>
    <row r="541" spans="1:17" x14ac:dyDescent="0.2">
      <c r="A541" t="s">
        <v>17</v>
      </c>
      <c r="B541">
        <v>18.540534999999998</v>
      </c>
      <c r="C541">
        <v>1.564568</v>
      </c>
      <c r="D541">
        <v>41.397378000000003</v>
      </c>
      <c r="E541" t="s">
        <v>19</v>
      </c>
      <c r="F541" t="s">
        <v>18</v>
      </c>
      <c r="G541">
        <v>2.658112</v>
      </c>
      <c r="H541">
        <v>1</v>
      </c>
      <c r="I541" t="s">
        <v>20</v>
      </c>
      <c r="J541" t="s">
        <v>19</v>
      </c>
      <c r="K541">
        <v>1.298165</v>
      </c>
      <c r="L541" t="s">
        <v>19</v>
      </c>
      <c r="M541">
        <v>0</v>
      </c>
      <c r="N541">
        <v>1.6393260000000001</v>
      </c>
      <c r="O541" t="s">
        <v>20</v>
      </c>
      <c r="P541" t="s">
        <v>21</v>
      </c>
      <c r="Q541" t="s">
        <v>32</v>
      </c>
    </row>
    <row r="542" spans="1:17" x14ac:dyDescent="0.2">
      <c r="A542" t="s">
        <v>17</v>
      </c>
      <c r="B542">
        <v>19.88036</v>
      </c>
      <c r="C542">
        <v>1.6706350000000001</v>
      </c>
      <c r="D542">
        <v>49.742930999999999</v>
      </c>
      <c r="E542" t="s">
        <v>19</v>
      </c>
      <c r="F542" t="s">
        <v>19</v>
      </c>
      <c r="G542">
        <v>2.88626</v>
      </c>
      <c r="H542">
        <v>3.559841</v>
      </c>
      <c r="I542" t="s">
        <v>24</v>
      </c>
      <c r="J542" t="s">
        <v>19</v>
      </c>
      <c r="K542">
        <v>1.632004</v>
      </c>
      <c r="L542" t="s">
        <v>19</v>
      </c>
      <c r="M542">
        <v>2</v>
      </c>
      <c r="N542">
        <v>1</v>
      </c>
      <c r="O542" t="s">
        <v>20</v>
      </c>
      <c r="P542" t="s">
        <v>21</v>
      </c>
      <c r="Q542" t="s">
        <v>32</v>
      </c>
    </row>
    <row r="543" spans="1:17" x14ac:dyDescent="0.2">
      <c r="A543" t="s">
        <v>17</v>
      </c>
      <c r="B543">
        <v>19.717248999999999</v>
      </c>
      <c r="C543">
        <v>1.688426</v>
      </c>
      <c r="D543">
        <v>49.660995</v>
      </c>
      <c r="E543" t="s">
        <v>19</v>
      </c>
      <c r="F543" t="s">
        <v>19</v>
      </c>
      <c r="G543">
        <v>2.7144469999999998</v>
      </c>
      <c r="H543">
        <v>3</v>
      </c>
      <c r="I543" t="s">
        <v>24</v>
      </c>
      <c r="J543" t="s">
        <v>19</v>
      </c>
      <c r="K543">
        <v>2</v>
      </c>
      <c r="L543" t="s">
        <v>19</v>
      </c>
      <c r="M543">
        <v>1.9031819999999999</v>
      </c>
      <c r="N543">
        <v>1</v>
      </c>
      <c r="O543" t="s">
        <v>20</v>
      </c>
      <c r="P543" t="s">
        <v>21</v>
      </c>
      <c r="Q543" t="s">
        <v>32</v>
      </c>
    </row>
    <row r="544" spans="1:17" x14ac:dyDescent="0.2">
      <c r="A544" t="s">
        <v>17</v>
      </c>
      <c r="B544">
        <v>19.633897999999999</v>
      </c>
      <c r="C544">
        <v>1.6608400000000001</v>
      </c>
      <c r="D544">
        <v>49.039794000000001</v>
      </c>
      <c r="E544" t="s">
        <v>19</v>
      </c>
      <c r="F544" t="s">
        <v>19</v>
      </c>
      <c r="G544">
        <v>2.750715</v>
      </c>
      <c r="H544">
        <v>3</v>
      </c>
      <c r="I544" t="s">
        <v>24</v>
      </c>
      <c r="J544" t="s">
        <v>19</v>
      </c>
      <c r="K544">
        <v>2</v>
      </c>
      <c r="L544" t="s">
        <v>19</v>
      </c>
      <c r="M544">
        <v>1.067817</v>
      </c>
      <c r="N544">
        <v>1</v>
      </c>
      <c r="O544" t="s">
        <v>20</v>
      </c>
      <c r="P544" t="s">
        <v>21</v>
      </c>
      <c r="Q544" t="s">
        <v>32</v>
      </c>
    </row>
    <row r="545" spans="1:17" x14ac:dyDescent="0.2">
      <c r="A545" t="s">
        <v>17</v>
      </c>
      <c r="B545">
        <v>23</v>
      </c>
      <c r="C545">
        <v>1.7101820000000001</v>
      </c>
      <c r="D545">
        <v>50.287967000000002</v>
      </c>
      <c r="E545" t="s">
        <v>18</v>
      </c>
      <c r="F545" t="s">
        <v>18</v>
      </c>
      <c r="G545">
        <v>2</v>
      </c>
      <c r="H545">
        <v>3</v>
      </c>
      <c r="I545" t="s">
        <v>24</v>
      </c>
      <c r="J545" t="s">
        <v>19</v>
      </c>
      <c r="K545">
        <v>2.099863</v>
      </c>
      <c r="L545" t="s">
        <v>19</v>
      </c>
      <c r="M545">
        <v>1.63581</v>
      </c>
      <c r="N545">
        <v>2</v>
      </c>
      <c r="O545" t="s">
        <v>19</v>
      </c>
      <c r="P545" t="s">
        <v>21</v>
      </c>
      <c r="Q545" t="s">
        <v>32</v>
      </c>
    </row>
    <row r="546" spans="1:17" x14ac:dyDescent="0.2">
      <c r="A546" t="s">
        <v>17</v>
      </c>
      <c r="B546">
        <v>20.406870999999999</v>
      </c>
      <c r="C546">
        <v>1.755978</v>
      </c>
      <c r="D546">
        <v>53.699561000000003</v>
      </c>
      <c r="E546" t="s">
        <v>18</v>
      </c>
      <c r="F546" t="s">
        <v>18</v>
      </c>
      <c r="G546">
        <v>2</v>
      </c>
      <c r="H546">
        <v>3.891994</v>
      </c>
      <c r="I546" t="s">
        <v>24</v>
      </c>
      <c r="J546" t="s">
        <v>19</v>
      </c>
      <c r="K546">
        <v>1.8639300000000001</v>
      </c>
      <c r="L546" t="s">
        <v>19</v>
      </c>
      <c r="M546">
        <v>2.8701270000000001</v>
      </c>
      <c r="N546">
        <v>2</v>
      </c>
      <c r="O546" t="s">
        <v>19</v>
      </c>
      <c r="P546" t="s">
        <v>21</v>
      </c>
      <c r="Q546" t="s">
        <v>32</v>
      </c>
    </row>
    <row r="547" spans="1:17" x14ac:dyDescent="0.2">
      <c r="A547" t="s">
        <v>17</v>
      </c>
      <c r="B547">
        <v>23</v>
      </c>
      <c r="C547">
        <v>1.728834</v>
      </c>
      <c r="D547">
        <v>51.442292999999999</v>
      </c>
      <c r="E547" t="s">
        <v>18</v>
      </c>
      <c r="F547" t="s">
        <v>18</v>
      </c>
      <c r="G547">
        <v>2</v>
      </c>
      <c r="H547">
        <v>3</v>
      </c>
      <c r="I547" t="s">
        <v>24</v>
      </c>
      <c r="J547" t="s">
        <v>19</v>
      </c>
      <c r="K547">
        <v>1.2299150000000001</v>
      </c>
      <c r="L547" t="s">
        <v>19</v>
      </c>
      <c r="M547">
        <v>0.619533</v>
      </c>
      <c r="N547">
        <v>2</v>
      </c>
      <c r="O547" t="s">
        <v>19</v>
      </c>
      <c r="P547" t="s">
        <v>21</v>
      </c>
      <c r="Q547" t="s">
        <v>32</v>
      </c>
    </row>
    <row r="548" spans="1:17" x14ac:dyDescent="0.2">
      <c r="A548" t="s">
        <v>17</v>
      </c>
      <c r="B548">
        <v>19.058510999999999</v>
      </c>
      <c r="C548">
        <v>1.6620170000000001</v>
      </c>
      <c r="D548">
        <v>49.838965000000002</v>
      </c>
      <c r="E548" t="s">
        <v>19</v>
      </c>
      <c r="F548" t="s">
        <v>18</v>
      </c>
      <c r="G548">
        <v>1.4924999999999999</v>
      </c>
      <c r="H548">
        <v>3</v>
      </c>
      <c r="I548" t="s">
        <v>20</v>
      </c>
      <c r="J548" t="s">
        <v>19</v>
      </c>
      <c r="K548">
        <v>1.049134</v>
      </c>
      <c r="L548" t="s">
        <v>19</v>
      </c>
      <c r="M548">
        <v>2</v>
      </c>
      <c r="N548">
        <v>1</v>
      </c>
      <c r="O548" t="s">
        <v>20</v>
      </c>
      <c r="P548" t="s">
        <v>21</v>
      </c>
      <c r="Q548" t="s">
        <v>32</v>
      </c>
    </row>
    <row r="549" spans="1:17" x14ac:dyDescent="0.2">
      <c r="A549" t="s">
        <v>17</v>
      </c>
      <c r="B549">
        <v>18.827007999999999</v>
      </c>
      <c r="C549">
        <v>1.7</v>
      </c>
      <c r="D549">
        <v>50</v>
      </c>
      <c r="E549" t="s">
        <v>19</v>
      </c>
      <c r="F549" t="s">
        <v>18</v>
      </c>
      <c r="G549">
        <v>1</v>
      </c>
      <c r="H549">
        <v>3.2405780000000002</v>
      </c>
      <c r="I549" t="s">
        <v>20</v>
      </c>
      <c r="J549" t="s">
        <v>19</v>
      </c>
      <c r="K549">
        <v>1</v>
      </c>
      <c r="L549" t="s">
        <v>19</v>
      </c>
      <c r="M549">
        <v>2</v>
      </c>
      <c r="N549">
        <v>1</v>
      </c>
      <c r="O549" t="s">
        <v>20</v>
      </c>
      <c r="P549" t="s">
        <v>21</v>
      </c>
      <c r="Q549" t="s">
        <v>32</v>
      </c>
    </row>
    <row r="550" spans="1:17" x14ac:dyDescent="0.2">
      <c r="A550" t="s">
        <v>17</v>
      </c>
      <c r="B550">
        <v>19.314964</v>
      </c>
      <c r="C550">
        <v>1.661403</v>
      </c>
      <c r="D550">
        <v>49.932198999999997</v>
      </c>
      <c r="E550" t="s">
        <v>19</v>
      </c>
      <c r="F550" t="s">
        <v>18</v>
      </c>
      <c r="G550">
        <v>2.2054390000000001</v>
      </c>
      <c r="H550">
        <v>3</v>
      </c>
      <c r="I550" t="s">
        <v>20</v>
      </c>
      <c r="J550" t="s">
        <v>19</v>
      </c>
      <c r="K550">
        <v>1.5305310000000001</v>
      </c>
      <c r="L550" t="s">
        <v>19</v>
      </c>
      <c r="M550">
        <v>2</v>
      </c>
      <c r="N550">
        <v>1</v>
      </c>
      <c r="O550" t="s">
        <v>20</v>
      </c>
      <c r="P550" t="s">
        <v>21</v>
      </c>
      <c r="Q550" t="s">
        <v>32</v>
      </c>
    </row>
    <row r="551" spans="1:17" x14ac:dyDescent="0.2">
      <c r="A551" t="s">
        <v>17</v>
      </c>
      <c r="B551">
        <v>29.970445000000002</v>
      </c>
      <c r="C551">
        <v>1.6108629999999999</v>
      </c>
      <c r="D551">
        <v>49.516027000000001</v>
      </c>
      <c r="E551" t="s">
        <v>18</v>
      </c>
      <c r="F551" t="s">
        <v>18</v>
      </c>
      <c r="G551">
        <v>2.0591379999999999</v>
      </c>
      <c r="H551">
        <v>3.9048579999999999</v>
      </c>
      <c r="I551" t="s">
        <v>24</v>
      </c>
      <c r="J551" t="s">
        <v>19</v>
      </c>
      <c r="K551">
        <v>2</v>
      </c>
      <c r="L551" t="s">
        <v>19</v>
      </c>
      <c r="M551">
        <v>0.82197699999999996</v>
      </c>
      <c r="N551">
        <v>0</v>
      </c>
      <c r="O551" t="s">
        <v>19</v>
      </c>
      <c r="P551" t="s">
        <v>21</v>
      </c>
      <c r="Q551" t="s">
        <v>32</v>
      </c>
    </row>
    <row r="552" spans="1:17" x14ac:dyDescent="0.2">
      <c r="A552" t="s">
        <v>17</v>
      </c>
      <c r="B552">
        <v>32.383857999999996</v>
      </c>
      <c r="C552">
        <v>1.6406879999999999</v>
      </c>
      <c r="D552">
        <v>46.655622000000001</v>
      </c>
      <c r="E552" t="s">
        <v>18</v>
      </c>
      <c r="F552" t="s">
        <v>18</v>
      </c>
      <c r="G552">
        <v>3</v>
      </c>
      <c r="H552">
        <v>3.11158</v>
      </c>
      <c r="I552" t="s">
        <v>24</v>
      </c>
      <c r="J552" t="s">
        <v>19</v>
      </c>
      <c r="K552">
        <v>2.7217690000000001</v>
      </c>
      <c r="L552" t="s">
        <v>19</v>
      </c>
      <c r="M552">
        <v>1.4428700000000001</v>
      </c>
      <c r="N552">
        <v>0</v>
      </c>
      <c r="O552" t="s">
        <v>19</v>
      </c>
      <c r="P552" t="s">
        <v>21</v>
      </c>
      <c r="Q552" t="s">
        <v>32</v>
      </c>
    </row>
    <row r="553" spans="1:17" x14ac:dyDescent="0.2">
      <c r="A553" t="s">
        <v>17</v>
      </c>
      <c r="B553">
        <v>24.163526000000001</v>
      </c>
      <c r="C553">
        <v>1.6460300000000001</v>
      </c>
      <c r="D553">
        <v>49.839685000000003</v>
      </c>
      <c r="E553" t="s">
        <v>18</v>
      </c>
      <c r="F553" t="s">
        <v>18</v>
      </c>
      <c r="G553">
        <v>3</v>
      </c>
      <c r="H553">
        <v>3.590039</v>
      </c>
      <c r="I553" t="s">
        <v>24</v>
      </c>
      <c r="J553" t="s">
        <v>19</v>
      </c>
      <c r="K553">
        <v>2.7305000000000001</v>
      </c>
      <c r="L553" t="s">
        <v>19</v>
      </c>
      <c r="M553">
        <v>0.10707800000000001</v>
      </c>
      <c r="N553">
        <v>0</v>
      </c>
      <c r="O553" t="s">
        <v>19</v>
      </c>
      <c r="P553" t="s">
        <v>21</v>
      </c>
      <c r="Q553" t="s">
        <v>32</v>
      </c>
    </row>
    <row r="554" spans="1:17" x14ac:dyDescent="0.2">
      <c r="A554" t="s">
        <v>23</v>
      </c>
      <c r="B554">
        <v>17.038222000000001</v>
      </c>
      <c r="C554">
        <v>1.710564</v>
      </c>
      <c r="D554">
        <v>51.588873999999997</v>
      </c>
      <c r="E554" t="s">
        <v>19</v>
      </c>
      <c r="F554" t="s">
        <v>18</v>
      </c>
      <c r="G554">
        <v>2</v>
      </c>
      <c r="H554">
        <v>2.0579350000000001</v>
      </c>
      <c r="I554" t="s">
        <v>20</v>
      </c>
      <c r="J554" t="s">
        <v>19</v>
      </c>
      <c r="K554">
        <v>2.3710149999999999</v>
      </c>
      <c r="L554" t="s">
        <v>19</v>
      </c>
      <c r="M554">
        <v>0.28803200000000001</v>
      </c>
      <c r="N554">
        <v>0.71462700000000001</v>
      </c>
      <c r="O554" t="s">
        <v>20</v>
      </c>
      <c r="P554" t="s">
        <v>21</v>
      </c>
      <c r="Q554" t="s">
        <v>32</v>
      </c>
    </row>
    <row r="555" spans="1:17" x14ac:dyDescent="0.2">
      <c r="A555" t="s">
        <v>23</v>
      </c>
      <c r="B555">
        <v>16.30687</v>
      </c>
      <c r="C555">
        <v>1.7527550000000001</v>
      </c>
      <c r="D555">
        <v>50</v>
      </c>
      <c r="E555" t="s">
        <v>19</v>
      </c>
      <c r="F555" t="s">
        <v>18</v>
      </c>
      <c r="G555">
        <v>2.3104230000000001</v>
      </c>
      <c r="H555">
        <v>3.5586370000000001</v>
      </c>
      <c r="I555" t="s">
        <v>20</v>
      </c>
      <c r="J555" t="s">
        <v>19</v>
      </c>
      <c r="K555">
        <v>1.7878430000000001</v>
      </c>
      <c r="L555" t="s">
        <v>19</v>
      </c>
      <c r="M555">
        <v>1.9265920000000001</v>
      </c>
      <c r="N555">
        <v>0.82854899999999998</v>
      </c>
      <c r="O555" t="s">
        <v>20</v>
      </c>
      <c r="P555" t="s">
        <v>21</v>
      </c>
      <c r="Q555" t="s">
        <v>32</v>
      </c>
    </row>
    <row r="556" spans="1:17" x14ac:dyDescent="0.2">
      <c r="A556" t="s">
        <v>23</v>
      </c>
      <c r="B556">
        <v>16.198153000000001</v>
      </c>
      <c r="C556">
        <v>1.6910069999999999</v>
      </c>
      <c r="D556">
        <v>52.629373999999999</v>
      </c>
      <c r="E556" t="s">
        <v>19</v>
      </c>
      <c r="F556" t="s">
        <v>18</v>
      </c>
      <c r="G556">
        <v>2</v>
      </c>
      <c r="H556">
        <v>2.0009860000000002</v>
      </c>
      <c r="I556" t="s">
        <v>20</v>
      </c>
      <c r="J556" t="s">
        <v>19</v>
      </c>
      <c r="K556">
        <v>2.673835</v>
      </c>
      <c r="L556" t="s">
        <v>19</v>
      </c>
      <c r="M556">
        <v>0.99295</v>
      </c>
      <c r="N556">
        <v>0.47483599999999998</v>
      </c>
      <c r="O556" t="s">
        <v>20</v>
      </c>
      <c r="P556" t="s">
        <v>21</v>
      </c>
      <c r="Q556" t="s">
        <v>32</v>
      </c>
    </row>
    <row r="557" spans="1:17" x14ac:dyDescent="0.2">
      <c r="A557" t="s">
        <v>23</v>
      </c>
      <c r="B557">
        <v>18</v>
      </c>
      <c r="C557">
        <v>1.753349</v>
      </c>
      <c r="D557">
        <v>51.457225999999999</v>
      </c>
      <c r="E557" t="s">
        <v>19</v>
      </c>
      <c r="F557" t="s">
        <v>18</v>
      </c>
      <c r="G557">
        <v>2.8231790000000001</v>
      </c>
      <c r="H557">
        <v>3</v>
      </c>
      <c r="I557" t="s">
        <v>20</v>
      </c>
      <c r="J557" t="s">
        <v>19</v>
      </c>
      <c r="K557">
        <v>1.773236</v>
      </c>
      <c r="L557" t="s">
        <v>19</v>
      </c>
      <c r="M557">
        <v>1.252472</v>
      </c>
      <c r="N557">
        <v>1</v>
      </c>
      <c r="O557" t="s">
        <v>20</v>
      </c>
      <c r="P557" t="s">
        <v>21</v>
      </c>
      <c r="Q557" t="s">
        <v>32</v>
      </c>
    </row>
    <row r="558" spans="1:17" x14ac:dyDescent="0.2">
      <c r="A558" t="s">
        <v>23</v>
      </c>
      <c r="B558">
        <v>18</v>
      </c>
      <c r="C558">
        <v>1.7815430000000001</v>
      </c>
      <c r="D558">
        <v>50.869703999999999</v>
      </c>
      <c r="E558" t="s">
        <v>19</v>
      </c>
      <c r="F558" t="s">
        <v>18</v>
      </c>
      <c r="G558">
        <v>2.0529320000000002</v>
      </c>
      <c r="H558">
        <v>3</v>
      </c>
      <c r="I558" t="s">
        <v>20</v>
      </c>
      <c r="J558" t="s">
        <v>19</v>
      </c>
      <c r="K558">
        <v>2</v>
      </c>
      <c r="L558" t="s">
        <v>19</v>
      </c>
      <c r="M558">
        <v>0.52040799999999998</v>
      </c>
      <c r="N558">
        <v>1</v>
      </c>
      <c r="O558" t="s">
        <v>20</v>
      </c>
      <c r="P558" t="s">
        <v>21</v>
      </c>
      <c r="Q558" t="s">
        <v>32</v>
      </c>
    </row>
    <row r="559" spans="1:17" x14ac:dyDescent="0.2">
      <c r="A559" t="s">
        <v>23</v>
      </c>
      <c r="B559">
        <v>18</v>
      </c>
      <c r="C559">
        <v>1.7558229999999999</v>
      </c>
      <c r="D559">
        <v>52.331172000000002</v>
      </c>
      <c r="E559" t="s">
        <v>19</v>
      </c>
      <c r="F559" t="s">
        <v>18</v>
      </c>
      <c r="G559">
        <v>2.5963639999999999</v>
      </c>
      <c r="H559">
        <v>3</v>
      </c>
      <c r="I559" t="s">
        <v>20</v>
      </c>
      <c r="J559" t="s">
        <v>19</v>
      </c>
      <c r="K559">
        <v>2</v>
      </c>
      <c r="L559" t="s">
        <v>19</v>
      </c>
      <c r="M559">
        <v>0.28173399999999998</v>
      </c>
      <c r="N559">
        <v>1.488372</v>
      </c>
      <c r="O559" t="s">
        <v>20</v>
      </c>
      <c r="P559" t="s">
        <v>21</v>
      </c>
      <c r="Q559" t="s">
        <v>32</v>
      </c>
    </row>
    <row r="560" spans="1:17" x14ac:dyDescent="0.2">
      <c r="A560" t="s">
        <v>23</v>
      </c>
      <c r="B560">
        <v>17.486868999999999</v>
      </c>
      <c r="C560">
        <v>1.8366690000000001</v>
      </c>
      <c r="D560">
        <v>58.943347000000003</v>
      </c>
      <c r="E560" t="s">
        <v>18</v>
      </c>
      <c r="F560" t="s">
        <v>18</v>
      </c>
      <c r="G560">
        <v>2.7677309999999999</v>
      </c>
      <c r="H560">
        <v>3.8211680000000001</v>
      </c>
      <c r="I560" t="s">
        <v>20</v>
      </c>
      <c r="J560" t="s">
        <v>19</v>
      </c>
      <c r="K560">
        <v>2</v>
      </c>
      <c r="L560" t="s">
        <v>19</v>
      </c>
      <c r="M560">
        <v>2</v>
      </c>
      <c r="N560">
        <v>0.55624499999999999</v>
      </c>
      <c r="O560" t="s">
        <v>19</v>
      </c>
      <c r="P560" t="s">
        <v>28</v>
      </c>
      <c r="Q560" t="s">
        <v>32</v>
      </c>
    </row>
    <row r="561" spans="1:17" x14ac:dyDescent="0.2">
      <c r="A561" t="s">
        <v>23</v>
      </c>
      <c r="B561">
        <v>19.920629000000002</v>
      </c>
      <c r="C561">
        <v>1.7684930000000001</v>
      </c>
      <c r="D561">
        <v>57.790381000000004</v>
      </c>
      <c r="E561" t="s">
        <v>18</v>
      </c>
      <c r="F561" t="s">
        <v>18</v>
      </c>
      <c r="G561">
        <v>2</v>
      </c>
      <c r="H561">
        <v>3.897078</v>
      </c>
      <c r="I561" t="s">
        <v>20</v>
      </c>
      <c r="J561" t="s">
        <v>19</v>
      </c>
      <c r="K561">
        <v>2.6226379999999998</v>
      </c>
      <c r="L561" t="s">
        <v>19</v>
      </c>
      <c r="M561">
        <v>2</v>
      </c>
      <c r="N561">
        <v>1.8941049999999999</v>
      </c>
      <c r="O561" t="s">
        <v>19</v>
      </c>
      <c r="P561" t="s">
        <v>28</v>
      </c>
      <c r="Q561" t="s">
        <v>32</v>
      </c>
    </row>
    <row r="562" spans="1:17" x14ac:dyDescent="0.2">
      <c r="A562" t="s">
        <v>23</v>
      </c>
      <c r="B562">
        <v>18.426618999999999</v>
      </c>
      <c r="C562">
        <v>1.7771079999999999</v>
      </c>
      <c r="D562">
        <v>57.145916999999997</v>
      </c>
      <c r="E562" t="s">
        <v>18</v>
      </c>
      <c r="F562" t="s">
        <v>18</v>
      </c>
      <c r="G562">
        <v>2</v>
      </c>
      <c r="H562">
        <v>3.0921159999999999</v>
      </c>
      <c r="I562" t="s">
        <v>20</v>
      </c>
      <c r="J562" t="s">
        <v>19</v>
      </c>
      <c r="K562">
        <v>2.4264649999999999</v>
      </c>
      <c r="L562" t="s">
        <v>19</v>
      </c>
      <c r="M562">
        <v>2</v>
      </c>
      <c r="N562">
        <v>1.8398620000000001</v>
      </c>
      <c r="O562" t="s">
        <v>19</v>
      </c>
      <c r="P562" t="s">
        <v>28</v>
      </c>
      <c r="Q562" t="s">
        <v>32</v>
      </c>
    </row>
    <row r="563" spans="1:17" x14ac:dyDescent="0.2">
      <c r="A563" t="s">
        <v>17</v>
      </c>
      <c r="B563">
        <v>17.082867</v>
      </c>
      <c r="C563">
        <v>1.6408240000000001</v>
      </c>
      <c r="D563">
        <v>43.365004999999996</v>
      </c>
      <c r="E563" t="s">
        <v>19</v>
      </c>
      <c r="F563" t="s">
        <v>18</v>
      </c>
      <c r="G563">
        <v>2.8151570000000001</v>
      </c>
      <c r="H563">
        <v>3</v>
      </c>
      <c r="I563" t="s">
        <v>20</v>
      </c>
      <c r="J563" t="s">
        <v>19</v>
      </c>
      <c r="K563">
        <v>2.911187</v>
      </c>
      <c r="L563" t="s">
        <v>19</v>
      </c>
      <c r="M563">
        <v>2.5951279999999999</v>
      </c>
      <c r="N563">
        <v>1.380204</v>
      </c>
      <c r="O563" t="s">
        <v>20</v>
      </c>
      <c r="P563" t="s">
        <v>21</v>
      </c>
      <c r="Q563" t="s">
        <v>32</v>
      </c>
    </row>
    <row r="564" spans="1:17" x14ac:dyDescent="0.2">
      <c r="A564" t="s">
        <v>17</v>
      </c>
      <c r="B564">
        <v>17.000433000000001</v>
      </c>
      <c r="C564">
        <v>1.584951</v>
      </c>
      <c r="D564">
        <v>44.411800999999997</v>
      </c>
      <c r="E564" t="s">
        <v>19</v>
      </c>
      <c r="F564" t="s">
        <v>18</v>
      </c>
      <c r="G564">
        <v>2.737762</v>
      </c>
      <c r="H564">
        <v>3</v>
      </c>
      <c r="I564" t="s">
        <v>20</v>
      </c>
      <c r="J564" t="s">
        <v>19</v>
      </c>
      <c r="K564">
        <v>2.310921</v>
      </c>
      <c r="L564" t="s">
        <v>19</v>
      </c>
      <c r="M564">
        <v>2.2407140000000001</v>
      </c>
      <c r="N564">
        <v>1.59257</v>
      </c>
      <c r="O564" t="s">
        <v>20</v>
      </c>
      <c r="P564" t="s">
        <v>21</v>
      </c>
      <c r="Q564" t="s">
        <v>32</v>
      </c>
    </row>
    <row r="565" spans="1:17" x14ac:dyDescent="0.2">
      <c r="A565" t="s">
        <v>17</v>
      </c>
      <c r="B565">
        <v>16.270434000000002</v>
      </c>
      <c r="C565">
        <v>1.818268</v>
      </c>
      <c r="D565">
        <v>47.124716999999997</v>
      </c>
      <c r="E565" t="s">
        <v>19</v>
      </c>
      <c r="F565" t="s">
        <v>18</v>
      </c>
      <c r="G565">
        <v>3</v>
      </c>
      <c r="H565">
        <v>3.2864309999999999</v>
      </c>
      <c r="I565" t="s">
        <v>20</v>
      </c>
      <c r="J565" t="s">
        <v>19</v>
      </c>
      <c r="K565">
        <v>2.1481460000000001</v>
      </c>
      <c r="L565" t="s">
        <v>19</v>
      </c>
      <c r="M565">
        <v>2.458237</v>
      </c>
      <c r="N565">
        <v>1.273333</v>
      </c>
      <c r="O565" t="s">
        <v>20</v>
      </c>
      <c r="P565" t="s">
        <v>21</v>
      </c>
      <c r="Q565" t="s">
        <v>32</v>
      </c>
    </row>
    <row r="566" spans="1:17" x14ac:dyDescent="0.2">
      <c r="A566" t="s">
        <v>23</v>
      </c>
      <c r="B566">
        <v>17.908114000000001</v>
      </c>
      <c r="C566">
        <v>1.7939259999999999</v>
      </c>
      <c r="D566">
        <v>59.682591000000002</v>
      </c>
      <c r="E566" t="s">
        <v>18</v>
      </c>
      <c r="F566" t="s">
        <v>18</v>
      </c>
      <c r="G566">
        <v>2.568063</v>
      </c>
      <c r="H566">
        <v>4</v>
      </c>
      <c r="I566" t="s">
        <v>20</v>
      </c>
      <c r="J566" t="s">
        <v>19</v>
      </c>
      <c r="K566">
        <v>2</v>
      </c>
      <c r="L566" t="s">
        <v>19</v>
      </c>
      <c r="M566">
        <v>2</v>
      </c>
      <c r="N566">
        <v>0.220029</v>
      </c>
      <c r="O566" t="s">
        <v>19</v>
      </c>
      <c r="P566" t="s">
        <v>28</v>
      </c>
      <c r="Q566" t="s">
        <v>32</v>
      </c>
    </row>
    <row r="567" spans="1:17" x14ac:dyDescent="0.2">
      <c r="A567" t="s">
        <v>23</v>
      </c>
      <c r="B567">
        <v>17.120698999999998</v>
      </c>
      <c r="C567">
        <v>1.8092509999999999</v>
      </c>
      <c r="D567">
        <v>58.968994000000002</v>
      </c>
      <c r="E567" t="s">
        <v>18</v>
      </c>
      <c r="F567" t="s">
        <v>18</v>
      </c>
      <c r="G567">
        <v>2.5244279999999999</v>
      </c>
      <c r="H567">
        <v>4</v>
      </c>
      <c r="I567" t="s">
        <v>20</v>
      </c>
      <c r="J567" t="s">
        <v>19</v>
      </c>
      <c r="K567">
        <v>2</v>
      </c>
      <c r="L567" t="s">
        <v>19</v>
      </c>
      <c r="M567">
        <v>2</v>
      </c>
      <c r="N567">
        <v>3.8379999999999997E-2</v>
      </c>
      <c r="O567" t="s">
        <v>19</v>
      </c>
      <c r="P567" t="s">
        <v>28</v>
      </c>
      <c r="Q567" t="s">
        <v>32</v>
      </c>
    </row>
    <row r="568" spans="1:17" x14ac:dyDescent="0.2">
      <c r="A568" t="s">
        <v>23</v>
      </c>
      <c r="B568">
        <v>19.329542</v>
      </c>
      <c r="C568">
        <v>1.7673350000000001</v>
      </c>
      <c r="D568">
        <v>55.700496999999999</v>
      </c>
      <c r="E568" t="s">
        <v>18</v>
      </c>
      <c r="F568" t="s">
        <v>18</v>
      </c>
      <c r="G568">
        <v>2</v>
      </c>
      <c r="H568">
        <v>4</v>
      </c>
      <c r="I568" t="s">
        <v>20</v>
      </c>
      <c r="J568" t="s">
        <v>19</v>
      </c>
      <c r="K568">
        <v>2.1573950000000002</v>
      </c>
      <c r="L568" t="s">
        <v>19</v>
      </c>
      <c r="M568">
        <v>2</v>
      </c>
      <c r="N568">
        <v>1.679149</v>
      </c>
      <c r="O568" t="s">
        <v>19</v>
      </c>
      <c r="P568" t="s">
        <v>28</v>
      </c>
      <c r="Q568" t="s">
        <v>32</v>
      </c>
    </row>
    <row r="569" spans="1:17" x14ac:dyDescent="0.2">
      <c r="A569" t="s">
        <v>17</v>
      </c>
      <c r="B569">
        <v>22.377998000000002</v>
      </c>
      <c r="C569">
        <v>1.699568</v>
      </c>
      <c r="D569">
        <v>54.987740000000002</v>
      </c>
      <c r="E569" t="s">
        <v>18</v>
      </c>
      <c r="F569" t="s">
        <v>18</v>
      </c>
      <c r="G569">
        <v>3</v>
      </c>
      <c r="H569">
        <v>3</v>
      </c>
      <c r="I569" t="s">
        <v>24</v>
      </c>
      <c r="J569" t="s">
        <v>19</v>
      </c>
      <c r="K569">
        <v>2</v>
      </c>
      <c r="L569" t="s">
        <v>19</v>
      </c>
      <c r="M569">
        <v>0.13980799999999999</v>
      </c>
      <c r="N569">
        <v>0.87546400000000002</v>
      </c>
      <c r="O569" t="s">
        <v>19</v>
      </c>
      <c r="P569" t="s">
        <v>21</v>
      </c>
      <c r="Q569" t="s">
        <v>32</v>
      </c>
    </row>
    <row r="570" spans="1:17" x14ac:dyDescent="0.2">
      <c r="A570" t="s">
        <v>17</v>
      </c>
      <c r="B570">
        <v>20.954955000000002</v>
      </c>
      <c r="C570">
        <v>1.759358</v>
      </c>
      <c r="D570">
        <v>55.010449999999999</v>
      </c>
      <c r="E570" t="s">
        <v>18</v>
      </c>
      <c r="F570" t="s">
        <v>18</v>
      </c>
      <c r="G570">
        <v>2.9715739999999999</v>
      </c>
      <c r="H570">
        <v>3.5924149999999999</v>
      </c>
      <c r="I570" t="s">
        <v>24</v>
      </c>
      <c r="J570" t="s">
        <v>19</v>
      </c>
      <c r="K570">
        <v>2.8946779999999999</v>
      </c>
      <c r="L570" t="s">
        <v>19</v>
      </c>
      <c r="M570">
        <v>2</v>
      </c>
      <c r="N570">
        <v>1.0096320000000001</v>
      </c>
      <c r="O570" t="s">
        <v>19</v>
      </c>
      <c r="P570" t="s">
        <v>21</v>
      </c>
      <c r="Q570" t="s">
        <v>32</v>
      </c>
    </row>
    <row r="571" spans="1:17" x14ac:dyDescent="0.2">
      <c r="A571" t="s">
        <v>17</v>
      </c>
      <c r="B571">
        <v>22.991668000000001</v>
      </c>
      <c r="C571">
        <v>1.7402949999999999</v>
      </c>
      <c r="D571">
        <v>54.166452999999997</v>
      </c>
      <c r="E571" t="s">
        <v>18</v>
      </c>
      <c r="F571" t="s">
        <v>18</v>
      </c>
      <c r="G571">
        <v>3</v>
      </c>
      <c r="H571">
        <v>3</v>
      </c>
      <c r="I571" t="s">
        <v>24</v>
      </c>
      <c r="J571" t="s">
        <v>19</v>
      </c>
      <c r="K571">
        <v>2.0252789999999998</v>
      </c>
      <c r="L571" t="s">
        <v>19</v>
      </c>
      <c r="M571">
        <v>2</v>
      </c>
      <c r="N571">
        <v>0.15298500000000001</v>
      </c>
      <c r="O571" t="s">
        <v>19</v>
      </c>
      <c r="P571" t="s">
        <v>21</v>
      </c>
      <c r="Q571" t="s">
        <v>32</v>
      </c>
    </row>
    <row r="572" spans="1:17" x14ac:dyDescent="0.2">
      <c r="A572" t="s">
        <v>17</v>
      </c>
      <c r="B572">
        <v>19.300435</v>
      </c>
      <c r="C572">
        <v>1.7393540000000001</v>
      </c>
      <c r="D572">
        <v>49.649613000000002</v>
      </c>
      <c r="E572" t="s">
        <v>19</v>
      </c>
      <c r="F572" t="s">
        <v>18</v>
      </c>
      <c r="G572">
        <v>3</v>
      </c>
      <c r="H572">
        <v>3.7545989999999998</v>
      </c>
      <c r="I572" t="s">
        <v>20</v>
      </c>
      <c r="J572" t="s">
        <v>19</v>
      </c>
      <c r="K572">
        <v>1.6921120000000001</v>
      </c>
      <c r="L572" t="s">
        <v>19</v>
      </c>
      <c r="M572">
        <v>2</v>
      </c>
      <c r="N572">
        <v>1</v>
      </c>
      <c r="O572" t="s">
        <v>20</v>
      </c>
      <c r="P572" t="s">
        <v>21</v>
      </c>
      <c r="Q572" t="s">
        <v>32</v>
      </c>
    </row>
    <row r="573" spans="1:17" x14ac:dyDescent="0.2">
      <c r="A573" t="s">
        <v>17</v>
      </c>
      <c r="B573">
        <v>17.065445</v>
      </c>
      <c r="C573">
        <v>1.6478109999999999</v>
      </c>
      <c r="D573">
        <v>49.603807000000003</v>
      </c>
      <c r="E573" t="s">
        <v>19</v>
      </c>
      <c r="F573" t="s">
        <v>18</v>
      </c>
      <c r="G573">
        <v>3</v>
      </c>
      <c r="H573">
        <v>3.5660820000000002</v>
      </c>
      <c r="I573" t="s">
        <v>20</v>
      </c>
      <c r="J573" t="s">
        <v>19</v>
      </c>
      <c r="K573">
        <v>1.4383980000000001</v>
      </c>
      <c r="L573" t="s">
        <v>19</v>
      </c>
      <c r="M573">
        <v>2</v>
      </c>
      <c r="N573">
        <v>1</v>
      </c>
      <c r="O573" t="s">
        <v>20</v>
      </c>
      <c r="P573" t="s">
        <v>21</v>
      </c>
      <c r="Q573" t="s">
        <v>32</v>
      </c>
    </row>
    <row r="574" spans="1:17" x14ac:dyDescent="0.2">
      <c r="A574" t="s">
        <v>17</v>
      </c>
      <c r="B574">
        <v>19.084966999999999</v>
      </c>
      <c r="C574">
        <v>1.768435</v>
      </c>
      <c r="D574">
        <v>49.597765000000003</v>
      </c>
      <c r="E574" t="s">
        <v>19</v>
      </c>
      <c r="F574" t="s">
        <v>18</v>
      </c>
      <c r="G574">
        <v>3</v>
      </c>
      <c r="H574">
        <v>3.725797</v>
      </c>
      <c r="I574" t="s">
        <v>20</v>
      </c>
      <c r="J574" t="s">
        <v>19</v>
      </c>
      <c r="K574">
        <v>1.1914009999999999</v>
      </c>
      <c r="L574" t="s">
        <v>19</v>
      </c>
      <c r="M574">
        <v>2</v>
      </c>
      <c r="N574">
        <v>1</v>
      </c>
      <c r="O574" t="s">
        <v>20</v>
      </c>
      <c r="P574" t="s">
        <v>21</v>
      </c>
      <c r="Q574" t="s">
        <v>32</v>
      </c>
    </row>
    <row r="575" spans="1:17" x14ac:dyDescent="0.2">
      <c r="A575" t="s">
        <v>17</v>
      </c>
      <c r="B575">
        <v>18.024853</v>
      </c>
      <c r="C575">
        <v>1.7</v>
      </c>
      <c r="D575">
        <v>50</v>
      </c>
      <c r="E575" t="s">
        <v>19</v>
      </c>
      <c r="F575" t="s">
        <v>18</v>
      </c>
      <c r="G575">
        <v>1.0815999999999999</v>
      </c>
      <c r="H575">
        <v>3.5205549999999999</v>
      </c>
      <c r="I575" t="s">
        <v>24</v>
      </c>
      <c r="J575" t="s">
        <v>19</v>
      </c>
      <c r="K575">
        <v>1.0169680000000001</v>
      </c>
      <c r="L575" t="s">
        <v>19</v>
      </c>
      <c r="M575">
        <v>0.65141199999999999</v>
      </c>
      <c r="N575">
        <v>1</v>
      </c>
      <c r="O575" t="s">
        <v>20</v>
      </c>
      <c r="P575" t="s">
        <v>21</v>
      </c>
      <c r="Q575" t="s">
        <v>32</v>
      </c>
    </row>
    <row r="576" spans="1:17" x14ac:dyDescent="0.2">
      <c r="A576" t="s">
        <v>17</v>
      </c>
      <c r="B576">
        <v>19.833682</v>
      </c>
      <c r="C576">
        <v>1.6994640000000001</v>
      </c>
      <c r="D576">
        <v>49.676045999999999</v>
      </c>
      <c r="E576" t="s">
        <v>19</v>
      </c>
      <c r="F576" t="s">
        <v>18</v>
      </c>
      <c r="G576">
        <v>1.270448</v>
      </c>
      <c r="H576">
        <v>3.7312120000000002</v>
      </c>
      <c r="I576" t="s">
        <v>24</v>
      </c>
      <c r="J576" t="s">
        <v>19</v>
      </c>
      <c r="K576">
        <v>1.8769149999999999</v>
      </c>
      <c r="L576" t="s">
        <v>19</v>
      </c>
      <c r="M576">
        <v>2</v>
      </c>
      <c r="N576">
        <v>1</v>
      </c>
      <c r="O576" t="s">
        <v>20</v>
      </c>
      <c r="P576" t="s">
        <v>21</v>
      </c>
      <c r="Q576" t="s">
        <v>32</v>
      </c>
    </row>
    <row r="577" spans="1:17" x14ac:dyDescent="0.2">
      <c r="A577" t="s">
        <v>17</v>
      </c>
      <c r="B577">
        <v>17.767431999999999</v>
      </c>
      <c r="C577">
        <v>1.74379</v>
      </c>
      <c r="D577">
        <v>50</v>
      </c>
      <c r="E577" t="s">
        <v>19</v>
      </c>
      <c r="F577" t="s">
        <v>18</v>
      </c>
      <c r="G577">
        <v>1.344854</v>
      </c>
      <c r="H577">
        <v>4</v>
      </c>
      <c r="I577" t="s">
        <v>24</v>
      </c>
      <c r="J577" t="s">
        <v>19</v>
      </c>
      <c r="K577">
        <v>1</v>
      </c>
      <c r="L577" t="s">
        <v>19</v>
      </c>
      <c r="M577">
        <v>2</v>
      </c>
      <c r="N577">
        <v>1</v>
      </c>
      <c r="O577" t="s">
        <v>20</v>
      </c>
      <c r="P577" t="s">
        <v>21</v>
      </c>
      <c r="Q577" t="s">
        <v>32</v>
      </c>
    </row>
    <row r="578" spans="1:17" x14ac:dyDescent="0.2">
      <c r="A578" t="s">
        <v>17</v>
      </c>
      <c r="B578">
        <v>19.504695999999999</v>
      </c>
      <c r="C578">
        <v>1.590317</v>
      </c>
      <c r="D578">
        <v>42.367615000000001</v>
      </c>
      <c r="E578" t="s">
        <v>19</v>
      </c>
      <c r="F578" t="s">
        <v>19</v>
      </c>
      <c r="G578">
        <v>2.9596580000000001</v>
      </c>
      <c r="H578">
        <v>3</v>
      </c>
      <c r="I578" t="s">
        <v>24</v>
      </c>
      <c r="J578" t="s">
        <v>19</v>
      </c>
      <c r="K578">
        <v>1</v>
      </c>
      <c r="L578" t="s">
        <v>19</v>
      </c>
      <c r="M578">
        <v>1.5223990000000001</v>
      </c>
      <c r="N578">
        <v>0</v>
      </c>
      <c r="O578" t="s">
        <v>20</v>
      </c>
      <c r="P578" t="s">
        <v>21</v>
      </c>
      <c r="Q578" t="s">
        <v>32</v>
      </c>
    </row>
    <row r="579" spans="1:17" x14ac:dyDescent="0.2">
      <c r="A579" t="s">
        <v>17</v>
      </c>
      <c r="B579">
        <v>19.950604999999999</v>
      </c>
      <c r="C579">
        <v>1.5271330000000001</v>
      </c>
      <c r="D579">
        <v>42</v>
      </c>
      <c r="E579" t="s">
        <v>19</v>
      </c>
      <c r="F579" t="s">
        <v>19</v>
      </c>
      <c r="G579">
        <v>2.725282</v>
      </c>
      <c r="H579">
        <v>1.259803</v>
      </c>
      <c r="I579" t="s">
        <v>24</v>
      </c>
      <c r="J579" t="s">
        <v>19</v>
      </c>
      <c r="K579">
        <v>1</v>
      </c>
      <c r="L579" t="s">
        <v>19</v>
      </c>
      <c r="M579">
        <v>1.3746700000000001</v>
      </c>
      <c r="N579">
        <v>0</v>
      </c>
      <c r="O579" t="s">
        <v>20</v>
      </c>
      <c r="P579" t="s">
        <v>21</v>
      </c>
      <c r="Q579" t="s">
        <v>32</v>
      </c>
    </row>
    <row r="580" spans="1:17" x14ac:dyDescent="0.2">
      <c r="A580" t="s">
        <v>17</v>
      </c>
      <c r="B580">
        <v>19</v>
      </c>
      <c r="C580">
        <v>1.530875</v>
      </c>
      <c r="D580">
        <v>42</v>
      </c>
      <c r="E580" t="s">
        <v>19</v>
      </c>
      <c r="F580" t="s">
        <v>19</v>
      </c>
      <c r="G580">
        <v>2.8446069999999999</v>
      </c>
      <c r="H580">
        <v>1.273128</v>
      </c>
      <c r="I580" t="s">
        <v>24</v>
      </c>
      <c r="J580" t="s">
        <v>19</v>
      </c>
      <c r="K580">
        <v>1.6955100000000001</v>
      </c>
      <c r="L580" t="s">
        <v>19</v>
      </c>
      <c r="M580">
        <v>0.260079</v>
      </c>
      <c r="N580">
        <v>0.63586699999999996</v>
      </c>
      <c r="O580" t="s">
        <v>20</v>
      </c>
      <c r="P580" t="s">
        <v>21</v>
      </c>
      <c r="Q580" t="s">
        <v>32</v>
      </c>
    </row>
    <row r="581" spans="1:17" x14ac:dyDescent="0.2">
      <c r="A581" t="s">
        <v>23</v>
      </c>
      <c r="B581">
        <v>17</v>
      </c>
      <c r="C581">
        <v>1.8482940000000001</v>
      </c>
      <c r="D581">
        <v>59.409018000000003</v>
      </c>
      <c r="E581" t="s">
        <v>18</v>
      </c>
      <c r="F581" t="s">
        <v>18</v>
      </c>
      <c r="G581">
        <v>2.4400400000000002</v>
      </c>
      <c r="H581">
        <v>3</v>
      </c>
      <c r="I581" t="s">
        <v>20</v>
      </c>
      <c r="J581" t="s">
        <v>19</v>
      </c>
      <c r="K581">
        <v>2</v>
      </c>
      <c r="L581" t="s">
        <v>19</v>
      </c>
      <c r="M581">
        <v>2.7844709999999999</v>
      </c>
      <c r="N581">
        <v>1</v>
      </c>
      <c r="O581" t="s">
        <v>19</v>
      </c>
      <c r="P581" t="s">
        <v>28</v>
      </c>
      <c r="Q581" t="s">
        <v>32</v>
      </c>
    </row>
    <row r="582" spans="1:17" x14ac:dyDescent="0.2">
      <c r="A582" t="s">
        <v>23</v>
      </c>
      <c r="B582">
        <v>17</v>
      </c>
      <c r="C582">
        <v>1.824414</v>
      </c>
      <c r="D582">
        <v>59.295172000000001</v>
      </c>
      <c r="E582" t="s">
        <v>18</v>
      </c>
      <c r="F582" t="s">
        <v>18</v>
      </c>
      <c r="G582">
        <v>2.432302</v>
      </c>
      <c r="H582">
        <v>3</v>
      </c>
      <c r="I582" t="s">
        <v>20</v>
      </c>
      <c r="J582" t="s">
        <v>19</v>
      </c>
      <c r="K582">
        <v>2</v>
      </c>
      <c r="L582" t="s">
        <v>19</v>
      </c>
      <c r="M582">
        <v>2.3494950000000001</v>
      </c>
      <c r="N582">
        <v>1</v>
      </c>
      <c r="O582" t="s">
        <v>19</v>
      </c>
      <c r="P582" t="s">
        <v>28</v>
      </c>
      <c r="Q582" t="s">
        <v>32</v>
      </c>
    </row>
    <row r="583" spans="1:17" x14ac:dyDescent="0.2">
      <c r="A583" t="s">
        <v>23</v>
      </c>
      <c r="B583">
        <v>18.525524999999998</v>
      </c>
      <c r="C583">
        <v>1.856633</v>
      </c>
      <c r="D583">
        <v>59.258372000000001</v>
      </c>
      <c r="E583" t="s">
        <v>18</v>
      </c>
      <c r="F583" t="s">
        <v>18</v>
      </c>
      <c r="G583">
        <v>2.592247</v>
      </c>
      <c r="H583">
        <v>3.3041230000000001</v>
      </c>
      <c r="I583" t="s">
        <v>20</v>
      </c>
      <c r="J583" t="s">
        <v>19</v>
      </c>
      <c r="K583">
        <v>2.0367639999999998</v>
      </c>
      <c r="L583" t="s">
        <v>19</v>
      </c>
      <c r="M583">
        <v>2.038653</v>
      </c>
      <c r="N583">
        <v>1.119877</v>
      </c>
      <c r="O583" t="s">
        <v>19</v>
      </c>
      <c r="P583" t="s">
        <v>28</v>
      </c>
      <c r="Q583" t="s">
        <v>32</v>
      </c>
    </row>
    <row r="584" spans="1:17" x14ac:dyDescent="0.2">
      <c r="A584" t="s">
        <v>17</v>
      </c>
      <c r="B584">
        <v>22.926352000000001</v>
      </c>
      <c r="C584">
        <v>1.715597</v>
      </c>
      <c r="D584">
        <v>50</v>
      </c>
      <c r="E584" t="s">
        <v>18</v>
      </c>
      <c r="F584" t="s">
        <v>18</v>
      </c>
      <c r="G584">
        <v>2.4492669999999999</v>
      </c>
      <c r="H584">
        <v>3.647154</v>
      </c>
      <c r="I584" t="s">
        <v>24</v>
      </c>
      <c r="J584" t="s">
        <v>19</v>
      </c>
      <c r="K584">
        <v>1.2660180000000001</v>
      </c>
      <c r="L584" t="s">
        <v>19</v>
      </c>
      <c r="M584">
        <v>0.86604499999999995</v>
      </c>
      <c r="N584">
        <v>9.7234000000000001E-2</v>
      </c>
      <c r="O584" t="s">
        <v>19</v>
      </c>
      <c r="P584" t="s">
        <v>21</v>
      </c>
      <c r="Q584" t="s">
        <v>32</v>
      </c>
    </row>
    <row r="585" spans="1:17" x14ac:dyDescent="0.2">
      <c r="A585" t="s">
        <v>17</v>
      </c>
      <c r="B585">
        <v>21.785350999999999</v>
      </c>
      <c r="C585">
        <v>1.675054</v>
      </c>
      <c r="D585">
        <v>49.945233000000002</v>
      </c>
      <c r="E585" t="s">
        <v>18</v>
      </c>
      <c r="F585" t="s">
        <v>18</v>
      </c>
      <c r="G585">
        <v>2.9298890000000002</v>
      </c>
      <c r="H585">
        <v>3</v>
      </c>
      <c r="I585" t="s">
        <v>24</v>
      </c>
      <c r="J585" t="s">
        <v>19</v>
      </c>
      <c r="K585">
        <v>2.7920739999999999</v>
      </c>
      <c r="L585" t="s">
        <v>19</v>
      </c>
      <c r="M585">
        <v>0.63094399999999995</v>
      </c>
      <c r="N585">
        <v>1.366355</v>
      </c>
      <c r="O585" t="s">
        <v>19</v>
      </c>
      <c r="P585" t="s">
        <v>21</v>
      </c>
      <c r="Q585" t="s">
        <v>32</v>
      </c>
    </row>
    <row r="586" spans="1:17" x14ac:dyDescent="0.2">
      <c r="A586" t="s">
        <v>17</v>
      </c>
      <c r="B586">
        <v>23</v>
      </c>
      <c r="C586">
        <v>1.7176009999999999</v>
      </c>
      <c r="D586">
        <v>51.073917999999999</v>
      </c>
      <c r="E586" t="s">
        <v>18</v>
      </c>
      <c r="F586" t="s">
        <v>18</v>
      </c>
      <c r="G586">
        <v>2</v>
      </c>
      <c r="H586">
        <v>3</v>
      </c>
      <c r="I586" t="s">
        <v>24</v>
      </c>
      <c r="J586" t="s">
        <v>19</v>
      </c>
      <c r="K586">
        <v>1.426874</v>
      </c>
      <c r="L586" t="s">
        <v>19</v>
      </c>
      <c r="M586">
        <v>2.20208</v>
      </c>
      <c r="N586">
        <v>2</v>
      </c>
      <c r="O586" t="s">
        <v>19</v>
      </c>
      <c r="P586" t="s">
        <v>21</v>
      </c>
      <c r="Q586" t="s">
        <v>32</v>
      </c>
    </row>
    <row r="587" spans="1:17" x14ac:dyDescent="0.2">
      <c r="A587" t="s">
        <v>17</v>
      </c>
      <c r="B587">
        <v>17.402028000000001</v>
      </c>
      <c r="C587">
        <v>1.7107559999999999</v>
      </c>
      <c r="D587">
        <v>50</v>
      </c>
      <c r="E587" t="s">
        <v>19</v>
      </c>
      <c r="F587" t="s">
        <v>18</v>
      </c>
      <c r="G587">
        <v>2.0152580000000002</v>
      </c>
      <c r="H587">
        <v>3.3006660000000001</v>
      </c>
      <c r="I587" t="s">
        <v>20</v>
      </c>
      <c r="J587" t="s">
        <v>19</v>
      </c>
      <c r="K587">
        <v>1.3156080000000001</v>
      </c>
      <c r="L587" t="s">
        <v>19</v>
      </c>
      <c r="M587">
        <v>6.9802000000000003E-2</v>
      </c>
      <c r="N587">
        <v>1</v>
      </c>
      <c r="O587" t="s">
        <v>20</v>
      </c>
      <c r="P587" t="s">
        <v>21</v>
      </c>
      <c r="Q587" t="s">
        <v>32</v>
      </c>
    </row>
    <row r="588" spans="1:17" x14ac:dyDescent="0.2">
      <c r="A588" t="s">
        <v>17</v>
      </c>
      <c r="B588">
        <v>18</v>
      </c>
      <c r="C588">
        <v>1.7</v>
      </c>
      <c r="D588">
        <v>50</v>
      </c>
      <c r="E588" t="s">
        <v>19</v>
      </c>
      <c r="F588" t="s">
        <v>18</v>
      </c>
      <c r="G588">
        <v>1.0311490000000001</v>
      </c>
      <c r="H588">
        <v>3</v>
      </c>
      <c r="I588" t="s">
        <v>20</v>
      </c>
      <c r="J588" t="s">
        <v>19</v>
      </c>
      <c r="K588">
        <v>1.9636279999999999</v>
      </c>
      <c r="L588" t="s">
        <v>19</v>
      </c>
      <c r="M588">
        <v>2.8202000000000001E-2</v>
      </c>
      <c r="N588">
        <v>1</v>
      </c>
      <c r="O588" t="s">
        <v>20</v>
      </c>
      <c r="P588" t="s">
        <v>21</v>
      </c>
      <c r="Q588" t="s">
        <v>32</v>
      </c>
    </row>
    <row r="589" spans="1:17" x14ac:dyDescent="0.2">
      <c r="A589" t="s">
        <v>17</v>
      </c>
      <c r="B589">
        <v>18.48207</v>
      </c>
      <c r="C589">
        <v>1.7</v>
      </c>
      <c r="D589">
        <v>50</v>
      </c>
      <c r="E589" t="s">
        <v>19</v>
      </c>
      <c r="F589" t="s">
        <v>18</v>
      </c>
      <c r="G589">
        <v>1.5921829999999999</v>
      </c>
      <c r="H589">
        <v>3.5350160000000002</v>
      </c>
      <c r="I589" t="s">
        <v>20</v>
      </c>
      <c r="J589" t="s">
        <v>19</v>
      </c>
      <c r="K589">
        <v>1.0863910000000001</v>
      </c>
      <c r="L589" t="s">
        <v>19</v>
      </c>
      <c r="M589">
        <v>0.61891300000000005</v>
      </c>
      <c r="N589">
        <v>1</v>
      </c>
      <c r="O589" t="s">
        <v>20</v>
      </c>
      <c r="P589" t="s">
        <v>21</v>
      </c>
      <c r="Q589" t="s">
        <v>32</v>
      </c>
    </row>
    <row r="590" spans="1:17" x14ac:dyDescent="0.2">
      <c r="A590" t="s">
        <v>17</v>
      </c>
      <c r="B590">
        <v>18.530840000000001</v>
      </c>
      <c r="C590">
        <v>1.5738160000000001</v>
      </c>
      <c r="D590">
        <v>39.850136999999997</v>
      </c>
      <c r="E590" t="s">
        <v>19</v>
      </c>
      <c r="F590" t="s">
        <v>18</v>
      </c>
      <c r="G590">
        <v>1.2149799999999999</v>
      </c>
      <c r="H590">
        <v>1.717608</v>
      </c>
      <c r="I590" t="s">
        <v>20</v>
      </c>
      <c r="J590" t="s">
        <v>19</v>
      </c>
      <c r="K590">
        <v>1.179942</v>
      </c>
      <c r="L590" t="s">
        <v>19</v>
      </c>
      <c r="M590">
        <v>0.68473899999999999</v>
      </c>
      <c r="N590">
        <v>2</v>
      </c>
      <c r="O590" t="s">
        <v>20</v>
      </c>
      <c r="P590" t="s">
        <v>21</v>
      </c>
      <c r="Q590" t="s">
        <v>32</v>
      </c>
    </row>
    <row r="591" spans="1:17" x14ac:dyDescent="0.2">
      <c r="A591" t="s">
        <v>17</v>
      </c>
      <c r="B591">
        <v>19.948139999999999</v>
      </c>
      <c r="C591">
        <v>1.5308839999999999</v>
      </c>
      <c r="D591">
        <v>39.371523000000003</v>
      </c>
      <c r="E591" t="s">
        <v>19</v>
      </c>
      <c r="F591" t="s">
        <v>18</v>
      </c>
      <c r="G591">
        <v>1.5220009999999999</v>
      </c>
      <c r="H591">
        <v>3</v>
      </c>
      <c r="I591" t="s">
        <v>20</v>
      </c>
      <c r="J591" t="s">
        <v>19</v>
      </c>
      <c r="K591">
        <v>1.98126</v>
      </c>
      <c r="L591" t="s">
        <v>19</v>
      </c>
      <c r="M591">
        <v>2.3068439999999999</v>
      </c>
      <c r="N591">
        <v>0.72045400000000004</v>
      </c>
      <c r="O591" t="s">
        <v>20</v>
      </c>
      <c r="P591" t="s">
        <v>21</v>
      </c>
      <c r="Q591" t="s">
        <v>32</v>
      </c>
    </row>
    <row r="592" spans="1:17" x14ac:dyDescent="0.2">
      <c r="A592" t="s">
        <v>17</v>
      </c>
      <c r="B592">
        <v>20.400053</v>
      </c>
      <c r="C592">
        <v>1.5297240000000001</v>
      </c>
      <c r="D592">
        <v>40.343463</v>
      </c>
      <c r="E592" t="s">
        <v>19</v>
      </c>
      <c r="F592" t="s">
        <v>18</v>
      </c>
      <c r="G592">
        <v>2.703436</v>
      </c>
      <c r="H592">
        <v>2.8844789999999998</v>
      </c>
      <c r="I592" t="s">
        <v>20</v>
      </c>
      <c r="J592" t="s">
        <v>19</v>
      </c>
      <c r="K592">
        <v>1.439962</v>
      </c>
      <c r="L592" t="s">
        <v>19</v>
      </c>
      <c r="M592">
        <v>0.14462700000000001</v>
      </c>
      <c r="N592">
        <v>0.32230700000000001</v>
      </c>
      <c r="O592" t="s">
        <v>20</v>
      </c>
      <c r="P592" t="s">
        <v>21</v>
      </c>
      <c r="Q592" t="s">
        <v>32</v>
      </c>
    </row>
    <row r="593" spans="1:17" x14ac:dyDescent="0.2">
      <c r="A593" t="s">
        <v>23</v>
      </c>
      <c r="B593">
        <v>19.556729000000001</v>
      </c>
      <c r="C593">
        <v>1.767563</v>
      </c>
      <c r="D593">
        <v>56.307018999999997</v>
      </c>
      <c r="E593" t="s">
        <v>18</v>
      </c>
      <c r="F593" t="s">
        <v>18</v>
      </c>
      <c r="G593">
        <v>2.3629180000000001</v>
      </c>
      <c r="H593">
        <v>4</v>
      </c>
      <c r="I593" t="s">
        <v>20</v>
      </c>
      <c r="J593" t="s">
        <v>19</v>
      </c>
      <c r="K593">
        <v>2.3581720000000002</v>
      </c>
      <c r="L593" t="s">
        <v>19</v>
      </c>
      <c r="M593">
        <v>2</v>
      </c>
      <c r="N593">
        <v>0.93981899999999996</v>
      </c>
      <c r="O593" t="s">
        <v>19</v>
      </c>
      <c r="P593" t="s">
        <v>28</v>
      </c>
      <c r="Q593" t="s">
        <v>32</v>
      </c>
    </row>
    <row r="594" spans="1:17" x14ac:dyDescent="0.2">
      <c r="A594" t="s">
        <v>23</v>
      </c>
      <c r="B594">
        <v>17.703679999999999</v>
      </c>
      <c r="C594">
        <v>1.883364</v>
      </c>
      <c r="D594">
        <v>60</v>
      </c>
      <c r="E594" t="s">
        <v>18</v>
      </c>
      <c r="F594" t="s">
        <v>18</v>
      </c>
      <c r="G594">
        <v>3</v>
      </c>
      <c r="H594">
        <v>3.6268150000000001</v>
      </c>
      <c r="I594" t="s">
        <v>20</v>
      </c>
      <c r="J594" t="s">
        <v>19</v>
      </c>
      <c r="K594">
        <v>2</v>
      </c>
      <c r="L594" t="s">
        <v>19</v>
      </c>
      <c r="M594">
        <v>2.0115189999999998</v>
      </c>
      <c r="N594">
        <v>0.45646199999999998</v>
      </c>
      <c r="O594" t="s">
        <v>19</v>
      </c>
      <c r="P594" t="s">
        <v>28</v>
      </c>
      <c r="Q594" t="s">
        <v>32</v>
      </c>
    </row>
    <row r="595" spans="1:17" x14ac:dyDescent="0.2">
      <c r="A595" t="s">
        <v>23</v>
      </c>
      <c r="B595">
        <v>18.274357999999999</v>
      </c>
      <c r="C595">
        <v>1.8246549999999999</v>
      </c>
      <c r="D595">
        <v>58.621349000000002</v>
      </c>
      <c r="E595" t="s">
        <v>18</v>
      </c>
      <c r="F595" t="s">
        <v>18</v>
      </c>
      <c r="G595">
        <v>2.1408399999999999</v>
      </c>
      <c r="H595">
        <v>4</v>
      </c>
      <c r="I595" t="s">
        <v>20</v>
      </c>
      <c r="J595" t="s">
        <v>19</v>
      </c>
      <c r="K595">
        <v>2.931438</v>
      </c>
      <c r="L595" t="s">
        <v>19</v>
      </c>
      <c r="M595">
        <v>2</v>
      </c>
      <c r="N595">
        <v>1.1644570000000001</v>
      </c>
      <c r="O595" t="s">
        <v>19</v>
      </c>
      <c r="P595" t="s">
        <v>28</v>
      </c>
      <c r="Q595" t="s">
        <v>32</v>
      </c>
    </row>
    <row r="596" spans="1:17" x14ac:dyDescent="0.2">
      <c r="A596" t="s">
        <v>23</v>
      </c>
      <c r="B596">
        <v>18</v>
      </c>
      <c r="C596">
        <v>1.8401380000000001</v>
      </c>
      <c r="D596">
        <v>60</v>
      </c>
      <c r="E596" t="s">
        <v>18</v>
      </c>
      <c r="F596" t="s">
        <v>18</v>
      </c>
      <c r="G596">
        <v>3</v>
      </c>
      <c r="H596">
        <v>4</v>
      </c>
      <c r="I596" t="s">
        <v>20</v>
      </c>
      <c r="J596" t="s">
        <v>19</v>
      </c>
      <c r="K596">
        <v>2</v>
      </c>
      <c r="L596" t="s">
        <v>19</v>
      </c>
      <c r="M596">
        <v>2</v>
      </c>
      <c r="N596">
        <v>0</v>
      </c>
      <c r="O596" t="s">
        <v>19</v>
      </c>
      <c r="P596" t="s">
        <v>28</v>
      </c>
      <c r="Q596" t="s">
        <v>32</v>
      </c>
    </row>
    <row r="597" spans="1:17" x14ac:dyDescent="0.2">
      <c r="A597" t="s">
        <v>23</v>
      </c>
      <c r="B597">
        <v>17.210933000000001</v>
      </c>
      <c r="C597">
        <v>1.8195570000000001</v>
      </c>
      <c r="D597">
        <v>58.325122</v>
      </c>
      <c r="E597" t="s">
        <v>18</v>
      </c>
      <c r="F597" t="s">
        <v>18</v>
      </c>
      <c r="G597">
        <v>2.5596000000000001</v>
      </c>
      <c r="H597">
        <v>4</v>
      </c>
      <c r="I597" t="s">
        <v>20</v>
      </c>
      <c r="J597" t="s">
        <v>19</v>
      </c>
      <c r="K597">
        <v>2</v>
      </c>
      <c r="L597" t="s">
        <v>19</v>
      </c>
      <c r="M597">
        <v>2</v>
      </c>
      <c r="N597">
        <v>0.33148300000000003</v>
      </c>
      <c r="O597" t="s">
        <v>19</v>
      </c>
      <c r="P597" t="s">
        <v>28</v>
      </c>
      <c r="Q597" t="s">
        <v>32</v>
      </c>
    </row>
    <row r="598" spans="1:17" x14ac:dyDescent="0.2">
      <c r="A598" t="s">
        <v>23</v>
      </c>
      <c r="B598">
        <v>17.469417</v>
      </c>
      <c r="C598">
        <v>1.798645</v>
      </c>
      <c r="D598">
        <v>59.612717000000004</v>
      </c>
      <c r="E598" t="s">
        <v>18</v>
      </c>
      <c r="F598" t="s">
        <v>18</v>
      </c>
      <c r="G598">
        <v>2.3360439999999998</v>
      </c>
      <c r="H598">
        <v>4</v>
      </c>
      <c r="I598" t="s">
        <v>20</v>
      </c>
      <c r="J598" t="s">
        <v>19</v>
      </c>
      <c r="K598">
        <v>2</v>
      </c>
      <c r="L598" t="s">
        <v>19</v>
      </c>
      <c r="M598">
        <v>2</v>
      </c>
      <c r="N598">
        <v>0.13300500000000001</v>
      </c>
      <c r="O598" t="s">
        <v>19</v>
      </c>
      <c r="P598" t="s">
        <v>28</v>
      </c>
      <c r="Q598" t="s">
        <v>32</v>
      </c>
    </row>
    <row r="599" spans="1:17" x14ac:dyDescent="0.2">
      <c r="A599" t="s">
        <v>23</v>
      </c>
      <c r="B599">
        <v>18</v>
      </c>
      <c r="C599">
        <v>1.7108000000000001</v>
      </c>
      <c r="D599">
        <v>50.925379999999997</v>
      </c>
      <c r="E599" t="s">
        <v>18</v>
      </c>
      <c r="F599" t="s">
        <v>18</v>
      </c>
      <c r="G599">
        <v>2</v>
      </c>
      <c r="H599">
        <v>3</v>
      </c>
      <c r="I599" t="s">
        <v>20</v>
      </c>
      <c r="J599" t="s">
        <v>19</v>
      </c>
      <c r="K599">
        <v>2</v>
      </c>
      <c r="L599" t="s">
        <v>19</v>
      </c>
      <c r="M599">
        <v>0</v>
      </c>
      <c r="N599">
        <v>1.593704</v>
      </c>
      <c r="O599" t="s">
        <v>20</v>
      </c>
      <c r="P599" t="s">
        <v>21</v>
      </c>
      <c r="Q599" t="s">
        <v>32</v>
      </c>
    </row>
    <row r="600" spans="1:17" x14ac:dyDescent="0.2">
      <c r="A600" t="s">
        <v>23</v>
      </c>
      <c r="B600">
        <v>18</v>
      </c>
      <c r="C600">
        <v>1.7065300000000001</v>
      </c>
      <c r="D600">
        <v>51.121749000000001</v>
      </c>
      <c r="E600" t="s">
        <v>18</v>
      </c>
      <c r="F600" t="s">
        <v>18</v>
      </c>
      <c r="G600">
        <v>2</v>
      </c>
      <c r="H600">
        <v>3</v>
      </c>
      <c r="I600" t="s">
        <v>20</v>
      </c>
      <c r="J600" t="s">
        <v>19</v>
      </c>
      <c r="K600">
        <v>2</v>
      </c>
      <c r="L600" t="s">
        <v>19</v>
      </c>
      <c r="M600">
        <v>0</v>
      </c>
      <c r="N600">
        <v>1.329237</v>
      </c>
      <c r="O600" t="s">
        <v>20</v>
      </c>
      <c r="P600" t="s">
        <v>21</v>
      </c>
      <c r="Q600" t="s">
        <v>32</v>
      </c>
    </row>
    <row r="601" spans="1:17" x14ac:dyDescent="0.2">
      <c r="A601" t="s">
        <v>23</v>
      </c>
      <c r="B601">
        <v>18</v>
      </c>
      <c r="C601">
        <v>1.716691</v>
      </c>
      <c r="D601">
        <v>51.149282999999997</v>
      </c>
      <c r="E601" t="s">
        <v>18</v>
      </c>
      <c r="F601" t="s">
        <v>18</v>
      </c>
      <c r="G601">
        <v>1.813234</v>
      </c>
      <c r="H601">
        <v>3</v>
      </c>
      <c r="I601" t="s">
        <v>20</v>
      </c>
      <c r="J601" t="s">
        <v>19</v>
      </c>
      <c r="K601">
        <v>1.274815</v>
      </c>
      <c r="L601" t="s">
        <v>19</v>
      </c>
      <c r="M601">
        <v>0.52040699999999995</v>
      </c>
      <c r="N601">
        <v>1.673584</v>
      </c>
      <c r="O601" t="s">
        <v>20</v>
      </c>
      <c r="P601" t="s">
        <v>21</v>
      </c>
      <c r="Q601" t="s">
        <v>32</v>
      </c>
    </row>
    <row r="602" spans="1:17" x14ac:dyDescent="0.2">
      <c r="A602" t="s">
        <v>17</v>
      </c>
      <c r="B602">
        <v>19.010211000000002</v>
      </c>
      <c r="C602">
        <v>1.555431</v>
      </c>
      <c r="D602">
        <v>44.188766999999999</v>
      </c>
      <c r="E602" t="s">
        <v>19</v>
      </c>
      <c r="F602" t="s">
        <v>19</v>
      </c>
      <c r="G602">
        <v>2.7242850000000001</v>
      </c>
      <c r="H602">
        <v>3</v>
      </c>
      <c r="I602" t="s">
        <v>24</v>
      </c>
      <c r="J602" t="s">
        <v>19</v>
      </c>
      <c r="K602">
        <v>1</v>
      </c>
      <c r="L602" t="s">
        <v>18</v>
      </c>
      <c r="M602">
        <v>1.0703309999999999</v>
      </c>
      <c r="N602">
        <v>0</v>
      </c>
      <c r="O602" t="s">
        <v>20</v>
      </c>
      <c r="P602" t="s">
        <v>21</v>
      </c>
      <c r="Q602" t="s">
        <v>32</v>
      </c>
    </row>
    <row r="603" spans="1:17" x14ac:dyDescent="0.2">
      <c r="A603" t="s">
        <v>17</v>
      </c>
      <c r="B603">
        <v>19.091346000000001</v>
      </c>
      <c r="C603">
        <v>1.603923</v>
      </c>
      <c r="D603">
        <v>45</v>
      </c>
      <c r="E603" t="s">
        <v>19</v>
      </c>
      <c r="F603" t="s">
        <v>19</v>
      </c>
      <c r="G603">
        <v>3</v>
      </c>
      <c r="H603">
        <v>3</v>
      </c>
      <c r="I603" t="s">
        <v>24</v>
      </c>
      <c r="J603" t="s">
        <v>19</v>
      </c>
      <c r="K603">
        <v>1.2824599999999999</v>
      </c>
      <c r="L603" t="s">
        <v>18</v>
      </c>
      <c r="M603">
        <v>1.60195</v>
      </c>
      <c r="N603">
        <v>0</v>
      </c>
      <c r="O603" t="s">
        <v>20</v>
      </c>
      <c r="P603" t="s">
        <v>21</v>
      </c>
      <c r="Q603" t="s">
        <v>32</v>
      </c>
    </row>
    <row r="604" spans="1:17" x14ac:dyDescent="0.2">
      <c r="A604" t="s">
        <v>17</v>
      </c>
      <c r="B604">
        <v>19.773302999999999</v>
      </c>
      <c r="C604">
        <v>1.602082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2.8755829999999998</v>
      </c>
      <c r="L604" t="s">
        <v>18</v>
      </c>
      <c r="M604">
        <v>1.2585040000000001</v>
      </c>
      <c r="N604">
        <v>0</v>
      </c>
      <c r="O604" t="s">
        <v>20</v>
      </c>
      <c r="P604" t="s">
        <v>21</v>
      </c>
      <c r="Q604" t="s">
        <v>32</v>
      </c>
    </row>
    <row r="605" spans="1:17" x14ac:dyDescent="0.2">
      <c r="A605" t="s">
        <v>17</v>
      </c>
      <c r="B605">
        <v>19.483035999999998</v>
      </c>
      <c r="C605">
        <v>1.5377700000000001</v>
      </c>
      <c r="D605">
        <v>42</v>
      </c>
      <c r="E605" t="s">
        <v>19</v>
      </c>
      <c r="F605" t="s">
        <v>18</v>
      </c>
      <c r="G605">
        <v>3</v>
      </c>
      <c r="H605">
        <v>1</v>
      </c>
      <c r="I605" t="s">
        <v>24</v>
      </c>
      <c r="J605" t="s">
        <v>19</v>
      </c>
      <c r="K605">
        <v>1.3875310000000001</v>
      </c>
      <c r="L605" t="s">
        <v>19</v>
      </c>
      <c r="M605">
        <v>0</v>
      </c>
      <c r="N605">
        <v>0.466169</v>
      </c>
      <c r="O605" t="s">
        <v>20</v>
      </c>
      <c r="P605" t="s">
        <v>21</v>
      </c>
      <c r="Q605" t="s">
        <v>32</v>
      </c>
    </row>
    <row r="606" spans="1:17" x14ac:dyDescent="0.2">
      <c r="A606" t="s">
        <v>17</v>
      </c>
      <c r="B606">
        <v>19</v>
      </c>
      <c r="C606">
        <v>1.5383979999999999</v>
      </c>
      <c r="D606">
        <v>42</v>
      </c>
      <c r="E606" t="s">
        <v>19</v>
      </c>
      <c r="F606" t="s">
        <v>18</v>
      </c>
      <c r="G606">
        <v>2.7189700000000001</v>
      </c>
      <c r="H606">
        <v>1.473088</v>
      </c>
      <c r="I606" t="s">
        <v>24</v>
      </c>
      <c r="J606" t="s">
        <v>19</v>
      </c>
      <c r="K606">
        <v>1.164644</v>
      </c>
      <c r="L606" t="s">
        <v>19</v>
      </c>
      <c r="M606">
        <v>1.2356750000000001</v>
      </c>
      <c r="N606">
        <v>0.93092600000000003</v>
      </c>
      <c r="O606" t="s">
        <v>20</v>
      </c>
      <c r="P606" t="s">
        <v>21</v>
      </c>
      <c r="Q606" t="s">
        <v>32</v>
      </c>
    </row>
    <row r="607" spans="1:17" x14ac:dyDescent="0.2">
      <c r="A607" t="s">
        <v>17</v>
      </c>
      <c r="B607">
        <v>19.407204</v>
      </c>
      <c r="C607">
        <v>1.5208619999999999</v>
      </c>
      <c r="D607">
        <v>42</v>
      </c>
      <c r="E607" t="s">
        <v>19</v>
      </c>
      <c r="F607" t="s">
        <v>18</v>
      </c>
      <c r="G607">
        <v>3</v>
      </c>
      <c r="H607">
        <v>1</v>
      </c>
      <c r="I607" t="s">
        <v>24</v>
      </c>
      <c r="J607" t="s">
        <v>19</v>
      </c>
      <c r="K607">
        <v>1.848703</v>
      </c>
      <c r="L607" t="s">
        <v>19</v>
      </c>
      <c r="M607">
        <v>0</v>
      </c>
      <c r="N607">
        <v>0.74455499999999997</v>
      </c>
      <c r="O607" t="s">
        <v>20</v>
      </c>
      <c r="P607" t="s">
        <v>21</v>
      </c>
      <c r="Q607" t="s">
        <v>32</v>
      </c>
    </row>
    <row r="608" spans="1:17" x14ac:dyDescent="0.2">
      <c r="A608" t="s">
        <v>23</v>
      </c>
      <c r="B608">
        <v>18</v>
      </c>
      <c r="C608">
        <v>1.7178260000000001</v>
      </c>
      <c r="D608">
        <v>51.732500000000002</v>
      </c>
      <c r="E608" t="s">
        <v>18</v>
      </c>
      <c r="F608" t="s">
        <v>18</v>
      </c>
      <c r="G608">
        <v>1.1338440000000001</v>
      </c>
      <c r="H608">
        <v>3</v>
      </c>
      <c r="I608" t="s">
        <v>20</v>
      </c>
      <c r="J608" t="s">
        <v>19</v>
      </c>
      <c r="K608">
        <v>1.325326</v>
      </c>
      <c r="L608" t="s">
        <v>19</v>
      </c>
      <c r="M608">
        <v>0.22798499999999999</v>
      </c>
      <c r="N608">
        <v>1.7083090000000001</v>
      </c>
      <c r="O608" t="s">
        <v>20</v>
      </c>
      <c r="P608" t="s">
        <v>21</v>
      </c>
      <c r="Q608" t="s">
        <v>32</v>
      </c>
    </row>
    <row r="609" spans="1:17" x14ac:dyDescent="0.2">
      <c r="A609" t="s">
        <v>23</v>
      </c>
      <c r="B609">
        <v>18.424941</v>
      </c>
      <c r="C609">
        <v>1.7533890000000001</v>
      </c>
      <c r="D609">
        <v>54.121924999999997</v>
      </c>
      <c r="E609" t="s">
        <v>18</v>
      </c>
      <c r="F609" t="s">
        <v>18</v>
      </c>
      <c r="G609">
        <v>2</v>
      </c>
      <c r="H609">
        <v>3.1664500000000002</v>
      </c>
      <c r="I609" t="s">
        <v>20</v>
      </c>
      <c r="J609" t="s">
        <v>19</v>
      </c>
      <c r="K609">
        <v>2.278578</v>
      </c>
      <c r="L609" t="s">
        <v>19</v>
      </c>
      <c r="M609">
        <v>1.838881</v>
      </c>
      <c r="N609">
        <v>2</v>
      </c>
      <c r="O609" t="s">
        <v>20</v>
      </c>
      <c r="P609" t="s">
        <v>21</v>
      </c>
      <c r="Q609" t="s">
        <v>32</v>
      </c>
    </row>
    <row r="610" spans="1:17" x14ac:dyDescent="0.2">
      <c r="A610" t="s">
        <v>23</v>
      </c>
      <c r="B610">
        <v>18</v>
      </c>
      <c r="C610">
        <v>1.7016500000000001</v>
      </c>
      <c r="D610">
        <v>50.157707000000002</v>
      </c>
      <c r="E610" t="s">
        <v>18</v>
      </c>
      <c r="F610" t="s">
        <v>18</v>
      </c>
      <c r="G610">
        <v>1.757466</v>
      </c>
      <c r="H610">
        <v>3</v>
      </c>
      <c r="I610" t="s">
        <v>20</v>
      </c>
      <c r="J610" t="s">
        <v>19</v>
      </c>
      <c r="K610">
        <v>1.153559</v>
      </c>
      <c r="L610" t="s">
        <v>19</v>
      </c>
      <c r="M610">
        <v>0.83397600000000005</v>
      </c>
      <c r="N610">
        <v>1.616045</v>
      </c>
      <c r="O610" t="s">
        <v>20</v>
      </c>
      <c r="P610" t="s">
        <v>21</v>
      </c>
      <c r="Q610" t="s">
        <v>32</v>
      </c>
    </row>
    <row r="611" spans="1:17" x14ac:dyDescent="0.2">
      <c r="A611" t="s">
        <v>23</v>
      </c>
      <c r="B611">
        <v>19.979810000000001</v>
      </c>
      <c r="C611">
        <v>1.75336</v>
      </c>
      <c r="D611">
        <v>54.997374000000001</v>
      </c>
      <c r="E611" t="s">
        <v>18</v>
      </c>
      <c r="F611" t="s">
        <v>18</v>
      </c>
      <c r="G611">
        <v>2</v>
      </c>
      <c r="H611">
        <v>3.4948489999999999</v>
      </c>
      <c r="I611" t="s">
        <v>20</v>
      </c>
      <c r="J611" t="s">
        <v>19</v>
      </c>
      <c r="K611">
        <v>2.9766720000000002</v>
      </c>
      <c r="L611" t="s">
        <v>19</v>
      </c>
      <c r="M611">
        <v>1.9490700000000001</v>
      </c>
      <c r="N611">
        <v>2</v>
      </c>
      <c r="O611" t="s">
        <v>19</v>
      </c>
      <c r="P611" t="s">
        <v>21</v>
      </c>
      <c r="Q611" t="s">
        <v>32</v>
      </c>
    </row>
    <row r="612" spans="1:17" x14ac:dyDescent="0.2">
      <c r="A612" t="s">
        <v>17</v>
      </c>
      <c r="B612">
        <v>21.798856000000001</v>
      </c>
      <c r="C612">
        <v>1.672007</v>
      </c>
      <c r="D612">
        <v>49.980967999999997</v>
      </c>
      <c r="E612" t="s">
        <v>18</v>
      </c>
      <c r="F612" t="s">
        <v>18</v>
      </c>
      <c r="G612">
        <v>2.9793829999999999</v>
      </c>
      <c r="H612">
        <v>3</v>
      </c>
      <c r="I612" t="s">
        <v>24</v>
      </c>
      <c r="J612" t="s">
        <v>19</v>
      </c>
      <c r="K612">
        <v>2.9758870000000002</v>
      </c>
      <c r="L612" t="s">
        <v>19</v>
      </c>
      <c r="M612">
        <v>0.94509299999999996</v>
      </c>
      <c r="N612">
        <v>1.2417549999999999</v>
      </c>
      <c r="O612" t="s">
        <v>19</v>
      </c>
      <c r="P612" t="s">
        <v>21</v>
      </c>
      <c r="Q612" t="s">
        <v>32</v>
      </c>
    </row>
    <row r="613" spans="1:17" x14ac:dyDescent="0.2">
      <c r="A613" t="s">
        <v>17</v>
      </c>
      <c r="B613">
        <v>22.209706000000001</v>
      </c>
      <c r="C613">
        <v>1.593847</v>
      </c>
      <c r="D613">
        <v>44.050251000000003</v>
      </c>
      <c r="E613" t="s">
        <v>19</v>
      </c>
      <c r="F613" t="s">
        <v>19</v>
      </c>
      <c r="G613">
        <v>3</v>
      </c>
      <c r="H613">
        <v>2.9932099999999999</v>
      </c>
      <c r="I613" t="s">
        <v>24</v>
      </c>
      <c r="J613" t="s">
        <v>19</v>
      </c>
      <c r="K613">
        <v>2.7027830000000002</v>
      </c>
      <c r="L613" t="s">
        <v>19</v>
      </c>
      <c r="M613">
        <v>1.9672339999999999</v>
      </c>
      <c r="N613">
        <v>0</v>
      </c>
      <c r="O613" t="s">
        <v>19</v>
      </c>
      <c r="P613" t="s">
        <v>21</v>
      </c>
      <c r="Q613" t="s">
        <v>32</v>
      </c>
    </row>
    <row r="614" spans="1:17" x14ac:dyDescent="0.2">
      <c r="A614" t="s">
        <v>17</v>
      </c>
      <c r="B614">
        <v>23.018443000000001</v>
      </c>
      <c r="C614">
        <v>1.5847850000000001</v>
      </c>
      <c r="D614">
        <v>44.376637000000002</v>
      </c>
      <c r="E614" t="s">
        <v>19</v>
      </c>
      <c r="F614" t="s">
        <v>19</v>
      </c>
      <c r="G614">
        <v>2.204914</v>
      </c>
      <c r="H614">
        <v>2.1277970000000002</v>
      </c>
      <c r="I614" t="s">
        <v>24</v>
      </c>
      <c r="J614" t="s">
        <v>19</v>
      </c>
      <c r="K614">
        <v>2.1202920000000001</v>
      </c>
      <c r="L614" t="s">
        <v>19</v>
      </c>
      <c r="M614">
        <v>0.99573500000000004</v>
      </c>
      <c r="N614">
        <v>0</v>
      </c>
      <c r="O614" t="s">
        <v>19</v>
      </c>
      <c r="P614" t="s">
        <v>21</v>
      </c>
      <c r="Q614" t="s">
        <v>32</v>
      </c>
    </row>
    <row r="615" spans="1:17" x14ac:dyDescent="0.2">
      <c r="A615" t="s">
        <v>17</v>
      </c>
      <c r="B615">
        <v>19.376996999999999</v>
      </c>
      <c r="C615">
        <v>1.6002639999999999</v>
      </c>
      <c r="D615">
        <v>45</v>
      </c>
      <c r="E615" t="s">
        <v>19</v>
      </c>
      <c r="F615" t="s">
        <v>19</v>
      </c>
      <c r="G615">
        <v>3</v>
      </c>
      <c r="H615">
        <v>3</v>
      </c>
      <c r="I615" t="s">
        <v>24</v>
      </c>
      <c r="J615" t="s">
        <v>19</v>
      </c>
      <c r="K615">
        <v>2.9494189999999998</v>
      </c>
      <c r="L615" t="s">
        <v>18</v>
      </c>
      <c r="M615">
        <v>1.2956970000000001</v>
      </c>
      <c r="N615">
        <v>0</v>
      </c>
      <c r="O615" t="s">
        <v>20</v>
      </c>
      <c r="P615" t="s">
        <v>21</v>
      </c>
      <c r="Q615" t="s">
        <v>32</v>
      </c>
    </row>
    <row r="616" spans="1:17" x14ac:dyDescent="0.2">
      <c r="A616" t="s">
        <v>17</v>
      </c>
      <c r="B616">
        <v>20.971429000000001</v>
      </c>
      <c r="C616">
        <v>1.5493110000000001</v>
      </c>
      <c r="D616">
        <v>41.557468</v>
      </c>
      <c r="E616" t="s">
        <v>19</v>
      </c>
      <c r="F616" t="s">
        <v>18</v>
      </c>
      <c r="G616">
        <v>2.9272179999999999</v>
      </c>
      <c r="H616">
        <v>1</v>
      </c>
      <c r="I616" t="s">
        <v>24</v>
      </c>
      <c r="J616" t="s">
        <v>19</v>
      </c>
      <c r="K616">
        <v>1</v>
      </c>
      <c r="L616" t="s">
        <v>19</v>
      </c>
      <c r="M616">
        <v>0</v>
      </c>
      <c r="N616">
        <v>0.276592</v>
      </c>
      <c r="O616" t="s">
        <v>20</v>
      </c>
      <c r="P616" t="s">
        <v>21</v>
      </c>
      <c r="Q616" t="s">
        <v>32</v>
      </c>
    </row>
    <row r="617" spans="1:17" x14ac:dyDescent="0.2">
      <c r="A617" t="s">
        <v>17</v>
      </c>
      <c r="B617">
        <v>20.345161000000001</v>
      </c>
      <c r="C617">
        <v>1.5343850000000001</v>
      </c>
      <c r="D617">
        <v>41.965249999999997</v>
      </c>
      <c r="E617" t="s">
        <v>19</v>
      </c>
      <c r="F617" t="s">
        <v>18</v>
      </c>
      <c r="G617">
        <v>2.8885299999999998</v>
      </c>
      <c r="H617">
        <v>1</v>
      </c>
      <c r="I617" t="s">
        <v>24</v>
      </c>
      <c r="J617" t="s">
        <v>19</v>
      </c>
      <c r="K617">
        <v>1</v>
      </c>
      <c r="L617" t="s">
        <v>19</v>
      </c>
      <c r="M617">
        <v>0</v>
      </c>
      <c r="N617">
        <v>0.19622400000000001</v>
      </c>
      <c r="O617" t="s">
        <v>20</v>
      </c>
      <c r="P617" t="s">
        <v>21</v>
      </c>
      <c r="Q617" t="s">
        <v>32</v>
      </c>
    </row>
    <row r="618" spans="1:17" x14ac:dyDescent="0.2">
      <c r="A618" t="s">
        <v>17</v>
      </c>
      <c r="B618">
        <v>20.519915999999998</v>
      </c>
      <c r="C618">
        <v>1.7255480000000001</v>
      </c>
      <c r="D618">
        <v>49.815598999999999</v>
      </c>
      <c r="E618" t="s">
        <v>18</v>
      </c>
      <c r="F618" t="s">
        <v>19</v>
      </c>
      <c r="G618">
        <v>2.8905349999999999</v>
      </c>
      <c r="H618">
        <v>3.9077899999999999</v>
      </c>
      <c r="I618" t="s">
        <v>24</v>
      </c>
      <c r="J618" t="s">
        <v>19</v>
      </c>
      <c r="K618">
        <v>1.1091150000000001</v>
      </c>
      <c r="L618" t="s">
        <v>19</v>
      </c>
      <c r="M618">
        <v>1.548953</v>
      </c>
      <c r="N618">
        <v>0.55546799999999996</v>
      </c>
      <c r="O618" t="s">
        <v>19</v>
      </c>
      <c r="P618" t="s">
        <v>21</v>
      </c>
      <c r="Q618" t="s">
        <v>32</v>
      </c>
    </row>
    <row r="619" spans="1:17" x14ac:dyDescent="0.2">
      <c r="A619" t="s">
        <v>23</v>
      </c>
      <c r="B619">
        <v>20.406065999999999</v>
      </c>
      <c r="C619">
        <v>1.8689309999999999</v>
      </c>
      <c r="D619">
        <v>63.199725999999998</v>
      </c>
      <c r="E619" t="s">
        <v>18</v>
      </c>
      <c r="F619" t="s">
        <v>18</v>
      </c>
      <c r="G619">
        <v>3</v>
      </c>
      <c r="H619">
        <v>3.6995939999999998</v>
      </c>
      <c r="I619" t="s">
        <v>20</v>
      </c>
      <c r="J619" t="s">
        <v>19</v>
      </c>
      <c r="K619">
        <v>2.8256290000000002</v>
      </c>
      <c r="L619" t="s">
        <v>19</v>
      </c>
      <c r="M619">
        <v>1.699592</v>
      </c>
      <c r="N619">
        <v>7.1027999999999994E-2</v>
      </c>
      <c r="O619" t="s">
        <v>20</v>
      </c>
      <c r="P619" t="s">
        <v>28</v>
      </c>
      <c r="Q619" t="s">
        <v>32</v>
      </c>
    </row>
    <row r="620" spans="1:17" x14ac:dyDescent="0.2">
      <c r="A620" t="s">
        <v>17</v>
      </c>
      <c r="B620">
        <v>21.478496</v>
      </c>
      <c r="C620">
        <v>1.686936</v>
      </c>
      <c r="D620">
        <v>51.256059</v>
      </c>
      <c r="E620" t="s">
        <v>18</v>
      </c>
      <c r="F620" t="s">
        <v>18</v>
      </c>
      <c r="G620">
        <v>3</v>
      </c>
      <c r="H620">
        <v>3.1799949999999999</v>
      </c>
      <c r="I620" t="s">
        <v>24</v>
      </c>
      <c r="J620" t="s">
        <v>19</v>
      </c>
      <c r="K620">
        <v>1.9103779999999999</v>
      </c>
      <c r="L620" t="s">
        <v>19</v>
      </c>
      <c r="M620">
        <v>0.48061399999999999</v>
      </c>
      <c r="N620">
        <v>0.62507900000000005</v>
      </c>
      <c r="O620" t="s">
        <v>19</v>
      </c>
      <c r="P620" t="s">
        <v>21</v>
      </c>
      <c r="Q620" t="s">
        <v>32</v>
      </c>
    </row>
    <row r="621" spans="1:17" x14ac:dyDescent="0.2">
      <c r="A621" t="s">
        <v>17</v>
      </c>
      <c r="B621">
        <v>18.372563</v>
      </c>
      <c r="C621">
        <v>1.5898289999999999</v>
      </c>
      <c r="D621">
        <v>40.202773000000001</v>
      </c>
      <c r="E621" t="s">
        <v>19</v>
      </c>
      <c r="F621" t="s">
        <v>18</v>
      </c>
      <c r="G621">
        <v>2</v>
      </c>
      <c r="H621">
        <v>1.075553</v>
      </c>
      <c r="I621" t="s">
        <v>20</v>
      </c>
      <c r="J621" t="s">
        <v>19</v>
      </c>
      <c r="K621">
        <v>1</v>
      </c>
      <c r="L621" t="s">
        <v>19</v>
      </c>
      <c r="M621">
        <v>0.12742500000000001</v>
      </c>
      <c r="N621">
        <v>1.6794420000000001</v>
      </c>
      <c r="O621" t="s">
        <v>20</v>
      </c>
      <c r="P621" t="s">
        <v>21</v>
      </c>
      <c r="Q621" t="s">
        <v>32</v>
      </c>
    </row>
    <row r="622" spans="1:17" x14ac:dyDescent="0.2">
      <c r="A622" t="s">
        <v>17</v>
      </c>
      <c r="B622">
        <v>19.931667000000001</v>
      </c>
      <c r="C622">
        <v>1.6532089999999999</v>
      </c>
      <c r="D622">
        <v>49.026214000000003</v>
      </c>
      <c r="E622" t="s">
        <v>19</v>
      </c>
      <c r="F622" t="s">
        <v>19</v>
      </c>
      <c r="G622">
        <v>2.5300660000000001</v>
      </c>
      <c r="H622">
        <v>3</v>
      </c>
      <c r="I622" t="s">
        <v>20</v>
      </c>
      <c r="J622" t="s">
        <v>19</v>
      </c>
      <c r="K622">
        <v>1.9652369999999999</v>
      </c>
      <c r="L622" t="s">
        <v>19</v>
      </c>
      <c r="M622">
        <v>2</v>
      </c>
      <c r="N622">
        <v>1</v>
      </c>
      <c r="O622" t="s">
        <v>20</v>
      </c>
      <c r="P622" t="s">
        <v>21</v>
      </c>
      <c r="Q622" t="s">
        <v>32</v>
      </c>
    </row>
    <row r="623" spans="1:17" x14ac:dyDescent="0.2">
      <c r="A623" t="s">
        <v>17</v>
      </c>
      <c r="B623">
        <v>22.998709000000002</v>
      </c>
      <c r="C623">
        <v>1.740108</v>
      </c>
      <c r="D623">
        <v>53.657269999999997</v>
      </c>
      <c r="E623" t="s">
        <v>18</v>
      </c>
      <c r="F623" t="s">
        <v>18</v>
      </c>
      <c r="G623">
        <v>2.241606</v>
      </c>
      <c r="H623">
        <v>3</v>
      </c>
      <c r="I623" t="s">
        <v>24</v>
      </c>
      <c r="J623" t="s">
        <v>19</v>
      </c>
      <c r="K623">
        <v>1.8466260000000001</v>
      </c>
      <c r="L623" t="s">
        <v>19</v>
      </c>
      <c r="M623">
        <v>2.4602379999999999</v>
      </c>
      <c r="N623">
        <v>0.81451799999999996</v>
      </c>
      <c r="O623" t="s">
        <v>19</v>
      </c>
      <c r="P623" t="s">
        <v>21</v>
      </c>
      <c r="Q623" t="s">
        <v>32</v>
      </c>
    </row>
    <row r="624" spans="1:17" x14ac:dyDescent="0.2">
      <c r="A624" t="s">
        <v>17</v>
      </c>
      <c r="B624">
        <v>18.006741999999999</v>
      </c>
      <c r="C624">
        <v>1.7</v>
      </c>
      <c r="D624">
        <v>50</v>
      </c>
      <c r="E624" t="s">
        <v>19</v>
      </c>
      <c r="F624" t="s">
        <v>18</v>
      </c>
      <c r="G624">
        <v>1.003566</v>
      </c>
      <c r="H624">
        <v>3.2382580000000001</v>
      </c>
      <c r="I624" t="s">
        <v>24</v>
      </c>
      <c r="J624" t="s">
        <v>19</v>
      </c>
      <c r="K624">
        <v>1.014634</v>
      </c>
      <c r="L624" t="s">
        <v>19</v>
      </c>
      <c r="M624">
        <v>0.78367600000000004</v>
      </c>
      <c r="N624">
        <v>1</v>
      </c>
      <c r="O624" t="s">
        <v>20</v>
      </c>
      <c r="P624" t="s">
        <v>21</v>
      </c>
      <c r="Q624" t="s">
        <v>32</v>
      </c>
    </row>
    <row r="625" spans="1:17" x14ac:dyDescent="0.2">
      <c r="A625" t="s">
        <v>17</v>
      </c>
      <c r="B625">
        <v>34.799518999999997</v>
      </c>
      <c r="C625">
        <v>1.689141</v>
      </c>
      <c r="D625">
        <v>50</v>
      </c>
      <c r="E625" t="s">
        <v>18</v>
      </c>
      <c r="F625" t="s">
        <v>18</v>
      </c>
      <c r="G625">
        <v>2.6527790000000002</v>
      </c>
      <c r="H625">
        <v>3.8049439999999999</v>
      </c>
      <c r="I625" t="s">
        <v>24</v>
      </c>
      <c r="J625" t="s">
        <v>19</v>
      </c>
      <c r="K625">
        <v>1.60114</v>
      </c>
      <c r="L625" t="s">
        <v>19</v>
      </c>
      <c r="M625">
        <v>0.17469199999999999</v>
      </c>
      <c r="N625">
        <v>9.6981999999999999E-2</v>
      </c>
      <c r="O625" t="s">
        <v>19</v>
      </c>
      <c r="P625" t="s">
        <v>21</v>
      </c>
      <c r="Q625" t="s">
        <v>32</v>
      </c>
    </row>
    <row r="626" spans="1:17" x14ac:dyDescent="0.2">
      <c r="A626" t="s">
        <v>23</v>
      </c>
      <c r="B626">
        <v>16.496977999999999</v>
      </c>
      <c r="C626">
        <v>1.691206</v>
      </c>
      <c r="D626">
        <v>50</v>
      </c>
      <c r="E626" t="s">
        <v>19</v>
      </c>
      <c r="F626" t="s">
        <v>18</v>
      </c>
      <c r="G626">
        <v>2</v>
      </c>
      <c r="H626">
        <v>1.630846</v>
      </c>
      <c r="I626" t="s">
        <v>20</v>
      </c>
      <c r="J626" t="s">
        <v>19</v>
      </c>
      <c r="K626">
        <v>2.9755280000000002</v>
      </c>
      <c r="L626" t="s">
        <v>19</v>
      </c>
      <c r="M626">
        <v>0.54899100000000001</v>
      </c>
      <c r="N626">
        <v>0.36913400000000002</v>
      </c>
      <c r="O626" t="s">
        <v>20</v>
      </c>
      <c r="P626" t="s">
        <v>21</v>
      </c>
      <c r="Q626" t="s">
        <v>32</v>
      </c>
    </row>
    <row r="627" spans="1:17" x14ac:dyDescent="0.2">
      <c r="A627" t="s">
        <v>23</v>
      </c>
      <c r="B627">
        <v>18</v>
      </c>
      <c r="C627">
        <v>1.788459</v>
      </c>
      <c r="D627">
        <v>51.552594999999997</v>
      </c>
      <c r="E627" t="s">
        <v>19</v>
      </c>
      <c r="F627" t="s">
        <v>18</v>
      </c>
      <c r="G627">
        <v>2.8978989999999998</v>
      </c>
      <c r="H627">
        <v>3</v>
      </c>
      <c r="I627" t="s">
        <v>20</v>
      </c>
      <c r="J627" t="s">
        <v>19</v>
      </c>
      <c r="K627">
        <v>1.835545</v>
      </c>
      <c r="L627" t="s">
        <v>19</v>
      </c>
      <c r="M627">
        <v>1.1625190000000001</v>
      </c>
      <c r="N627">
        <v>1</v>
      </c>
      <c r="O627" t="s">
        <v>20</v>
      </c>
      <c r="P627" t="s">
        <v>21</v>
      </c>
      <c r="Q627" t="s">
        <v>32</v>
      </c>
    </row>
    <row r="628" spans="1:17" x14ac:dyDescent="0.2">
      <c r="A628" t="s">
        <v>23</v>
      </c>
      <c r="B628">
        <v>17.377130999999999</v>
      </c>
      <c r="C628">
        <v>1.8112379999999999</v>
      </c>
      <c r="D628">
        <v>58.830710000000003</v>
      </c>
      <c r="E628" t="s">
        <v>18</v>
      </c>
      <c r="F628" t="s">
        <v>18</v>
      </c>
      <c r="G628">
        <v>2.4839790000000002</v>
      </c>
      <c r="H628">
        <v>3.762778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>
        <v>0.93005099999999996</v>
      </c>
      <c r="O628" t="s">
        <v>19</v>
      </c>
      <c r="P628" t="s">
        <v>28</v>
      </c>
      <c r="Q628" t="s">
        <v>32</v>
      </c>
    </row>
    <row r="629" spans="1:17" x14ac:dyDescent="0.2">
      <c r="A629" t="s">
        <v>17</v>
      </c>
      <c r="B629">
        <v>16.611837000000001</v>
      </c>
      <c r="C629">
        <v>1.830068</v>
      </c>
      <c r="D629">
        <v>43.534531000000001</v>
      </c>
      <c r="E629" t="s">
        <v>19</v>
      </c>
      <c r="F629" t="s">
        <v>18</v>
      </c>
      <c r="G629">
        <v>2.945967</v>
      </c>
      <c r="H629">
        <v>3</v>
      </c>
      <c r="I629" t="s">
        <v>20</v>
      </c>
      <c r="J629" t="s">
        <v>19</v>
      </c>
      <c r="K629">
        <v>2.953192</v>
      </c>
      <c r="L629" t="s">
        <v>19</v>
      </c>
      <c r="M629">
        <v>2.830911</v>
      </c>
      <c r="N629">
        <v>1.4666669999999999</v>
      </c>
      <c r="O629" t="s">
        <v>20</v>
      </c>
      <c r="P629" t="s">
        <v>21</v>
      </c>
      <c r="Q629" t="s">
        <v>32</v>
      </c>
    </row>
    <row r="630" spans="1:17" x14ac:dyDescent="0.2">
      <c r="A630" t="s">
        <v>23</v>
      </c>
      <c r="B630">
        <v>17.080493000000001</v>
      </c>
      <c r="C630">
        <v>1.782756</v>
      </c>
      <c r="D630">
        <v>56.029418</v>
      </c>
      <c r="E630" t="s">
        <v>18</v>
      </c>
      <c r="F630" t="s">
        <v>18</v>
      </c>
      <c r="G630">
        <v>2</v>
      </c>
      <c r="H630">
        <v>4</v>
      </c>
      <c r="I630" t="s">
        <v>20</v>
      </c>
      <c r="J630" t="s">
        <v>19</v>
      </c>
      <c r="K630">
        <v>2.28525</v>
      </c>
      <c r="L630" t="s">
        <v>19</v>
      </c>
      <c r="M630">
        <v>2</v>
      </c>
      <c r="N630">
        <v>1.162801</v>
      </c>
      <c r="O630" t="s">
        <v>19</v>
      </c>
      <c r="P630" t="s">
        <v>28</v>
      </c>
      <c r="Q630" t="s">
        <v>32</v>
      </c>
    </row>
    <row r="631" spans="1:17" x14ac:dyDescent="0.2">
      <c r="A631" t="s">
        <v>17</v>
      </c>
      <c r="B631">
        <v>22.970655000000001</v>
      </c>
      <c r="C631">
        <v>1.7516910000000001</v>
      </c>
      <c r="D631">
        <v>55.967655000000001</v>
      </c>
      <c r="E631" t="s">
        <v>18</v>
      </c>
      <c r="F631" t="s">
        <v>18</v>
      </c>
      <c r="G631">
        <v>2.478891</v>
      </c>
      <c r="H631">
        <v>3.3718319999999999</v>
      </c>
      <c r="I631" t="s">
        <v>24</v>
      </c>
      <c r="J631" t="s">
        <v>19</v>
      </c>
      <c r="K631">
        <v>2.0041259999999999</v>
      </c>
      <c r="L631" t="s">
        <v>19</v>
      </c>
      <c r="M631">
        <v>2</v>
      </c>
      <c r="N631">
        <v>0.327376</v>
      </c>
      <c r="O631" t="s">
        <v>19</v>
      </c>
      <c r="P631" t="s">
        <v>21</v>
      </c>
      <c r="Q631" t="s">
        <v>32</v>
      </c>
    </row>
    <row r="632" spans="1:17" x14ac:dyDescent="0.2">
      <c r="A632" t="s">
        <v>17</v>
      </c>
      <c r="B632">
        <v>17.764764</v>
      </c>
      <c r="C632">
        <v>1.7865599999999999</v>
      </c>
      <c r="D632">
        <v>50</v>
      </c>
      <c r="E632" t="s">
        <v>19</v>
      </c>
      <c r="F632" t="s">
        <v>18</v>
      </c>
      <c r="G632">
        <v>2.7844639999999998</v>
      </c>
      <c r="H632">
        <v>4</v>
      </c>
      <c r="I632" t="s">
        <v>20</v>
      </c>
      <c r="J632" t="s">
        <v>19</v>
      </c>
      <c r="K632">
        <v>1</v>
      </c>
      <c r="L632" t="s">
        <v>19</v>
      </c>
      <c r="M632">
        <v>2</v>
      </c>
      <c r="N632">
        <v>1</v>
      </c>
      <c r="O632" t="s">
        <v>20</v>
      </c>
      <c r="P632" t="s">
        <v>21</v>
      </c>
      <c r="Q632" t="s">
        <v>32</v>
      </c>
    </row>
    <row r="633" spans="1:17" x14ac:dyDescent="0.2">
      <c r="A633" t="s">
        <v>17</v>
      </c>
      <c r="B633">
        <v>19.272573000000001</v>
      </c>
      <c r="C633">
        <v>1.71367</v>
      </c>
      <c r="D633">
        <v>50</v>
      </c>
      <c r="E633" t="s">
        <v>19</v>
      </c>
      <c r="F633" t="s">
        <v>18</v>
      </c>
      <c r="G633">
        <v>1.0055780000000001</v>
      </c>
      <c r="H633">
        <v>4</v>
      </c>
      <c r="I633" t="s">
        <v>24</v>
      </c>
      <c r="J633" t="s">
        <v>19</v>
      </c>
      <c r="K633">
        <v>1</v>
      </c>
      <c r="L633" t="s">
        <v>19</v>
      </c>
      <c r="M633">
        <v>1.6839569999999999</v>
      </c>
      <c r="N633">
        <v>0.70497799999999999</v>
      </c>
      <c r="O633" t="s">
        <v>20</v>
      </c>
      <c r="P633" t="s">
        <v>21</v>
      </c>
      <c r="Q633" t="s">
        <v>32</v>
      </c>
    </row>
    <row r="634" spans="1:17" x14ac:dyDescent="0.2">
      <c r="A634" t="s">
        <v>17</v>
      </c>
      <c r="B634">
        <v>19</v>
      </c>
      <c r="C634">
        <v>1.540375</v>
      </c>
      <c r="D634">
        <v>42.006281999999999</v>
      </c>
      <c r="E634" t="s">
        <v>19</v>
      </c>
      <c r="F634" t="s">
        <v>19</v>
      </c>
      <c r="G634">
        <v>2.9380310000000001</v>
      </c>
      <c r="H634">
        <v>2.7054450000000001</v>
      </c>
      <c r="I634" t="s">
        <v>24</v>
      </c>
      <c r="J634" t="s">
        <v>19</v>
      </c>
      <c r="K634">
        <v>1.333807</v>
      </c>
      <c r="L634" t="s">
        <v>18</v>
      </c>
      <c r="M634">
        <v>1.8773690000000001</v>
      </c>
      <c r="N634">
        <v>0.370973</v>
      </c>
      <c r="O634" t="s">
        <v>20</v>
      </c>
      <c r="P634" t="s">
        <v>21</v>
      </c>
      <c r="Q634" t="s">
        <v>32</v>
      </c>
    </row>
    <row r="635" spans="1:17" x14ac:dyDescent="0.2">
      <c r="A635" t="s">
        <v>23</v>
      </c>
      <c r="B635">
        <v>17.067129999999999</v>
      </c>
      <c r="C635">
        <v>1.8967339999999999</v>
      </c>
      <c r="D635">
        <v>59.895052</v>
      </c>
      <c r="E635" t="s">
        <v>18</v>
      </c>
      <c r="F635" t="s">
        <v>18</v>
      </c>
      <c r="G635">
        <v>2.8421020000000001</v>
      </c>
      <c r="H635">
        <v>3.3417500000000002</v>
      </c>
      <c r="I635" t="s">
        <v>20</v>
      </c>
      <c r="J635" t="s">
        <v>19</v>
      </c>
      <c r="K635">
        <v>2</v>
      </c>
      <c r="L635" t="s">
        <v>19</v>
      </c>
      <c r="M635">
        <v>2.5111569999999999</v>
      </c>
      <c r="N635">
        <v>0.56035100000000004</v>
      </c>
      <c r="O635" t="s">
        <v>19</v>
      </c>
      <c r="P635" t="s">
        <v>28</v>
      </c>
      <c r="Q635" t="s">
        <v>32</v>
      </c>
    </row>
    <row r="636" spans="1:17" x14ac:dyDescent="0.2">
      <c r="A636" t="s">
        <v>17</v>
      </c>
      <c r="B636">
        <v>23</v>
      </c>
      <c r="C636">
        <v>1.710129</v>
      </c>
      <c r="D636">
        <v>50.079991</v>
      </c>
      <c r="E636" t="s">
        <v>18</v>
      </c>
      <c r="F636" t="s">
        <v>18</v>
      </c>
      <c r="G636">
        <v>2</v>
      </c>
      <c r="H636">
        <v>3</v>
      </c>
      <c r="I636" t="s">
        <v>24</v>
      </c>
      <c r="J636" t="s">
        <v>19</v>
      </c>
      <c r="K636">
        <v>2.6858420000000001</v>
      </c>
      <c r="L636" t="s">
        <v>19</v>
      </c>
      <c r="M636">
        <v>0.37318600000000002</v>
      </c>
      <c r="N636">
        <v>2</v>
      </c>
      <c r="O636" t="s">
        <v>19</v>
      </c>
      <c r="P636" t="s">
        <v>21</v>
      </c>
      <c r="Q636" t="s">
        <v>32</v>
      </c>
    </row>
    <row r="637" spans="1:17" x14ac:dyDescent="0.2">
      <c r="A637" t="s">
        <v>17</v>
      </c>
      <c r="B637">
        <v>18</v>
      </c>
      <c r="C637">
        <v>1.7041930000000001</v>
      </c>
      <c r="D637">
        <v>50.631889000000001</v>
      </c>
      <c r="E637" t="s">
        <v>19</v>
      </c>
      <c r="F637" t="s">
        <v>18</v>
      </c>
      <c r="G637">
        <v>2</v>
      </c>
      <c r="H637">
        <v>3</v>
      </c>
      <c r="I637" t="s">
        <v>20</v>
      </c>
      <c r="J637" t="s">
        <v>19</v>
      </c>
      <c r="K637">
        <v>2</v>
      </c>
      <c r="L637" t="s">
        <v>19</v>
      </c>
      <c r="M637">
        <v>0</v>
      </c>
      <c r="N637">
        <v>1.5255970000000001</v>
      </c>
      <c r="O637" t="s">
        <v>20</v>
      </c>
      <c r="P637" t="s">
        <v>21</v>
      </c>
      <c r="Q637" t="s">
        <v>32</v>
      </c>
    </row>
    <row r="638" spans="1:17" x14ac:dyDescent="0.2">
      <c r="A638" t="s">
        <v>17</v>
      </c>
      <c r="B638">
        <v>19.054008</v>
      </c>
      <c r="C638">
        <v>1.556611</v>
      </c>
      <c r="D638">
        <v>39.695295000000002</v>
      </c>
      <c r="E638" t="s">
        <v>19</v>
      </c>
      <c r="F638" t="s">
        <v>18</v>
      </c>
      <c r="G638">
        <v>1.8891990000000001</v>
      </c>
      <c r="H638">
        <v>2.217651</v>
      </c>
      <c r="I638" t="s">
        <v>20</v>
      </c>
      <c r="J638" t="s">
        <v>19</v>
      </c>
      <c r="K638">
        <v>2.0136050000000001</v>
      </c>
      <c r="L638" t="s">
        <v>19</v>
      </c>
      <c r="M638">
        <v>2.0752929999999998</v>
      </c>
      <c r="N638">
        <v>1.6832609999999999</v>
      </c>
      <c r="O638" t="s">
        <v>20</v>
      </c>
      <c r="P638" t="s">
        <v>21</v>
      </c>
      <c r="Q638" t="s">
        <v>32</v>
      </c>
    </row>
    <row r="639" spans="1:17" x14ac:dyDescent="0.2">
      <c r="A639" t="s">
        <v>23</v>
      </c>
      <c r="B639">
        <v>18</v>
      </c>
      <c r="C639">
        <v>1.845399</v>
      </c>
      <c r="D639">
        <v>60</v>
      </c>
      <c r="E639" t="s">
        <v>18</v>
      </c>
      <c r="F639" t="s">
        <v>18</v>
      </c>
      <c r="G639">
        <v>3</v>
      </c>
      <c r="H639">
        <v>4</v>
      </c>
      <c r="I639" t="s">
        <v>20</v>
      </c>
      <c r="J639" t="s">
        <v>19</v>
      </c>
      <c r="K639">
        <v>2</v>
      </c>
      <c r="L639" t="s">
        <v>19</v>
      </c>
      <c r="M639">
        <v>2</v>
      </c>
      <c r="N639">
        <v>0</v>
      </c>
      <c r="O639" t="s">
        <v>19</v>
      </c>
      <c r="P639" t="s">
        <v>28</v>
      </c>
      <c r="Q639" t="s">
        <v>32</v>
      </c>
    </row>
    <row r="640" spans="1:17" x14ac:dyDescent="0.2">
      <c r="A640" t="s">
        <v>23</v>
      </c>
      <c r="B640">
        <v>17.491271999999999</v>
      </c>
      <c r="C640">
        <v>1.8346370000000001</v>
      </c>
      <c r="D640">
        <v>59.990861000000002</v>
      </c>
      <c r="E640" t="s">
        <v>18</v>
      </c>
      <c r="F640" t="s">
        <v>18</v>
      </c>
      <c r="G640">
        <v>2.9437489999999999</v>
      </c>
      <c r="H640">
        <v>4</v>
      </c>
      <c r="I640" t="s">
        <v>20</v>
      </c>
      <c r="J640" t="s">
        <v>19</v>
      </c>
      <c r="K640">
        <v>2</v>
      </c>
      <c r="L640" t="s">
        <v>19</v>
      </c>
      <c r="M640">
        <v>2</v>
      </c>
      <c r="N640">
        <v>0.12889500000000001</v>
      </c>
      <c r="O640" t="s">
        <v>19</v>
      </c>
      <c r="P640" t="s">
        <v>28</v>
      </c>
      <c r="Q640" t="s">
        <v>32</v>
      </c>
    </row>
    <row r="641" spans="1:17" x14ac:dyDescent="0.2">
      <c r="A641" t="s">
        <v>23</v>
      </c>
      <c r="B641">
        <v>18</v>
      </c>
      <c r="C641">
        <v>1.721854</v>
      </c>
      <c r="D641">
        <v>52.514302000000001</v>
      </c>
      <c r="E641" t="s">
        <v>18</v>
      </c>
      <c r="F641" t="s">
        <v>18</v>
      </c>
      <c r="G641">
        <v>2.3399800000000002</v>
      </c>
      <c r="H641">
        <v>3</v>
      </c>
      <c r="I641" t="s">
        <v>20</v>
      </c>
      <c r="J641" t="s">
        <v>19</v>
      </c>
      <c r="K641">
        <v>2</v>
      </c>
      <c r="L641" t="s">
        <v>19</v>
      </c>
      <c r="M641">
        <v>2.7432999999999999E-2</v>
      </c>
      <c r="N641">
        <v>1.8841380000000001</v>
      </c>
      <c r="O641" t="s">
        <v>20</v>
      </c>
      <c r="P641" t="s">
        <v>21</v>
      </c>
      <c r="Q641" t="s">
        <v>32</v>
      </c>
    </row>
    <row r="642" spans="1:17" x14ac:dyDescent="0.2">
      <c r="A642" t="s">
        <v>17</v>
      </c>
      <c r="B642">
        <v>20.172661000000002</v>
      </c>
      <c r="C642">
        <v>1.605521</v>
      </c>
      <c r="D642">
        <v>44.661461000000003</v>
      </c>
      <c r="E642" t="s">
        <v>19</v>
      </c>
      <c r="F642" t="s">
        <v>19</v>
      </c>
      <c r="G642">
        <v>3</v>
      </c>
      <c r="H642">
        <v>2.8937780000000002</v>
      </c>
      <c r="I642" t="s">
        <v>24</v>
      </c>
      <c r="J642" t="s">
        <v>19</v>
      </c>
      <c r="K642">
        <v>1</v>
      </c>
      <c r="L642" t="s">
        <v>18</v>
      </c>
      <c r="M642">
        <v>0.76972600000000002</v>
      </c>
      <c r="N642">
        <v>0</v>
      </c>
      <c r="O642" t="s">
        <v>20</v>
      </c>
      <c r="P642" t="s">
        <v>21</v>
      </c>
      <c r="Q642" t="s">
        <v>32</v>
      </c>
    </row>
    <row r="643" spans="1:17" x14ac:dyDescent="0.2">
      <c r="A643" t="s">
        <v>17</v>
      </c>
      <c r="B643">
        <v>19.220108</v>
      </c>
      <c r="C643">
        <v>1.5302659999999999</v>
      </c>
      <c r="D643">
        <v>42</v>
      </c>
      <c r="E643" t="s">
        <v>19</v>
      </c>
      <c r="F643" t="s">
        <v>18</v>
      </c>
      <c r="G643">
        <v>3</v>
      </c>
      <c r="H643">
        <v>1</v>
      </c>
      <c r="I643" t="s">
        <v>24</v>
      </c>
      <c r="J643" t="s">
        <v>19</v>
      </c>
      <c r="K643">
        <v>1.9548890000000001</v>
      </c>
      <c r="L643" t="s">
        <v>19</v>
      </c>
      <c r="M643">
        <v>0</v>
      </c>
      <c r="N643">
        <v>0.90786800000000001</v>
      </c>
      <c r="O643" t="s">
        <v>20</v>
      </c>
      <c r="P643" t="s">
        <v>21</v>
      </c>
      <c r="Q643" t="s">
        <v>32</v>
      </c>
    </row>
    <row r="644" spans="1:17" x14ac:dyDescent="0.2">
      <c r="A644" t="s">
        <v>23</v>
      </c>
      <c r="B644">
        <v>18</v>
      </c>
      <c r="C644">
        <v>1.71889</v>
      </c>
      <c r="D644">
        <v>52.058335</v>
      </c>
      <c r="E644" t="s">
        <v>18</v>
      </c>
      <c r="F644" t="s">
        <v>18</v>
      </c>
      <c r="G644">
        <v>1.950742</v>
      </c>
      <c r="H644">
        <v>3</v>
      </c>
      <c r="I644" t="s">
        <v>20</v>
      </c>
      <c r="J644" t="s">
        <v>19</v>
      </c>
      <c r="K644">
        <v>1.7517229999999999</v>
      </c>
      <c r="L644" t="s">
        <v>19</v>
      </c>
      <c r="M644">
        <v>0.20113600000000001</v>
      </c>
      <c r="N644">
        <v>1.7433190000000001</v>
      </c>
      <c r="O644" t="s">
        <v>20</v>
      </c>
      <c r="P644" t="s">
        <v>21</v>
      </c>
      <c r="Q644" t="s">
        <v>32</v>
      </c>
    </row>
    <row r="645" spans="1:17" x14ac:dyDescent="0.2">
      <c r="A645" t="s">
        <v>23</v>
      </c>
      <c r="B645">
        <v>19.96247</v>
      </c>
      <c r="C645">
        <v>1.756338</v>
      </c>
      <c r="D645">
        <v>54.982340000000001</v>
      </c>
      <c r="E645" t="s">
        <v>18</v>
      </c>
      <c r="F645" t="s">
        <v>18</v>
      </c>
      <c r="G645">
        <v>2.2774359999999998</v>
      </c>
      <c r="H645">
        <v>3.5026039999999998</v>
      </c>
      <c r="I645" t="s">
        <v>20</v>
      </c>
      <c r="J645" t="s">
        <v>19</v>
      </c>
      <c r="K645">
        <v>2.8917130000000002</v>
      </c>
      <c r="L645" t="s">
        <v>19</v>
      </c>
      <c r="M645">
        <v>1.696294</v>
      </c>
      <c r="N645">
        <v>1.8949020000000001</v>
      </c>
      <c r="O645" t="s">
        <v>19</v>
      </c>
      <c r="P645" t="s">
        <v>21</v>
      </c>
      <c r="Q645" t="s">
        <v>32</v>
      </c>
    </row>
    <row r="646" spans="1:17" x14ac:dyDescent="0.2">
      <c r="A646" t="s">
        <v>23</v>
      </c>
      <c r="B646">
        <v>17.580627</v>
      </c>
      <c r="C646">
        <v>1.770324</v>
      </c>
      <c r="D646">
        <v>55.695253000000001</v>
      </c>
      <c r="E646" t="s">
        <v>18</v>
      </c>
      <c r="F646" t="s">
        <v>18</v>
      </c>
      <c r="G646">
        <v>2</v>
      </c>
      <c r="H646">
        <v>4</v>
      </c>
      <c r="I646" t="s">
        <v>20</v>
      </c>
      <c r="J646" t="s">
        <v>19</v>
      </c>
      <c r="K646">
        <v>2.3696269999999999</v>
      </c>
      <c r="L646" t="s">
        <v>19</v>
      </c>
      <c r="M646">
        <v>2</v>
      </c>
      <c r="N646">
        <v>1.612466</v>
      </c>
      <c r="O646" t="s">
        <v>19</v>
      </c>
      <c r="P646" t="s">
        <v>28</v>
      </c>
      <c r="Q646" t="s">
        <v>32</v>
      </c>
    </row>
    <row r="647" spans="1:17" x14ac:dyDescent="0.2">
      <c r="A647" t="s">
        <v>17</v>
      </c>
      <c r="B647">
        <v>21.125098000000001</v>
      </c>
      <c r="C647">
        <v>1.767479</v>
      </c>
      <c r="D647">
        <v>56.265959000000002</v>
      </c>
      <c r="E647" t="s">
        <v>18</v>
      </c>
      <c r="F647" t="s">
        <v>18</v>
      </c>
      <c r="G647">
        <v>2.3713380000000002</v>
      </c>
      <c r="H647">
        <v>3.9987659999999998</v>
      </c>
      <c r="I647" t="s">
        <v>24</v>
      </c>
      <c r="J647" t="s">
        <v>19</v>
      </c>
      <c r="K647">
        <v>2.2634660000000002</v>
      </c>
      <c r="L647" t="s">
        <v>19</v>
      </c>
      <c r="M647">
        <v>2</v>
      </c>
      <c r="N647">
        <v>0.84400399999999998</v>
      </c>
      <c r="O647" t="s">
        <v>19</v>
      </c>
      <c r="P647" t="s">
        <v>21</v>
      </c>
      <c r="Q647" t="s">
        <v>32</v>
      </c>
    </row>
    <row r="648" spans="1:17" x14ac:dyDescent="0.2">
      <c r="A648" t="s">
        <v>17</v>
      </c>
      <c r="B648">
        <v>22.033128999999999</v>
      </c>
      <c r="C648">
        <v>1.704223</v>
      </c>
      <c r="D648">
        <v>51.437984999999998</v>
      </c>
      <c r="E648" t="s">
        <v>18</v>
      </c>
      <c r="F648" t="s">
        <v>18</v>
      </c>
      <c r="G648">
        <v>2.9844249999999999</v>
      </c>
      <c r="H648">
        <v>3</v>
      </c>
      <c r="I648" t="s">
        <v>24</v>
      </c>
      <c r="J648" t="s">
        <v>19</v>
      </c>
      <c r="K648">
        <v>2.0446939999999998</v>
      </c>
      <c r="L648" t="s">
        <v>19</v>
      </c>
      <c r="M648">
        <v>2.0082559999999998</v>
      </c>
      <c r="N648">
        <v>1.2508710000000001</v>
      </c>
      <c r="O648" t="s">
        <v>19</v>
      </c>
      <c r="P648" t="s">
        <v>21</v>
      </c>
      <c r="Q648" t="s">
        <v>32</v>
      </c>
    </row>
    <row r="649" spans="1:17" x14ac:dyDescent="0.2">
      <c r="A649" t="s">
        <v>17</v>
      </c>
      <c r="B649">
        <v>20.744838999999999</v>
      </c>
      <c r="C649">
        <v>1.6678519999999999</v>
      </c>
      <c r="D649">
        <v>49.803921000000003</v>
      </c>
      <c r="E649" t="s">
        <v>18</v>
      </c>
      <c r="F649" t="s">
        <v>18</v>
      </c>
      <c r="G649">
        <v>2.9770180000000002</v>
      </c>
      <c r="H649">
        <v>3.1936710000000001</v>
      </c>
      <c r="I649" t="s">
        <v>24</v>
      </c>
      <c r="J649" t="s">
        <v>19</v>
      </c>
      <c r="K649">
        <v>2.4829330000000001</v>
      </c>
      <c r="L649" t="s">
        <v>19</v>
      </c>
      <c r="M649">
        <v>2</v>
      </c>
      <c r="N649">
        <v>1</v>
      </c>
      <c r="O649" t="s">
        <v>19</v>
      </c>
      <c r="P649" t="s">
        <v>21</v>
      </c>
      <c r="Q649" t="s">
        <v>32</v>
      </c>
    </row>
    <row r="650" spans="1:17" x14ac:dyDescent="0.2">
      <c r="A650" t="s">
        <v>17</v>
      </c>
      <c r="B650">
        <v>22.547298000000001</v>
      </c>
      <c r="C650">
        <v>1.722461</v>
      </c>
      <c r="D650">
        <v>51.881262999999997</v>
      </c>
      <c r="E650" t="s">
        <v>18</v>
      </c>
      <c r="F650" t="s">
        <v>18</v>
      </c>
      <c r="G650">
        <v>2.663421</v>
      </c>
      <c r="H650">
        <v>3</v>
      </c>
      <c r="I650" t="s">
        <v>24</v>
      </c>
      <c r="J650" t="s">
        <v>19</v>
      </c>
      <c r="K650">
        <v>1.04111</v>
      </c>
      <c r="L650" t="s">
        <v>19</v>
      </c>
      <c r="M650">
        <v>0.79440200000000005</v>
      </c>
      <c r="N650">
        <v>1.391948</v>
      </c>
      <c r="O650" t="s">
        <v>19</v>
      </c>
      <c r="P650" t="s">
        <v>21</v>
      </c>
      <c r="Q650" t="s">
        <v>32</v>
      </c>
    </row>
    <row r="651" spans="1:17" x14ac:dyDescent="0.2">
      <c r="A651" t="s">
        <v>17</v>
      </c>
      <c r="B651">
        <v>21.837996</v>
      </c>
      <c r="C651">
        <v>1.5880460000000001</v>
      </c>
      <c r="D651">
        <v>44.236066999999998</v>
      </c>
      <c r="E651" t="s">
        <v>19</v>
      </c>
      <c r="F651" t="s">
        <v>19</v>
      </c>
      <c r="G651">
        <v>3</v>
      </c>
      <c r="H651">
        <v>1.69608</v>
      </c>
      <c r="I651" t="s">
        <v>24</v>
      </c>
      <c r="J651" t="s">
        <v>19</v>
      </c>
      <c r="K651">
        <v>2.5503070000000001</v>
      </c>
      <c r="L651" t="s">
        <v>19</v>
      </c>
      <c r="M651">
        <v>1.098862</v>
      </c>
      <c r="N651">
        <v>0</v>
      </c>
      <c r="O651" t="s">
        <v>19</v>
      </c>
      <c r="P651" t="s">
        <v>21</v>
      </c>
      <c r="Q651" t="s">
        <v>32</v>
      </c>
    </row>
    <row r="652" spans="1:17" x14ac:dyDescent="0.2">
      <c r="A652" t="s">
        <v>17</v>
      </c>
      <c r="B652">
        <v>23.035829</v>
      </c>
      <c r="C652">
        <v>1.5986119999999999</v>
      </c>
      <c r="D652">
        <v>42.993937000000003</v>
      </c>
      <c r="E652" t="s">
        <v>19</v>
      </c>
      <c r="F652" t="s">
        <v>19</v>
      </c>
      <c r="G652">
        <v>2.753752</v>
      </c>
      <c r="H652">
        <v>2.8123770000000001</v>
      </c>
      <c r="I652" t="s">
        <v>24</v>
      </c>
      <c r="J652" t="s">
        <v>19</v>
      </c>
      <c r="K652">
        <v>2.3466469999999999</v>
      </c>
      <c r="L652" t="s">
        <v>19</v>
      </c>
      <c r="M652">
        <v>1.6122479999999999</v>
      </c>
      <c r="N652">
        <v>0</v>
      </c>
      <c r="O652" t="s">
        <v>19</v>
      </c>
      <c r="P652" t="s">
        <v>21</v>
      </c>
      <c r="Q652" t="s">
        <v>32</v>
      </c>
    </row>
    <row r="653" spans="1:17" x14ac:dyDescent="0.2">
      <c r="A653" t="s">
        <v>17</v>
      </c>
      <c r="B653">
        <v>21.529439</v>
      </c>
      <c r="C653">
        <v>1.592379</v>
      </c>
      <c r="D653">
        <v>44.009450000000001</v>
      </c>
      <c r="E653" t="s">
        <v>19</v>
      </c>
      <c r="F653" t="s">
        <v>19</v>
      </c>
      <c r="G653">
        <v>3</v>
      </c>
      <c r="H653">
        <v>1.6127469999999999</v>
      </c>
      <c r="I653" t="s">
        <v>24</v>
      </c>
      <c r="J653" t="s">
        <v>19</v>
      </c>
      <c r="K653">
        <v>2.5666289999999998</v>
      </c>
      <c r="L653" t="s">
        <v>19</v>
      </c>
      <c r="M653">
        <v>1.1904650000000001</v>
      </c>
      <c r="N653">
        <v>0</v>
      </c>
      <c r="O653" t="s">
        <v>19</v>
      </c>
      <c r="P653" t="s">
        <v>21</v>
      </c>
      <c r="Q653" t="s">
        <v>32</v>
      </c>
    </row>
    <row r="654" spans="1:17" x14ac:dyDescent="0.2">
      <c r="A654" t="s">
        <v>17</v>
      </c>
      <c r="B654">
        <v>21.287998999999999</v>
      </c>
      <c r="C654">
        <v>1.5557780000000001</v>
      </c>
      <c r="D654">
        <v>42.360100000000003</v>
      </c>
      <c r="E654" t="s">
        <v>19</v>
      </c>
      <c r="F654" t="s">
        <v>19</v>
      </c>
      <c r="G654">
        <v>2.3183549999999999</v>
      </c>
      <c r="H654">
        <v>1.0823039999999999</v>
      </c>
      <c r="I654" t="s">
        <v>24</v>
      </c>
      <c r="J654" t="s">
        <v>19</v>
      </c>
      <c r="K654">
        <v>1.2203649999999999</v>
      </c>
      <c r="L654" t="s">
        <v>19</v>
      </c>
      <c r="M654">
        <v>3.3328000000000003E-2</v>
      </c>
      <c r="N654">
        <v>0</v>
      </c>
      <c r="O654" t="s">
        <v>19</v>
      </c>
      <c r="P654" t="s">
        <v>21</v>
      </c>
      <c r="Q654" t="s">
        <v>32</v>
      </c>
    </row>
    <row r="655" spans="1:17" x14ac:dyDescent="0.2">
      <c r="A655" t="s">
        <v>17</v>
      </c>
      <c r="B655">
        <v>23.444286000000002</v>
      </c>
      <c r="C655">
        <v>1.5964659999999999</v>
      </c>
      <c r="D655">
        <v>44.594588000000002</v>
      </c>
      <c r="E655" t="s">
        <v>19</v>
      </c>
      <c r="F655" t="s">
        <v>19</v>
      </c>
      <c r="G655">
        <v>2.5946530000000001</v>
      </c>
      <c r="H655">
        <v>1.882158</v>
      </c>
      <c r="I655" t="s">
        <v>24</v>
      </c>
      <c r="J655" t="s">
        <v>19</v>
      </c>
      <c r="K655">
        <v>1.916812</v>
      </c>
      <c r="L655" t="s">
        <v>19</v>
      </c>
      <c r="M655">
        <v>0.41711900000000002</v>
      </c>
      <c r="N655">
        <v>0</v>
      </c>
      <c r="O655" t="s">
        <v>19</v>
      </c>
      <c r="P655" t="s">
        <v>21</v>
      </c>
      <c r="Q655" t="s">
        <v>32</v>
      </c>
    </row>
    <row r="656" spans="1:17" x14ac:dyDescent="0.2">
      <c r="A656" t="s">
        <v>17</v>
      </c>
      <c r="B656">
        <v>22.329041</v>
      </c>
      <c r="C656">
        <v>1.598393</v>
      </c>
      <c r="D656">
        <v>44.918255000000002</v>
      </c>
      <c r="E656" t="s">
        <v>19</v>
      </c>
      <c r="F656" t="s">
        <v>19</v>
      </c>
      <c r="G656">
        <v>2.8861569999999999</v>
      </c>
      <c r="H656">
        <v>2.3262330000000002</v>
      </c>
      <c r="I656" t="s">
        <v>24</v>
      </c>
      <c r="J656" t="s">
        <v>19</v>
      </c>
      <c r="K656">
        <v>2.3068209999999998</v>
      </c>
      <c r="L656" t="s">
        <v>19</v>
      </c>
      <c r="M656">
        <v>1.4223699999999999</v>
      </c>
      <c r="N656">
        <v>0</v>
      </c>
      <c r="O656" t="s">
        <v>19</v>
      </c>
      <c r="P656" t="s">
        <v>21</v>
      </c>
      <c r="Q656" t="s">
        <v>32</v>
      </c>
    </row>
    <row r="657" spans="1:17" x14ac:dyDescent="0.2">
      <c r="A657" t="s">
        <v>17</v>
      </c>
      <c r="B657">
        <v>18.915050000000001</v>
      </c>
      <c r="C657">
        <v>1.633316</v>
      </c>
      <c r="D657">
        <v>45</v>
      </c>
      <c r="E657" t="s">
        <v>19</v>
      </c>
      <c r="F657" t="s">
        <v>18</v>
      </c>
      <c r="G657">
        <v>3</v>
      </c>
      <c r="H657">
        <v>3</v>
      </c>
      <c r="I657" t="s">
        <v>20</v>
      </c>
      <c r="J657" t="s">
        <v>19</v>
      </c>
      <c r="K657">
        <v>2.9245939999999999</v>
      </c>
      <c r="L657" t="s">
        <v>18</v>
      </c>
      <c r="M657">
        <v>1.3525579999999999</v>
      </c>
      <c r="N657">
        <v>0.220087</v>
      </c>
      <c r="O657" t="s">
        <v>20</v>
      </c>
      <c r="P657" t="s">
        <v>21</v>
      </c>
      <c r="Q657" t="s">
        <v>32</v>
      </c>
    </row>
    <row r="658" spans="1:17" x14ac:dyDescent="0.2">
      <c r="A658" t="s">
        <v>17</v>
      </c>
      <c r="B658">
        <v>19</v>
      </c>
      <c r="C658">
        <v>1.5595669999999999</v>
      </c>
      <c r="D658">
        <v>42.126170000000002</v>
      </c>
      <c r="E658" t="s">
        <v>19</v>
      </c>
      <c r="F658" t="s">
        <v>18</v>
      </c>
      <c r="G658">
        <v>3</v>
      </c>
      <c r="H658">
        <v>1.989398</v>
      </c>
      <c r="I658" t="s">
        <v>20</v>
      </c>
      <c r="J658" t="s">
        <v>19</v>
      </c>
      <c r="K658">
        <v>2.2416070000000001</v>
      </c>
      <c r="L658" t="s">
        <v>19</v>
      </c>
      <c r="M658">
        <v>0.20602500000000001</v>
      </c>
      <c r="N658">
        <v>0.28445300000000001</v>
      </c>
      <c r="O658" t="s">
        <v>19</v>
      </c>
      <c r="P658" t="s">
        <v>21</v>
      </c>
      <c r="Q658" t="s">
        <v>32</v>
      </c>
    </row>
    <row r="659" spans="1:17" x14ac:dyDescent="0.2">
      <c r="A659" t="s">
        <v>17</v>
      </c>
      <c r="B659">
        <v>19.052833</v>
      </c>
      <c r="C659">
        <v>1.546551</v>
      </c>
      <c r="D659">
        <v>42.069991999999999</v>
      </c>
      <c r="E659" t="s">
        <v>19</v>
      </c>
      <c r="F659" t="s">
        <v>18</v>
      </c>
      <c r="G659">
        <v>3</v>
      </c>
      <c r="H659">
        <v>1.735493</v>
      </c>
      <c r="I659" t="s">
        <v>20</v>
      </c>
      <c r="J659" t="s">
        <v>19</v>
      </c>
      <c r="K659">
        <v>2.3187359999999999</v>
      </c>
      <c r="L659" t="s">
        <v>19</v>
      </c>
      <c r="M659">
        <v>1.193486</v>
      </c>
      <c r="N659">
        <v>0.74568000000000001</v>
      </c>
      <c r="O659" t="s">
        <v>19</v>
      </c>
      <c r="P659" t="s">
        <v>21</v>
      </c>
      <c r="Q659" t="s">
        <v>32</v>
      </c>
    </row>
    <row r="660" spans="1:17" x14ac:dyDescent="0.2">
      <c r="A660" t="s">
        <v>17</v>
      </c>
      <c r="B660">
        <v>19.599039999999999</v>
      </c>
      <c r="C660">
        <v>1.5665009999999999</v>
      </c>
      <c r="D660">
        <v>41.706282999999999</v>
      </c>
      <c r="E660" t="s">
        <v>19</v>
      </c>
      <c r="F660" t="s">
        <v>18</v>
      </c>
      <c r="G660">
        <v>2.9678529999999999</v>
      </c>
      <c r="H660">
        <v>1</v>
      </c>
      <c r="I660" t="s">
        <v>24</v>
      </c>
      <c r="J660" t="s">
        <v>19</v>
      </c>
      <c r="K660">
        <v>1.1311850000000001</v>
      </c>
      <c r="L660" t="s">
        <v>19</v>
      </c>
      <c r="M660">
        <v>0</v>
      </c>
      <c r="N660">
        <v>0.50417599999999996</v>
      </c>
      <c r="O660" t="s">
        <v>20</v>
      </c>
      <c r="P660" t="s">
        <v>21</v>
      </c>
      <c r="Q660" t="s">
        <v>32</v>
      </c>
    </row>
    <row r="661" spans="1:17" x14ac:dyDescent="0.2">
      <c r="A661" t="s">
        <v>17</v>
      </c>
      <c r="B661">
        <v>21</v>
      </c>
      <c r="C661">
        <v>1.52</v>
      </c>
      <c r="D661">
        <v>42</v>
      </c>
      <c r="E661" t="s">
        <v>19</v>
      </c>
      <c r="F661" t="s">
        <v>18</v>
      </c>
      <c r="G661">
        <v>3</v>
      </c>
      <c r="H661">
        <v>1</v>
      </c>
      <c r="I661" t="s">
        <v>24</v>
      </c>
      <c r="J661" t="s">
        <v>19</v>
      </c>
      <c r="K661">
        <v>1</v>
      </c>
      <c r="L661" t="s">
        <v>19</v>
      </c>
      <c r="M661">
        <v>0</v>
      </c>
      <c r="N661">
        <v>0</v>
      </c>
      <c r="O661" t="s">
        <v>20</v>
      </c>
      <c r="P661" t="s">
        <v>21</v>
      </c>
      <c r="Q661" t="s">
        <v>32</v>
      </c>
    </row>
    <row r="662" spans="1:17" x14ac:dyDescent="0.2">
      <c r="A662" t="s">
        <v>17</v>
      </c>
      <c r="B662">
        <v>19.673262000000001</v>
      </c>
      <c r="C662">
        <v>1.599486</v>
      </c>
      <c r="D662">
        <v>44.810751000000003</v>
      </c>
      <c r="E662" t="s">
        <v>19</v>
      </c>
      <c r="F662" t="s">
        <v>19</v>
      </c>
      <c r="G662">
        <v>3</v>
      </c>
      <c r="H662">
        <v>2.9745680000000001</v>
      </c>
      <c r="I662" t="s">
        <v>24</v>
      </c>
      <c r="J662" t="s">
        <v>19</v>
      </c>
      <c r="K662">
        <v>1.145761</v>
      </c>
      <c r="L662" t="s">
        <v>18</v>
      </c>
      <c r="M662">
        <v>0.87966999999999995</v>
      </c>
      <c r="N662">
        <v>0</v>
      </c>
      <c r="O662" t="s">
        <v>20</v>
      </c>
      <c r="P662" t="s">
        <v>21</v>
      </c>
      <c r="Q662" t="s">
        <v>32</v>
      </c>
    </row>
    <row r="663" spans="1:17" x14ac:dyDescent="0.2">
      <c r="A663" t="s">
        <v>17</v>
      </c>
      <c r="B663">
        <v>20.244358999999999</v>
      </c>
      <c r="C663">
        <v>1.559186</v>
      </c>
      <c r="D663">
        <v>41.952804999999998</v>
      </c>
      <c r="E663" t="s">
        <v>19</v>
      </c>
      <c r="F663" t="s">
        <v>18</v>
      </c>
      <c r="G663">
        <v>2.6198350000000001</v>
      </c>
      <c r="H663">
        <v>1</v>
      </c>
      <c r="I663" t="s">
        <v>24</v>
      </c>
      <c r="J663" t="s">
        <v>19</v>
      </c>
      <c r="K663">
        <v>1.1988829999999999</v>
      </c>
      <c r="L663" t="s">
        <v>19</v>
      </c>
      <c r="M663">
        <v>0</v>
      </c>
      <c r="N663">
        <v>0.75121199999999999</v>
      </c>
      <c r="O663" t="s">
        <v>20</v>
      </c>
      <c r="P663" t="s">
        <v>21</v>
      </c>
      <c r="Q663" t="s">
        <v>32</v>
      </c>
    </row>
    <row r="664" spans="1:17" x14ac:dyDescent="0.2">
      <c r="A664" t="s">
        <v>17</v>
      </c>
      <c r="B664">
        <v>20.552695</v>
      </c>
      <c r="C664">
        <v>1.5234259999999999</v>
      </c>
      <c r="D664">
        <v>42</v>
      </c>
      <c r="E664" t="s">
        <v>19</v>
      </c>
      <c r="F664" t="s">
        <v>18</v>
      </c>
      <c r="G664">
        <v>3</v>
      </c>
      <c r="H664">
        <v>1</v>
      </c>
      <c r="I664" t="s">
        <v>24</v>
      </c>
      <c r="J664" t="s">
        <v>19</v>
      </c>
      <c r="K664">
        <v>1.1850620000000001</v>
      </c>
      <c r="L664" t="s">
        <v>19</v>
      </c>
      <c r="M664">
        <v>0</v>
      </c>
      <c r="N664">
        <v>7.6654E-2</v>
      </c>
      <c r="O664" t="s">
        <v>20</v>
      </c>
      <c r="P664" t="s">
        <v>21</v>
      </c>
      <c r="Q664" t="s">
        <v>32</v>
      </c>
    </row>
    <row r="665" spans="1:17" x14ac:dyDescent="0.2">
      <c r="A665" t="s">
        <v>17</v>
      </c>
      <c r="B665">
        <v>21</v>
      </c>
      <c r="C665">
        <v>1.52</v>
      </c>
      <c r="D665">
        <v>42</v>
      </c>
      <c r="E665" t="s">
        <v>19</v>
      </c>
      <c r="F665" t="s">
        <v>18</v>
      </c>
      <c r="G665">
        <v>3</v>
      </c>
      <c r="H665">
        <v>1</v>
      </c>
      <c r="I665" t="s">
        <v>24</v>
      </c>
      <c r="J665" t="s">
        <v>19</v>
      </c>
      <c r="K665">
        <v>1</v>
      </c>
      <c r="L665" t="s">
        <v>19</v>
      </c>
      <c r="M665">
        <v>0</v>
      </c>
      <c r="N665">
        <v>0</v>
      </c>
      <c r="O665" t="s">
        <v>20</v>
      </c>
      <c r="P665" t="s">
        <v>21</v>
      </c>
      <c r="Q665" t="s">
        <v>32</v>
      </c>
    </row>
    <row r="666" spans="1:17" x14ac:dyDescent="0.2">
      <c r="A666" t="s">
        <v>17</v>
      </c>
      <c r="B666">
        <v>21.997682999999999</v>
      </c>
      <c r="C666">
        <v>1.689441</v>
      </c>
      <c r="D666">
        <v>51.107925000000002</v>
      </c>
      <c r="E666" t="s">
        <v>18</v>
      </c>
      <c r="F666" t="s">
        <v>18</v>
      </c>
      <c r="G666">
        <v>3</v>
      </c>
      <c r="H666">
        <v>3.7151179999999999</v>
      </c>
      <c r="I666" t="s">
        <v>24</v>
      </c>
      <c r="J666" t="s">
        <v>19</v>
      </c>
      <c r="K666">
        <v>1.7745759999999999</v>
      </c>
      <c r="L666" t="s">
        <v>19</v>
      </c>
      <c r="M666">
        <v>0.10297000000000001</v>
      </c>
      <c r="N666">
        <v>0.64642299999999997</v>
      </c>
      <c r="O666" t="s">
        <v>19</v>
      </c>
      <c r="P666" t="s">
        <v>21</v>
      </c>
      <c r="Q666" t="s">
        <v>32</v>
      </c>
    </row>
    <row r="667" spans="1:17" x14ac:dyDescent="0.2">
      <c r="A667" t="s">
        <v>17</v>
      </c>
      <c r="B667">
        <v>21.274628</v>
      </c>
      <c r="C667">
        <v>1.7374529999999999</v>
      </c>
      <c r="D667">
        <v>50.479039</v>
      </c>
      <c r="E667" t="s">
        <v>18</v>
      </c>
      <c r="F667" t="s">
        <v>18</v>
      </c>
      <c r="G667">
        <v>3</v>
      </c>
      <c r="H667">
        <v>3.4899179999999999</v>
      </c>
      <c r="I667" t="s">
        <v>24</v>
      </c>
      <c r="J667" t="s">
        <v>19</v>
      </c>
      <c r="K667">
        <v>1.326694</v>
      </c>
      <c r="L667" t="s">
        <v>19</v>
      </c>
      <c r="M667">
        <v>0.79192899999999999</v>
      </c>
      <c r="N667">
        <v>0.12839400000000001</v>
      </c>
      <c r="O667" t="s">
        <v>19</v>
      </c>
      <c r="P667" t="s">
        <v>21</v>
      </c>
      <c r="Q667" t="s">
        <v>32</v>
      </c>
    </row>
    <row r="668" spans="1:17" x14ac:dyDescent="0.2">
      <c r="A668" t="s">
        <v>17</v>
      </c>
      <c r="B668">
        <v>18.909438999999999</v>
      </c>
      <c r="C668">
        <v>1.7320960000000001</v>
      </c>
      <c r="D668">
        <v>50</v>
      </c>
      <c r="E668" t="s">
        <v>19</v>
      </c>
      <c r="F668" t="s">
        <v>18</v>
      </c>
      <c r="G668">
        <v>1.053534</v>
      </c>
      <c r="H668">
        <v>3.3788589999999998</v>
      </c>
      <c r="I668" t="s">
        <v>20</v>
      </c>
      <c r="J668" t="s">
        <v>19</v>
      </c>
      <c r="K668">
        <v>1</v>
      </c>
      <c r="L668" t="s">
        <v>19</v>
      </c>
      <c r="M668">
        <v>1.8534250000000001</v>
      </c>
      <c r="N668">
        <v>0.86180900000000005</v>
      </c>
      <c r="O668" t="s">
        <v>20</v>
      </c>
      <c r="P668" t="s">
        <v>21</v>
      </c>
      <c r="Q668" t="s">
        <v>32</v>
      </c>
    </row>
    <row r="669" spans="1:17" x14ac:dyDescent="0.2">
      <c r="A669" t="s">
        <v>23</v>
      </c>
      <c r="B669">
        <v>22.396504</v>
      </c>
      <c r="C669">
        <v>1.8690979999999999</v>
      </c>
      <c r="D669">
        <v>61.411141000000001</v>
      </c>
      <c r="E669" t="s">
        <v>18</v>
      </c>
      <c r="F669" t="s">
        <v>18</v>
      </c>
      <c r="G669">
        <v>3</v>
      </c>
      <c r="H669">
        <v>3.263201</v>
      </c>
      <c r="I669" t="s">
        <v>20</v>
      </c>
      <c r="J669" t="s">
        <v>19</v>
      </c>
      <c r="K669">
        <v>2.2332740000000002</v>
      </c>
      <c r="L669" t="s">
        <v>19</v>
      </c>
      <c r="M669">
        <v>1.5577369999999999</v>
      </c>
      <c r="N669">
        <v>3.5500000000000001E-4</v>
      </c>
      <c r="O669" t="s">
        <v>20</v>
      </c>
      <c r="P669" t="s">
        <v>28</v>
      </c>
      <c r="Q669" t="s">
        <v>32</v>
      </c>
    </row>
    <row r="670" spans="1:17" x14ac:dyDescent="0.2">
      <c r="A670" t="s">
        <v>23</v>
      </c>
      <c r="B670">
        <v>19.084316999999999</v>
      </c>
      <c r="C670">
        <v>1.8511230000000001</v>
      </c>
      <c r="D670">
        <v>61.264785000000003</v>
      </c>
      <c r="E670" t="s">
        <v>18</v>
      </c>
      <c r="F670" t="s">
        <v>18</v>
      </c>
      <c r="G670">
        <v>3</v>
      </c>
      <c r="H670">
        <v>3.9945879999999998</v>
      </c>
      <c r="I670" t="s">
        <v>20</v>
      </c>
      <c r="J670" t="s">
        <v>19</v>
      </c>
      <c r="K670">
        <v>2.548527</v>
      </c>
      <c r="L670" t="s">
        <v>19</v>
      </c>
      <c r="M670">
        <v>1.285976</v>
      </c>
      <c r="N670">
        <v>0.26707599999999998</v>
      </c>
      <c r="O670" t="s">
        <v>20</v>
      </c>
      <c r="P670" t="s">
        <v>28</v>
      </c>
      <c r="Q670" t="s">
        <v>32</v>
      </c>
    </row>
    <row r="671" spans="1:17" x14ac:dyDescent="0.2">
      <c r="A671" t="s">
        <v>23</v>
      </c>
      <c r="B671">
        <v>21.084624999999999</v>
      </c>
      <c r="C671">
        <v>1.787264</v>
      </c>
      <c r="D671">
        <v>58.585146000000002</v>
      </c>
      <c r="E671" t="s">
        <v>18</v>
      </c>
      <c r="F671" t="s">
        <v>18</v>
      </c>
      <c r="G671">
        <v>2.530233</v>
      </c>
      <c r="H671">
        <v>3.2493400000000001</v>
      </c>
      <c r="I671" t="s">
        <v>20</v>
      </c>
      <c r="J671" t="s">
        <v>19</v>
      </c>
      <c r="K671">
        <v>2.3879450000000002</v>
      </c>
      <c r="L671" t="s">
        <v>19</v>
      </c>
      <c r="M671">
        <v>1.9763409999999999</v>
      </c>
      <c r="N671">
        <v>1.6725080000000001</v>
      </c>
      <c r="O671" t="s">
        <v>19</v>
      </c>
      <c r="P671" t="s">
        <v>28</v>
      </c>
      <c r="Q671" t="s">
        <v>32</v>
      </c>
    </row>
    <row r="672" spans="1:17" x14ac:dyDescent="0.2">
      <c r="A672" t="s">
        <v>23</v>
      </c>
      <c r="B672">
        <v>18.068767000000001</v>
      </c>
      <c r="C672">
        <v>1.787787</v>
      </c>
      <c r="D672">
        <v>52</v>
      </c>
      <c r="E672" t="s">
        <v>18</v>
      </c>
      <c r="F672" t="s">
        <v>18</v>
      </c>
      <c r="G672">
        <v>3</v>
      </c>
      <c r="H672">
        <v>3</v>
      </c>
      <c r="I672" t="s">
        <v>20</v>
      </c>
      <c r="J672" t="s">
        <v>19</v>
      </c>
      <c r="K672">
        <v>2</v>
      </c>
      <c r="L672" t="s">
        <v>19</v>
      </c>
      <c r="M672">
        <v>0.85433700000000001</v>
      </c>
      <c r="N672">
        <v>1</v>
      </c>
      <c r="O672" t="s">
        <v>20</v>
      </c>
      <c r="P672" t="s">
        <v>21</v>
      </c>
      <c r="Q672" t="s">
        <v>32</v>
      </c>
    </row>
    <row r="673" spans="1:17" x14ac:dyDescent="0.2">
      <c r="A673" t="s">
        <v>17</v>
      </c>
      <c r="B673">
        <v>21.813082999999999</v>
      </c>
      <c r="C673">
        <v>1.712515</v>
      </c>
      <c r="D673">
        <v>51.710723000000002</v>
      </c>
      <c r="E673" t="s">
        <v>18</v>
      </c>
      <c r="F673" t="s">
        <v>18</v>
      </c>
      <c r="G673">
        <v>2.8813</v>
      </c>
      <c r="H673">
        <v>3.0875439999999998</v>
      </c>
      <c r="I673" t="s">
        <v>24</v>
      </c>
      <c r="J673" t="s">
        <v>19</v>
      </c>
      <c r="K673">
        <v>1.2481800000000001</v>
      </c>
      <c r="L673" t="s">
        <v>19</v>
      </c>
      <c r="M673">
        <v>1.9524269999999999</v>
      </c>
      <c r="N673">
        <v>0.42746099999999998</v>
      </c>
      <c r="O673" t="s">
        <v>19</v>
      </c>
      <c r="P673" t="s">
        <v>21</v>
      </c>
      <c r="Q673" t="s">
        <v>32</v>
      </c>
    </row>
    <row r="674" spans="1:17" x14ac:dyDescent="0.2">
      <c r="A674" t="s">
        <v>23</v>
      </c>
      <c r="B674">
        <v>18.038422000000001</v>
      </c>
      <c r="C674">
        <v>1.698914</v>
      </c>
      <c r="D674">
        <v>51.692272000000003</v>
      </c>
      <c r="E674" t="s">
        <v>18</v>
      </c>
      <c r="F674" t="s">
        <v>18</v>
      </c>
      <c r="G674">
        <v>2.8245589999999998</v>
      </c>
      <c r="H674">
        <v>3</v>
      </c>
      <c r="I674" t="s">
        <v>20</v>
      </c>
      <c r="J674" t="s">
        <v>19</v>
      </c>
      <c r="K674">
        <v>2</v>
      </c>
      <c r="L674" t="s">
        <v>19</v>
      </c>
      <c r="M674">
        <v>0.53330900000000003</v>
      </c>
      <c r="N674">
        <v>1.099764</v>
      </c>
      <c r="O674" t="s">
        <v>20</v>
      </c>
      <c r="P674" t="s">
        <v>21</v>
      </c>
      <c r="Q674" t="s">
        <v>32</v>
      </c>
    </row>
    <row r="675" spans="1:17" x14ac:dyDescent="0.2">
      <c r="A675" t="s">
        <v>17</v>
      </c>
      <c r="B675">
        <v>18.874590999999999</v>
      </c>
      <c r="C675">
        <v>1.533609</v>
      </c>
      <c r="D675">
        <v>41.669345999999997</v>
      </c>
      <c r="E675" t="s">
        <v>19</v>
      </c>
      <c r="F675" t="s">
        <v>18</v>
      </c>
      <c r="G675">
        <v>2.7623250000000001</v>
      </c>
      <c r="H675">
        <v>1.1636660000000001</v>
      </c>
      <c r="I675" t="s">
        <v>20</v>
      </c>
      <c r="J675" t="s">
        <v>19</v>
      </c>
      <c r="K675">
        <v>1.30491</v>
      </c>
      <c r="L675" t="s">
        <v>19</v>
      </c>
      <c r="M675">
        <v>0.25289</v>
      </c>
      <c r="N675">
        <v>1.0014050000000001</v>
      </c>
      <c r="O675" t="s">
        <v>20</v>
      </c>
      <c r="P675" t="s">
        <v>21</v>
      </c>
      <c r="Q675" t="s">
        <v>32</v>
      </c>
    </row>
    <row r="676" spans="1:17" x14ac:dyDescent="0.2">
      <c r="A676" t="s">
        <v>17</v>
      </c>
      <c r="B676">
        <v>19.211639999999999</v>
      </c>
      <c r="C676">
        <v>1.5679810000000001</v>
      </c>
      <c r="D676">
        <v>41.934367999999999</v>
      </c>
      <c r="E676" t="s">
        <v>19</v>
      </c>
      <c r="F676" t="s">
        <v>18</v>
      </c>
      <c r="G676">
        <v>2.070964</v>
      </c>
      <c r="H676">
        <v>1</v>
      </c>
      <c r="I676" t="s">
        <v>20</v>
      </c>
      <c r="J676" t="s">
        <v>19</v>
      </c>
      <c r="K676">
        <v>1.6769750000000001</v>
      </c>
      <c r="L676" t="s">
        <v>19</v>
      </c>
      <c r="M676">
        <v>0</v>
      </c>
      <c r="N676">
        <v>1.718513</v>
      </c>
      <c r="O676" t="s">
        <v>20</v>
      </c>
      <c r="P676" t="s">
        <v>21</v>
      </c>
      <c r="Q676" t="s">
        <v>32</v>
      </c>
    </row>
    <row r="677" spans="1:17" x14ac:dyDescent="0.2">
      <c r="A677" t="s">
        <v>17</v>
      </c>
      <c r="B677">
        <v>18.988581</v>
      </c>
      <c r="C677">
        <v>1.5442629999999999</v>
      </c>
      <c r="D677">
        <v>41.535046999999999</v>
      </c>
      <c r="E677" t="s">
        <v>19</v>
      </c>
      <c r="F677" t="s">
        <v>18</v>
      </c>
      <c r="G677">
        <v>2.68601</v>
      </c>
      <c r="H677">
        <v>1</v>
      </c>
      <c r="I677" t="s">
        <v>20</v>
      </c>
      <c r="J677" t="s">
        <v>19</v>
      </c>
      <c r="K677">
        <v>1.310074</v>
      </c>
      <c r="L677" t="s">
        <v>19</v>
      </c>
      <c r="M677">
        <v>0</v>
      </c>
      <c r="N677">
        <v>1.0647</v>
      </c>
      <c r="O677" t="s">
        <v>20</v>
      </c>
      <c r="P677" t="s">
        <v>21</v>
      </c>
      <c r="Q677" t="s">
        <v>32</v>
      </c>
    </row>
    <row r="678" spans="1:17" x14ac:dyDescent="0.2">
      <c r="A678" t="s">
        <v>17</v>
      </c>
      <c r="B678">
        <v>19.408999000000001</v>
      </c>
      <c r="C678">
        <v>1.670552</v>
      </c>
      <c r="D678">
        <v>49.804245000000002</v>
      </c>
      <c r="E678" t="s">
        <v>19</v>
      </c>
      <c r="F678" t="s">
        <v>18</v>
      </c>
      <c r="G678">
        <v>2.794197</v>
      </c>
      <c r="H678">
        <v>3.4093629999999999</v>
      </c>
      <c r="I678" t="s">
        <v>20</v>
      </c>
      <c r="J678" t="s">
        <v>19</v>
      </c>
      <c r="K678">
        <v>1.543021</v>
      </c>
      <c r="L678" t="s">
        <v>19</v>
      </c>
      <c r="M678">
        <v>2</v>
      </c>
      <c r="N678">
        <v>1</v>
      </c>
      <c r="O678" t="s">
        <v>20</v>
      </c>
      <c r="P678" t="s">
        <v>21</v>
      </c>
      <c r="Q678" t="s">
        <v>32</v>
      </c>
    </row>
    <row r="679" spans="1:17" x14ac:dyDescent="0.2">
      <c r="A679" t="s">
        <v>17</v>
      </c>
      <c r="B679">
        <v>19.665880999999999</v>
      </c>
      <c r="C679">
        <v>1.6763459999999999</v>
      </c>
      <c r="D679">
        <v>49.105024999999998</v>
      </c>
      <c r="E679" t="s">
        <v>19</v>
      </c>
      <c r="F679" t="s">
        <v>19</v>
      </c>
      <c r="G679">
        <v>2.720701</v>
      </c>
      <c r="H679">
        <v>3</v>
      </c>
      <c r="I679" t="s">
        <v>20</v>
      </c>
      <c r="J679" t="s">
        <v>19</v>
      </c>
      <c r="K679">
        <v>2</v>
      </c>
      <c r="L679" t="s">
        <v>19</v>
      </c>
      <c r="M679">
        <v>1.8622350000000001</v>
      </c>
      <c r="N679">
        <v>1</v>
      </c>
      <c r="O679" t="s">
        <v>20</v>
      </c>
      <c r="P679" t="s">
        <v>21</v>
      </c>
      <c r="Q679" t="s">
        <v>32</v>
      </c>
    </row>
    <row r="680" spans="1:17" x14ac:dyDescent="0.2">
      <c r="A680" t="s">
        <v>17</v>
      </c>
      <c r="B680">
        <v>19.758285999999998</v>
      </c>
      <c r="C680">
        <v>1.6674040000000001</v>
      </c>
      <c r="D680">
        <v>49.125954999999998</v>
      </c>
      <c r="E680" t="s">
        <v>19</v>
      </c>
      <c r="F680" t="s">
        <v>19</v>
      </c>
      <c r="G680">
        <v>2.880792</v>
      </c>
      <c r="H680">
        <v>3.2813910000000002</v>
      </c>
      <c r="I680" t="s">
        <v>20</v>
      </c>
      <c r="J680" t="s">
        <v>19</v>
      </c>
      <c r="K680">
        <v>1.9601310000000001</v>
      </c>
      <c r="L680" t="s">
        <v>19</v>
      </c>
      <c r="M680">
        <v>1.513029</v>
      </c>
      <c r="N680">
        <v>1</v>
      </c>
      <c r="O680" t="s">
        <v>20</v>
      </c>
      <c r="P680" t="s">
        <v>21</v>
      </c>
      <c r="Q680" t="s">
        <v>32</v>
      </c>
    </row>
    <row r="681" spans="1:17" x14ac:dyDescent="0.2">
      <c r="A681" t="s">
        <v>17</v>
      </c>
      <c r="B681">
        <v>22.422674000000001</v>
      </c>
      <c r="C681">
        <v>1.70011</v>
      </c>
      <c r="D681">
        <v>50.173425000000002</v>
      </c>
      <c r="E681" t="s">
        <v>18</v>
      </c>
      <c r="F681" t="s">
        <v>18</v>
      </c>
      <c r="G681">
        <v>2.6744309999999998</v>
      </c>
      <c r="H681">
        <v>3</v>
      </c>
      <c r="I681" t="s">
        <v>24</v>
      </c>
      <c r="J681" t="s">
        <v>19</v>
      </c>
      <c r="K681">
        <v>2.4533839999999998</v>
      </c>
      <c r="L681" t="s">
        <v>19</v>
      </c>
      <c r="M681">
        <v>1.3216239999999999</v>
      </c>
      <c r="N681">
        <v>1.9906170000000001</v>
      </c>
      <c r="O681" t="s">
        <v>19</v>
      </c>
      <c r="P681" t="s">
        <v>21</v>
      </c>
      <c r="Q681" t="s">
        <v>32</v>
      </c>
    </row>
    <row r="682" spans="1:17" x14ac:dyDescent="0.2">
      <c r="A682" t="s">
        <v>23</v>
      </c>
      <c r="B682">
        <v>20.242236999999999</v>
      </c>
      <c r="C682">
        <v>1.7563299999999999</v>
      </c>
      <c r="D682">
        <v>54.567343000000001</v>
      </c>
      <c r="E682" t="s">
        <v>18</v>
      </c>
      <c r="F682" t="s">
        <v>18</v>
      </c>
      <c r="G682">
        <v>2</v>
      </c>
      <c r="H682">
        <v>3.9852500000000002</v>
      </c>
      <c r="I682" t="s">
        <v>20</v>
      </c>
      <c r="J682" t="s">
        <v>19</v>
      </c>
      <c r="K682">
        <v>2.6540780000000002</v>
      </c>
      <c r="L682" t="s">
        <v>19</v>
      </c>
      <c r="M682">
        <v>2.1131509999999998</v>
      </c>
      <c r="N682">
        <v>2</v>
      </c>
      <c r="O682" t="s">
        <v>19</v>
      </c>
      <c r="P682" t="s">
        <v>21</v>
      </c>
      <c r="Q682" t="s">
        <v>32</v>
      </c>
    </row>
    <row r="683" spans="1:17" x14ac:dyDescent="0.2">
      <c r="A683" t="s">
        <v>17</v>
      </c>
      <c r="B683">
        <v>22.637018000000001</v>
      </c>
      <c r="C683">
        <v>1.703584</v>
      </c>
      <c r="D683">
        <v>51.607090999999997</v>
      </c>
      <c r="E683" t="s">
        <v>18</v>
      </c>
      <c r="F683" t="s">
        <v>18</v>
      </c>
      <c r="G683">
        <v>2.5599599999999998</v>
      </c>
      <c r="H683">
        <v>3</v>
      </c>
      <c r="I683" t="s">
        <v>24</v>
      </c>
      <c r="J683" t="s">
        <v>19</v>
      </c>
      <c r="K683">
        <v>1.990788</v>
      </c>
      <c r="L683" t="s">
        <v>19</v>
      </c>
      <c r="M683">
        <v>0.48600599999999999</v>
      </c>
      <c r="N683">
        <v>1.561272</v>
      </c>
      <c r="O683" t="s">
        <v>19</v>
      </c>
      <c r="P683" t="s">
        <v>21</v>
      </c>
      <c r="Q683" t="s">
        <v>32</v>
      </c>
    </row>
    <row r="684" spans="1:17" x14ac:dyDescent="0.2">
      <c r="A684" t="s">
        <v>17</v>
      </c>
      <c r="B684">
        <v>19.007176999999999</v>
      </c>
      <c r="C684">
        <v>1.6907270000000001</v>
      </c>
      <c r="D684">
        <v>49.895716</v>
      </c>
      <c r="E684" t="s">
        <v>19</v>
      </c>
      <c r="F684" t="s">
        <v>18</v>
      </c>
      <c r="G684">
        <v>1.2129080000000001</v>
      </c>
      <c r="H684">
        <v>3.207071</v>
      </c>
      <c r="I684" t="s">
        <v>20</v>
      </c>
      <c r="J684" t="s">
        <v>19</v>
      </c>
      <c r="K684">
        <v>1.029703</v>
      </c>
      <c r="L684" t="s">
        <v>19</v>
      </c>
      <c r="M684">
        <v>2</v>
      </c>
      <c r="N684">
        <v>1</v>
      </c>
      <c r="O684" t="s">
        <v>20</v>
      </c>
      <c r="P684" t="s">
        <v>21</v>
      </c>
      <c r="Q684" t="s">
        <v>32</v>
      </c>
    </row>
    <row r="685" spans="1:17" x14ac:dyDescent="0.2">
      <c r="A685" t="s">
        <v>17</v>
      </c>
      <c r="B685">
        <v>18.288205000000001</v>
      </c>
      <c r="C685">
        <v>1.7135640000000001</v>
      </c>
      <c r="D685">
        <v>50</v>
      </c>
      <c r="E685" t="s">
        <v>19</v>
      </c>
      <c r="F685" t="s">
        <v>18</v>
      </c>
      <c r="G685">
        <v>1.1406149999999999</v>
      </c>
      <c r="H685">
        <v>3.471536</v>
      </c>
      <c r="I685" t="s">
        <v>20</v>
      </c>
      <c r="J685" t="s">
        <v>19</v>
      </c>
      <c r="K685">
        <v>1</v>
      </c>
      <c r="L685" t="s">
        <v>19</v>
      </c>
      <c r="M685">
        <v>2</v>
      </c>
      <c r="N685">
        <v>1</v>
      </c>
      <c r="O685" t="s">
        <v>20</v>
      </c>
      <c r="P685" t="s">
        <v>21</v>
      </c>
      <c r="Q685" t="s">
        <v>32</v>
      </c>
    </row>
    <row r="686" spans="1:17" x14ac:dyDescent="0.2">
      <c r="A686" t="s">
        <v>17</v>
      </c>
      <c r="B686">
        <v>19.314429000000001</v>
      </c>
      <c r="C686">
        <v>1.67231</v>
      </c>
      <c r="D686">
        <v>49.713943999999998</v>
      </c>
      <c r="E686" t="s">
        <v>19</v>
      </c>
      <c r="F686" t="s">
        <v>18</v>
      </c>
      <c r="G686">
        <v>2.5624090000000002</v>
      </c>
      <c r="H686">
        <v>3.4883419999999998</v>
      </c>
      <c r="I686" t="s">
        <v>20</v>
      </c>
      <c r="J686" t="s">
        <v>19</v>
      </c>
      <c r="K686">
        <v>1.67062</v>
      </c>
      <c r="L686" t="s">
        <v>19</v>
      </c>
      <c r="M686">
        <v>2</v>
      </c>
      <c r="N686">
        <v>1</v>
      </c>
      <c r="O686" t="s">
        <v>20</v>
      </c>
      <c r="P686" t="s">
        <v>21</v>
      </c>
      <c r="Q686" t="s">
        <v>32</v>
      </c>
    </row>
    <row r="687" spans="1:17" x14ac:dyDescent="0.2">
      <c r="A687" t="s">
        <v>17</v>
      </c>
      <c r="B687">
        <v>27.148230000000002</v>
      </c>
      <c r="C687">
        <v>1.6604460000000001</v>
      </c>
      <c r="D687">
        <v>49.558304</v>
      </c>
      <c r="E687" t="s">
        <v>18</v>
      </c>
      <c r="F687" t="s">
        <v>18</v>
      </c>
      <c r="G687">
        <v>2.004146</v>
      </c>
      <c r="H687">
        <v>3.4434559999999999</v>
      </c>
      <c r="I687" t="s">
        <v>24</v>
      </c>
      <c r="J687" t="s">
        <v>19</v>
      </c>
      <c r="K687">
        <v>2.0207639999999998</v>
      </c>
      <c r="L687" t="s">
        <v>19</v>
      </c>
      <c r="M687">
        <v>1.078719</v>
      </c>
      <c r="N687">
        <v>1.26729</v>
      </c>
      <c r="O687" t="s">
        <v>19</v>
      </c>
      <c r="P687" t="s">
        <v>21</v>
      </c>
      <c r="Q687" t="s">
        <v>32</v>
      </c>
    </row>
    <row r="688" spans="1:17" x14ac:dyDescent="0.2">
      <c r="A688" t="s">
        <v>17</v>
      </c>
      <c r="B688">
        <v>25.380557</v>
      </c>
      <c r="C688">
        <v>1.630379</v>
      </c>
      <c r="D688">
        <v>46.062953999999998</v>
      </c>
      <c r="E688" t="s">
        <v>18</v>
      </c>
      <c r="F688" t="s">
        <v>18</v>
      </c>
      <c r="G688">
        <v>2.6907540000000001</v>
      </c>
      <c r="H688">
        <v>3.0377900000000002</v>
      </c>
      <c r="I688" t="s">
        <v>24</v>
      </c>
      <c r="J688" t="s">
        <v>19</v>
      </c>
      <c r="K688">
        <v>2.2122959999999998</v>
      </c>
      <c r="L688" t="s">
        <v>19</v>
      </c>
      <c r="M688">
        <v>1.6168819999999999</v>
      </c>
      <c r="N688">
        <v>0</v>
      </c>
      <c r="O688" t="s">
        <v>19</v>
      </c>
      <c r="P688" t="s">
        <v>21</v>
      </c>
      <c r="Q688" t="s">
        <v>32</v>
      </c>
    </row>
    <row r="689" spans="1:17" x14ac:dyDescent="0.2">
      <c r="A689" t="s">
        <v>17</v>
      </c>
      <c r="B689">
        <v>22.867719000000001</v>
      </c>
      <c r="C689">
        <v>1.655413</v>
      </c>
      <c r="D689">
        <v>50.424661</v>
      </c>
      <c r="E689" t="s">
        <v>18</v>
      </c>
      <c r="F689" t="s">
        <v>18</v>
      </c>
      <c r="G689">
        <v>3</v>
      </c>
      <c r="H689">
        <v>3.6428020000000001</v>
      </c>
      <c r="I689" t="s">
        <v>24</v>
      </c>
      <c r="J689" t="s">
        <v>19</v>
      </c>
      <c r="K689">
        <v>1.995177</v>
      </c>
      <c r="L689" t="s">
        <v>19</v>
      </c>
      <c r="M689">
        <v>0.118271</v>
      </c>
      <c r="N689">
        <v>6.5515000000000004E-2</v>
      </c>
      <c r="O689" t="s">
        <v>19</v>
      </c>
      <c r="P689" t="s">
        <v>21</v>
      </c>
      <c r="Q689" t="s">
        <v>32</v>
      </c>
    </row>
    <row r="690" spans="1:17" x14ac:dyDescent="0.2">
      <c r="A690" t="s">
        <v>23</v>
      </c>
      <c r="B690">
        <v>17.729922999999999</v>
      </c>
      <c r="C690">
        <v>1.7328619999999999</v>
      </c>
      <c r="D690">
        <v>51.216462999999997</v>
      </c>
      <c r="E690" t="s">
        <v>19</v>
      </c>
      <c r="F690" t="s">
        <v>18</v>
      </c>
      <c r="G690">
        <v>2.0512830000000002</v>
      </c>
      <c r="H690">
        <v>2.645858</v>
      </c>
      <c r="I690" t="s">
        <v>20</v>
      </c>
      <c r="J690" t="s">
        <v>19</v>
      </c>
      <c r="K690">
        <v>2.3575200000000001</v>
      </c>
      <c r="L690" t="s">
        <v>19</v>
      </c>
      <c r="M690">
        <v>0.29130899999999998</v>
      </c>
      <c r="N690">
        <v>0.89794200000000002</v>
      </c>
      <c r="O690" t="s">
        <v>20</v>
      </c>
      <c r="P690" t="s">
        <v>21</v>
      </c>
      <c r="Q690" t="s">
        <v>32</v>
      </c>
    </row>
    <row r="691" spans="1:17" x14ac:dyDescent="0.2">
      <c r="A691" t="s">
        <v>17</v>
      </c>
      <c r="B691">
        <v>16.834813</v>
      </c>
      <c r="C691">
        <v>1.7440199999999999</v>
      </c>
      <c r="D691">
        <v>50</v>
      </c>
      <c r="E691" t="s">
        <v>19</v>
      </c>
      <c r="F691" t="s">
        <v>18</v>
      </c>
      <c r="G691">
        <v>2.1900499999999998</v>
      </c>
      <c r="H691">
        <v>3.4206180000000002</v>
      </c>
      <c r="I691" t="s">
        <v>20</v>
      </c>
      <c r="J691" t="s">
        <v>19</v>
      </c>
      <c r="K691">
        <v>1.3564050000000001</v>
      </c>
      <c r="L691" t="s">
        <v>19</v>
      </c>
      <c r="M691">
        <v>1.351996</v>
      </c>
      <c r="N691">
        <v>0.98468</v>
      </c>
      <c r="O691" t="s">
        <v>20</v>
      </c>
      <c r="P691" t="s">
        <v>21</v>
      </c>
      <c r="Q691" t="s">
        <v>32</v>
      </c>
    </row>
    <row r="692" spans="1:17" x14ac:dyDescent="0.2">
      <c r="A692" t="s">
        <v>23</v>
      </c>
      <c r="B692">
        <v>17.521754000000001</v>
      </c>
      <c r="C692">
        <v>1.7579579999999999</v>
      </c>
      <c r="D692">
        <v>52.094320000000003</v>
      </c>
      <c r="E692" t="s">
        <v>19</v>
      </c>
      <c r="F692" t="s">
        <v>18</v>
      </c>
      <c r="G692">
        <v>2.2149800000000002</v>
      </c>
      <c r="H692">
        <v>2.6415500000000001</v>
      </c>
      <c r="I692" t="s">
        <v>20</v>
      </c>
      <c r="J692" t="s">
        <v>19</v>
      </c>
      <c r="K692">
        <v>2.121251</v>
      </c>
      <c r="L692" t="s">
        <v>19</v>
      </c>
      <c r="M692">
        <v>0.99839100000000003</v>
      </c>
      <c r="N692">
        <v>0.85882000000000003</v>
      </c>
      <c r="O692" t="s">
        <v>20</v>
      </c>
      <c r="P692" t="s">
        <v>21</v>
      </c>
      <c r="Q692" t="s">
        <v>32</v>
      </c>
    </row>
    <row r="693" spans="1:17" x14ac:dyDescent="0.2">
      <c r="A693" t="s">
        <v>23</v>
      </c>
      <c r="B693">
        <v>18</v>
      </c>
      <c r="C693">
        <v>1.7867580000000001</v>
      </c>
      <c r="D693">
        <v>51.524444000000003</v>
      </c>
      <c r="E693" t="s">
        <v>19</v>
      </c>
      <c r="F693" t="s">
        <v>18</v>
      </c>
      <c r="G693">
        <v>2.9154800000000001</v>
      </c>
      <c r="H693">
        <v>3</v>
      </c>
      <c r="I693" t="s">
        <v>20</v>
      </c>
      <c r="J693" t="s">
        <v>19</v>
      </c>
      <c r="K693">
        <v>1.7774859999999999</v>
      </c>
      <c r="L693" t="s">
        <v>19</v>
      </c>
      <c r="M693">
        <v>1.077469</v>
      </c>
      <c r="N693">
        <v>1</v>
      </c>
      <c r="O693" t="s">
        <v>20</v>
      </c>
      <c r="P693" t="s">
        <v>21</v>
      </c>
      <c r="Q693" t="s">
        <v>32</v>
      </c>
    </row>
    <row r="694" spans="1:17" x14ac:dyDescent="0.2">
      <c r="A694" t="s">
        <v>23</v>
      </c>
      <c r="B694">
        <v>18</v>
      </c>
      <c r="C694">
        <v>1.767058</v>
      </c>
      <c r="D694">
        <v>51.132809000000002</v>
      </c>
      <c r="E694" t="s">
        <v>18</v>
      </c>
      <c r="F694" t="s">
        <v>18</v>
      </c>
      <c r="G694">
        <v>2.7089650000000001</v>
      </c>
      <c r="H694">
        <v>3</v>
      </c>
      <c r="I694" t="s">
        <v>20</v>
      </c>
      <c r="J694" t="s">
        <v>19</v>
      </c>
      <c r="K694">
        <v>1.8730039999999999</v>
      </c>
      <c r="L694" t="s">
        <v>19</v>
      </c>
      <c r="M694">
        <v>1.2171799999999999</v>
      </c>
      <c r="N694">
        <v>1</v>
      </c>
      <c r="O694" t="s">
        <v>20</v>
      </c>
      <c r="P694" t="s">
        <v>21</v>
      </c>
      <c r="Q694" t="s">
        <v>32</v>
      </c>
    </row>
    <row r="695" spans="1:17" x14ac:dyDescent="0.2">
      <c r="A695" t="s">
        <v>23</v>
      </c>
      <c r="B695">
        <v>18.128249</v>
      </c>
      <c r="C695">
        <v>1.6994370000000001</v>
      </c>
      <c r="D695">
        <v>52.086570000000002</v>
      </c>
      <c r="E695" t="s">
        <v>18</v>
      </c>
      <c r="F695" t="s">
        <v>18</v>
      </c>
      <c r="G695">
        <v>2.853513</v>
      </c>
      <c r="H695">
        <v>3</v>
      </c>
      <c r="I695" t="s">
        <v>20</v>
      </c>
      <c r="J695" t="s">
        <v>19</v>
      </c>
      <c r="K695">
        <v>2</v>
      </c>
      <c r="L695" t="s">
        <v>19</v>
      </c>
      <c r="M695">
        <v>0.68046399999999996</v>
      </c>
      <c r="N695">
        <v>1.2588809999999999</v>
      </c>
      <c r="O695" t="s">
        <v>20</v>
      </c>
      <c r="P695" t="s">
        <v>21</v>
      </c>
      <c r="Q695" t="s">
        <v>32</v>
      </c>
    </row>
    <row r="696" spans="1:17" x14ac:dyDescent="0.2">
      <c r="A696" t="s">
        <v>23</v>
      </c>
      <c r="B696">
        <v>17.405104000000001</v>
      </c>
      <c r="C696">
        <v>1.82525</v>
      </c>
      <c r="D696">
        <v>58.913578999999999</v>
      </c>
      <c r="E696" t="s">
        <v>18</v>
      </c>
      <c r="F696" t="s">
        <v>18</v>
      </c>
      <c r="G696">
        <v>2.5808719999999998</v>
      </c>
      <c r="H696">
        <v>3.8879060000000001</v>
      </c>
      <c r="I696" t="s">
        <v>20</v>
      </c>
      <c r="J696" t="s">
        <v>19</v>
      </c>
      <c r="K696">
        <v>2</v>
      </c>
      <c r="L696" t="s">
        <v>19</v>
      </c>
      <c r="M696">
        <v>2</v>
      </c>
      <c r="N696">
        <v>0.45364900000000002</v>
      </c>
      <c r="O696" t="s">
        <v>19</v>
      </c>
      <c r="P696" t="s">
        <v>28</v>
      </c>
      <c r="Q696" t="s">
        <v>32</v>
      </c>
    </row>
    <row r="697" spans="1:17" x14ac:dyDescent="0.2">
      <c r="A697" t="s">
        <v>23</v>
      </c>
      <c r="B697">
        <v>19.72925</v>
      </c>
      <c r="C697">
        <v>1.793315</v>
      </c>
      <c r="D697">
        <v>58.195149999999998</v>
      </c>
      <c r="E697" t="s">
        <v>18</v>
      </c>
      <c r="F697" t="s">
        <v>18</v>
      </c>
      <c r="G697">
        <v>2.5088349999999999</v>
      </c>
      <c r="H697">
        <v>3.435905</v>
      </c>
      <c r="I697" t="s">
        <v>20</v>
      </c>
      <c r="J697" t="s">
        <v>19</v>
      </c>
      <c r="K697">
        <v>2.0769329999999999</v>
      </c>
      <c r="L697" t="s">
        <v>19</v>
      </c>
      <c r="M697">
        <v>2.0266679999999999</v>
      </c>
      <c r="N697">
        <v>1.4433279999999999</v>
      </c>
      <c r="O697" t="s">
        <v>19</v>
      </c>
      <c r="P697" t="s">
        <v>28</v>
      </c>
      <c r="Q697" t="s">
        <v>32</v>
      </c>
    </row>
    <row r="698" spans="1:17" x14ac:dyDescent="0.2">
      <c r="A698" t="s">
        <v>23</v>
      </c>
      <c r="B698">
        <v>18.525834</v>
      </c>
      <c r="C698">
        <v>1.7769889999999999</v>
      </c>
      <c r="D698">
        <v>57.275945999999998</v>
      </c>
      <c r="E698" t="s">
        <v>18</v>
      </c>
      <c r="F698" t="s">
        <v>18</v>
      </c>
      <c r="G698">
        <v>2</v>
      </c>
      <c r="H698">
        <v>3.747163</v>
      </c>
      <c r="I698" t="s">
        <v>20</v>
      </c>
      <c r="J698" t="s">
        <v>19</v>
      </c>
      <c r="K698">
        <v>2.5755349999999999</v>
      </c>
      <c r="L698" t="s">
        <v>19</v>
      </c>
      <c r="M698">
        <v>2</v>
      </c>
      <c r="N698">
        <v>1.8438300000000001</v>
      </c>
      <c r="O698" t="s">
        <v>19</v>
      </c>
      <c r="P698" t="s">
        <v>28</v>
      </c>
      <c r="Q698" t="s">
        <v>32</v>
      </c>
    </row>
    <row r="699" spans="1:17" x14ac:dyDescent="0.2">
      <c r="A699" t="s">
        <v>17</v>
      </c>
      <c r="B699">
        <v>18.595614000000001</v>
      </c>
      <c r="C699">
        <v>1.6094949999999999</v>
      </c>
      <c r="D699">
        <v>42.656562999999998</v>
      </c>
      <c r="E699" t="s">
        <v>19</v>
      </c>
      <c r="F699" t="s">
        <v>18</v>
      </c>
      <c r="G699">
        <v>2.8965619999999999</v>
      </c>
      <c r="H699">
        <v>2.6254749999999998</v>
      </c>
      <c r="I699" t="s">
        <v>20</v>
      </c>
      <c r="J699" t="s">
        <v>19</v>
      </c>
      <c r="K699">
        <v>2.8395579999999998</v>
      </c>
      <c r="L699" t="s">
        <v>18</v>
      </c>
      <c r="M699">
        <v>1.949667</v>
      </c>
      <c r="N699">
        <v>1.2533110000000001</v>
      </c>
      <c r="O699" t="s">
        <v>19</v>
      </c>
      <c r="P699" t="s">
        <v>21</v>
      </c>
      <c r="Q699" t="s">
        <v>32</v>
      </c>
    </row>
    <row r="700" spans="1:17" x14ac:dyDescent="0.2">
      <c r="A700" t="s">
        <v>17</v>
      </c>
      <c r="B700">
        <v>16.613108</v>
      </c>
      <c r="C700">
        <v>1.7779290000000001</v>
      </c>
      <c r="D700">
        <v>44.762022999999999</v>
      </c>
      <c r="E700" t="s">
        <v>19</v>
      </c>
      <c r="F700" t="s">
        <v>18</v>
      </c>
      <c r="G700">
        <v>2.911877</v>
      </c>
      <c r="H700">
        <v>3.0983990000000001</v>
      </c>
      <c r="I700" t="s">
        <v>20</v>
      </c>
      <c r="J700" t="s">
        <v>19</v>
      </c>
      <c r="K700">
        <v>2.1964049999999999</v>
      </c>
      <c r="L700" t="s">
        <v>19</v>
      </c>
      <c r="M700">
        <v>2.328147</v>
      </c>
      <c r="N700">
        <v>1.5501100000000001</v>
      </c>
      <c r="O700" t="s">
        <v>20</v>
      </c>
      <c r="P700" t="s">
        <v>21</v>
      </c>
      <c r="Q700" t="s">
        <v>32</v>
      </c>
    </row>
    <row r="701" spans="1:17" x14ac:dyDescent="0.2">
      <c r="A701" t="s">
        <v>17</v>
      </c>
      <c r="B701">
        <v>16.928791</v>
      </c>
      <c r="C701">
        <v>1.7109479999999999</v>
      </c>
      <c r="D701">
        <v>45.248626999999999</v>
      </c>
      <c r="E701" t="s">
        <v>19</v>
      </c>
      <c r="F701" t="s">
        <v>18</v>
      </c>
      <c r="G701">
        <v>2.910733</v>
      </c>
      <c r="H701">
        <v>3.1254400000000002</v>
      </c>
      <c r="I701" t="s">
        <v>20</v>
      </c>
      <c r="J701" t="s">
        <v>19</v>
      </c>
      <c r="K701">
        <v>2.2042630000000001</v>
      </c>
      <c r="L701" t="s">
        <v>19</v>
      </c>
      <c r="M701">
        <v>2.4079060000000001</v>
      </c>
      <c r="N701">
        <v>1.4030370000000001</v>
      </c>
      <c r="O701" t="s">
        <v>20</v>
      </c>
      <c r="P701" t="s">
        <v>21</v>
      </c>
      <c r="Q701" t="s">
        <v>32</v>
      </c>
    </row>
    <row r="702" spans="1:17" x14ac:dyDescent="0.2">
      <c r="A702" t="s">
        <v>23</v>
      </c>
      <c r="B702">
        <v>17.758315</v>
      </c>
      <c r="C702">
        <v>1.8541620000000001</v>
      </c>
      <c r="D702">
        <v>59.881315999999998</v>
      </c>
      <c r="E702" t="s">
        <v>18</v>
      </c>
      <c r="F702" t="s">
        <v>18</v>
      </c>
      <c r="G702">
        <v>2.966126</v>
      </c>
      <c r="H702">
        <v>3.9698099999999998</v>
      </c>
      <c r="I702" t="s">
        <v>20</v>
      </c>
      <c r="J702" t="s">
        <v>19</v>
      </c>
      <c r="K702">
        <v>2</v>
      </c>
      <c r="L702" t="s">
        <v>19</v>
      </c>
      <c r="M702">
        <v>2.0000879999999999</v>
      </c>
      <c r="N702">
        <v>0.37861899999999998</v>
      </c>
      <c r="O702" t="s">
        <v>19</v>
      </c>
      <c r="P702" t="s">
        <v>28</v>
      </c>
      <c r="Q702" t="s">
        <v>32</v>
      </c>
    </row>
    <row r="703" spans="1:17" x14ac:dyDescent="0.2">
      <c r="A703" t="s">
        <v>23</v>
      </c>
      <c r="B703">
        <v>17.282945000000002</v>
      </c>
      <c r="C703">
        <v>1.8215140000000001</v>
      </c>
      <c r="D703">
        <v>59.605027999999997</v>
      </c>
      <c r="E703" t="s">
        <v>18</v>
      </c>
      <c r="F703" t="s">
        <v>18</v>
      </c>
      <c r="G703">
        <v>2.6132490000000002</v>
      </c>
      <c r="H703">
        <v>3.712183</v>
      </c>
      <c r="I703" t="s">
        <v>20</v>
      </c>
      <c r="J703" t="s">
        <v>19</v>
      </c>
      <c r="K703">
        <v>2</v>
      </c>
      <c r="L703" t="s">
        <v>19</v>
      </c>
      <c r="M703">
        <v>2.0029970000000001</v>
      </c>
      <c r="N703">
        <v>0.174848</v>
      </c>
      <c r="O703" t="s">
        <v>19</v>
      </c>
      <c r="P703" t="s">
        <v>28</v>
      </c>
      <c r="Q703" t="s">
        <v>32</v>
      </c>
    </row>
    <row r="704" spans="1:17" x14ac:dyDescent="0.2">
      <c r="A704" t="s">
        <v>23</v>
      </c>
      <c r="B704">
        <v>19.993154000000001</v>
      </c>
      <c r="C704">
        <v>1.762073</v>
      </c>
      <c r="D704">
        <v>55.511074999999998</v>
      </c>
      <c r="E704" t="s">
        <v>18</v>
      </c>
      <c r="F704" t="s">
        <v>18</v>
      </c>
      <c r="G704">
        <v>2</v>
      </c>
      <c r="H704">
        <v>4</v>
      </c>
      <c r="I704" t="s">
        <v>20</v>
      </c>
      <c r="J704" t="s">
        <v>19</v>
      </c>
      <c r="K704">
        <v>2.5424150000000001</v>
      </c>
      <c r="L704" t="s">
        <v>19</v>
      </c>
      <c r="M704">
        <v>2</v>
      </c>
      <c r="N704">
        <v>1.8074650000000001</v>
      </c>
      <c r="O704" t="s">
        <v>19</v>
      </c>
      <c r="P704" t="s">
        <v>28</v>
      </c>
      <c r="Q704" t="s">
        <v>32</v>
      </c>
    </row>
    <row r="705" spans="1:17" x14ac:dyDescent="0.2">
      <c r="A705" t="s">
        <v>17</v>
      </c>
      <c r="B705">
        <v>22.935611999999999</v>
      </c>
      <c r="C705">
        <v>1.732307</v>
      </c>
      <c r="D705">
        <v>54.835576000000003</v>
      </c>
      <c r="E705" t="s">
        <v>18</v>
      </c>
      <c r="F705" t="s">
        <v>18</v>
      </c>
      <c r="G705">
        <v>3</v>
      </c>
      <c r="H705">
        <v>3</v>
      </c>
      <c r="I705" t="s">
        <v>24</v>
      </c>
      <c r="J705" t="s">
        <v>19</v>
      </c>
      <c r="K705">
        <v>2.0035699999999999</v>
      </c>
      <c r="L705" t="s">
        <v>19</v>
      </c>
      <c r="M705">
        <v>1.2595499999999999</v>
      </c>
      <c r="N705">
        <v>0.41711599999999999</v>
      </c>
      <c r="O705" t="s">
        <v>19</v>
      </c>
      <c r="P705" t="s">
        <v>21</v>
      </c>
      <c r="Q705" t="s">
        <v>32</v>
      </c>
    </row>
    <row r="706" spans="1:17" x14ac:dyDescent="0.2">
      <c r="A706" t="s">
        <v>23</v>
      </c>
      <c r="B706">
        <v>20.738468999999998</v>
      </c>
      <c r="C706">
        <v>1.759933</v>
      </c>
      <c r="D706">
        <v>55.003416999999999</v>
      </c>
      <c r="E706" t="s">
        <v>18</v>
      </c>
      <c r="F706" t="s">
        <v>18</v>
      </c>
      <c r="G706">
        <v>2.6270310000000001</v>
      </c>
      <c r="H706">
        <v>3.8329110000000002</v>
      </c>
      <c r="I706" t="s">
        <v>20</v>
      </c>
      <c r="J706" t="s">
        <v>19</v>
      </c>
      <c r="K706">
        <v>2.9934479999999999</v>
      </c>
      <c r="L706" t="s">
        <v>19</v>
      </c>
      <c r="M706">
        <v>2</v>
      </c>
      <c r="N706">
        <v>1.4259029999999999</v>
      </c>
      <c r="O706" t="s">
        <v>19</v>
      </c>
      <c r="P706" t="s">
        <v>21</v>
      </c>
      <c r="Q706" t="s">
        <v>32</v>
      </c>
    </row>
    <row r="707" spans="1:17" x14ac:dyDescent="0.2">
      <c r="A707" t="s">
        <v>17</v>
      </c>
      <c r="B707">
        <v>22.993680000000001</v>
      </c>
      <c r="C707">
        <v>1.741377</v>
      </c>
      <c r="D707">
        <v>54.877110999999999</v>
      </c>
      <c r="E707" t="s">
        <v>18</v>
      </c>
      <c r="F707" t="s">
        <v>18</v>
      </c>
      <c r="G707">
        <v>3</v>
      </c>
      <c r="H707">
        <v>3</v>
      </c>
      <c r="I707" t="s">
        <v>24</v>
      </c>
      <c r="J707" t="s">
        <v>19</v>
      </c>
      <c r="K707">
        <v>2.0097960000000001</v>
      </c>
      <c r="L707" t="s">
        <v>19</v>
      </c>
      <c r="M707">
        <v>2</v>
      </c>
      <c r="N707">
        <v>7.1317000000000005E-2</v>
      </c>
      <c r="O707" t="s">
        <v>19</v>
      </c>
      <c r="P707" t="s">
        <v>21</v>
      </c>
      <c r="Q707" t="s">
        <v>32</v>
      </c>
    </row>
    <row r="708" spans="1:17" x14ac:dyDescent="0.2">
      <c r="A708" t="s">
        <v>17</v>
      </c>
      <c r="B708">
        <v>19.317148</v>
      </c>
      <c r="C708">
        <v>1.731195</v>
      </c>
      <c r="D708">
        <v>49.650897000000001</v>
      </c>
      <c r="E708" t="s">
        <v>19</v>
      </c>
      <c r="F708" t="s">
        <v>18</v>
      </c>
      <c r="G708">
        <v>2.9197510000000002</v>
      </c>
      <c r="H708">
        <v>3.5761029999999998</v>
      </c>
      <c r="I708" t="s">
        <v>20</v>
      </c>
      <c r="J708" t="s">
        <v>19</v>
      </c>
      <c r="K708">
        <v>1.949308</v>
      </c>
      <c r="L708" t="s">
        <v>19</v>
      </c>
      <c r="M708">
        <v>1.9401820000000001</v>
      </c>
      <c r="N708">
        <v>1</v>
      </c>
      <c r="O708" t="s">
        <v>20</v>
      </c>
      <c r="P708" t="s">
        <v>21</v>
      </c>
      <c r="Q708" t="s">
        <v>32</v>
      </c>
    </row>
    <row r="709" spans="1:17" x14ac:dyDescent="0.2">
      <c r="A709" t="s">
        <v>17</v>
      </c>
      <c r="B709">
        <v>16.910996999999998</v>
      </c>
      <c r="C709">
        <v>1.74823</v>
      </c>
      <c r="D709">
        <v>49.928446999999998</v>
      </c>
      <c r="E709" t="s">
        <v>19</v>
      </c>
      <c r="F709" t="s">
        <v>18</v>
      </c>
      <c r="G709">
        <v>2.4944510000000002</v>
      </c>
      <c r="H709">
        <v>3.5654400000000002</v>
      </c>
      <c r="I709" t="s">
        <v>20</v>
      </c>
      <c r="J709" t="s">
        <v>19</v>
      </c>
      <c r="K709">
        <v>1.491268</v>
      </c>
      <c r="L709" t="s">
        <v>19</v>
      </c>
      <c r="M709">
        <v>1.9510270000000001</v>
      </c>
      <c r="N709">
        <v>0.95620400000000005</v>
      </c>
      <c r="O709" t="s">
        <v>20</v>
      </c>
      <c r="P709" t="s">
        <v>21</v>
      </c>
      <c r="Q709" t="s">
        <v>32</v>
      </c>
    </row>
    <row r="710" spans="1:17" x14ac:dyDescent="0.2">
      <c r="A710" t="s">
        <v>17</v>
      </c>
      <c r="B710">
        <v>19.071027000000001</v>
      </c>
      <c r="C710">
        <v>1.7568649999999999</v>
      </c>
      <c r="D710">
        <v>49.699672</v>
      </c>
      <c r="E710" t="s">
        <v>19</v>
      </c>
      <c r="F710" t="s">
        <v>18</v>
      </c>
      <c r="G710">
        <v>1.6942699999999999</v>
      </c>
      <c r="H710">
        <v>3.2666439999999999</v>
      </c>
      <c r="I710" t="s">
        <v>20</v>
      </c>
      <c r="J710" t="s">
        <v>19</v>
      </c>
      <c r="K710">
        <v>1.0954170000000001</v>
      </c>
      <c r="L710" t="s">
        <v>19</v>
      </c>
      <c r="M710">
        <v>2</v>
      </c>
      <c r="N710">
        <v>1</v>
      </c>
      <c r="O710" t="s">
        <v>20</v>
      </c>
      <c r="P710" t="s">
        <v>21</v>
      </c>
      <c r="Q710" t="s">
        <v>32</v>
      </c>
    </row>
    <row r="711" spans="1:17" x14ac:dyDescent="0.2">
      <c r="A711" t="s">
        <v>17</v>
      </c>
      <c r="B711">
        <v>18.019572</v>
      </c>
      <c r="C711">
        <v>1.7013780000000001</v>
      </c>
      <c r="D711">
        <v>50.088467999999999</v>
      </c>
      <c r="E711" t="s">
        <v>19</v>
      </c>
      <c r="F711" t="s">
        <v>18</v>
      </c>
      <c r="G711">
        <v>1.6012360000000001</v>
      </c>
      <c r="H711">
        <v>3.4339080000000002</v>
      </c>
      <c r="I711" t="s">
        <v>20</v>
      </c>
      <c r="J711" t="s">
        <v>19</v>
      </c>
      <c r="K711">
        <v>1.0550189999999999</v>
      </c>
      <c r="L711" t="s">
        <v>19</v>
      </c>
      <c r="M711">
        <v>0.81926900000000002</v>
      </c>
      <c r="N711">
        <v>1.030848</v>
      </c>
      <c r="O711" t="s">
        <v>20</v>
      </c>
      <c r="P711" t="s">
        <v>21</v>
      </c>
      <c r="Q711" t="s">
        <v>32</v>
      </c>
    </row>
    <row r="712" spans="1:17" x14ac:dyDescent="0.2">
      <c r="A712" t="s">
        <v>17</v>
      </c>
      <c r="B712">
        <v>19.735968</v>
      </c>
      <c r="C712">
        <v>1.699956</v>
      </c>
      <c r="D712">
        <v>49.982970000000002</v>
      </c>
      <c r="E712" t="s">
        <v>19</v>
      </c>
      <c r="F712" t="s">
        <v>18</v>
      </c>
      <c r="G712">
        <v>1.204855</v>
      </c>
      <c r="H712">
        <v>3.5310380000000001</v>
      </c>
      <c r="I712" t="s">
        <v>20</v>
      </c>
      <c r="J712" t="s">
        <v>19</v>
      </c>
      <c r="K712">
        <v>1.1346579999999999</v>
      </c>
      <c r="L712" t="s">
        <v>19</v>
      </c>
      <c r="M712">
        <v>2</v>
      </c>
      <c r="N712">
        <v>1</v>
      </c>
      <c r="O712" t="s">
        <v>20</v>
      </c>
      <c r="P712" t="s">
        <v>21</v>
      </c>
      <c r="Q712" t="s">
        <v>32</v>
      </c>
    </row>
    <row r="713" spans="1:17" x14ac:dyDescent="0.2">
      <c r="A713" t="s">
        <v>17</v>
      </c>
      <c r="B713">
        <v>18.094079000000001</v>
      </c>
      <c r="C713">
        <v>1.723328</v>
      </c>
      <c r="D713">
        <v>50</v>
      </c>
      <c r="E713" t="s">
        <v>19</v>
      </c>
      <c r="F713" t="s">
        <v>18</v>
      </c>
      <c r="G713">
        <v>1.0526990000000001</v>
      </c>
      <c r="H713">
        <v>3.998618</v>
      </c>
      <c r="I713" t="s">
        <v>24</v>
      </c>
      <c r="J713" t="s">
        <v>19</v>
      </c>
      <c r="K713">
        <v>1</v>
      </c>
      <c r="L713" t="s">
        <v>19</v>
      </c>
      <c r="M713">
        <v>2</v>
      </c>
      <c r="N713">
        <v>1</v>
      </c>
      <c r="O713" t="s">
        <v>20</v>
      </c>
      <c r="P713" t="s">
        <v>21</v>
      </c>
      <c r="Q713" t="s">
        <v>32</v>
      </c>
    </row>
    <row r="714" spans="1:17" x14ac:dyDescent="0.2">
      <c r="A714" t="s">
        <v>17</v>
      </c>
      <c r="B714">
        <v>19.054938</v>
      </c>
      <c r="C714">
        <v>1.5858859999999999</v>
      </c>
      <c r="D714">
        <v>42.541794000000003</v>
      </c>
      <c r="E714" t="s">
        <v>19</v>
      </c>
      <c r="F714" t="s">
        <v>19</v>
      </c>
      <c r="G714">
        <v>2.910345</v>
      </c>
      <c r="H714">
        <v>3</v>
      </c>
      <c r="I714" t="s">
        <v>24</v>
      </c>
      <c r="J714" t="s">
        <v>19</v>
      </c>
      <c r="K714">
        <v>1</v>
      </c>
      <c r="L714" t="s">
        <v>18</v>
      </c>
      <c r="M714">
        <v>1.4610050000000001</v>
      </c>
      <c r="N714">
        <v>0</v>
      </c>
      <c r="O714" t="s">
        <v>20</v>
      </c>
      <c r="P714" t="s">
        <v>21</v>
      </c>
      <c r="Q714" t="s">
        <v>32</v>
      </c>
    </row>
    <row r="715" spans="1:17" x14ac:dyDescent="0.2">
      <c r="A715" t="s">
        <v>17</v>
      </c>
      <c r="B715">
        <v>20.850118999999999</v>
      </c>
      <c r="C715">
        <v>1.524926</v>
      </c>
      <c r="D715">
        <v>42</v>
      </c>
      <c r="E715" t="s">
        <v>19</v>
      </c>
      <c r="F715" t="s">
        <v>18</v>
      </c>
      <c r="G715">
        <v>2.8663829999999999</v>
      </c>
      <c r="H715">
        <v>1.226342</v>
      </c>
      <c r="I715" t="s">
        <v>24</v>
      </c>
      <c r="J715" t="s">
        <v>19</v>
      </c>
      <c r="K715">
        <v>1</v>
      </c>
      <c r="L715" t="s">
        <v>19</v>
      </c>
      <c r="M715">
        <v>0.14495</v>
      </c>
      <c r="N715">
        <v>0</v>
      </c>
      <c r="O715" t="s">
        <v>20</v>
      </c>
      <c r="P715" t="s">
        <v>21</v>
      </c>
      <c r="Q715" t="s">
        <v>32</v>
      </c>
    </row>
    <row r="716" spans="1:17" x14ac:dyDescent="0.2">
      <c r="A716" t="s">
        <v>17</v>
      </c>
      <c r="B716">
        <v>19.349257999999999</v>
      </c>
      <c r="C716">
        <v>1.5233699999999999</v>
      </c>
      <c r="D716">
        <v>42</v>
      </c>
      <c r="E716" t="s">
        <v>19</v>
      </c>
      <c r="F716" t="s">
        <v>18</v>
      </c>
      <c r="G716">
        <v>2.9134859999999998</v>
      </c>
      <c r="H716">
        <v>1.0607960000000001</v>
      </c>
      <c r="I716" t="s">
        <v>24</v>
      </c>
      <c r="J716" t="s">
        <v>19</v>
      </c>
      <c r="K716">
        <v>1.596212</v>
      </c>
      <c r="L716" t="s">
        <v>19</v>
      </c>
      <c r="M716">
        <v>0.108948</v>
      </c>
      <c r="N716">
        <v>0.77308699999999997</v>
      </c>
      <c r="O716" t="s">
        <v>20</v>
      </c>
      <c r="P716" t="s">
        <v>21</v>
      </c>
      <c r="Q716" t="s">
        <v>32</v>
      </c>
    </row>
    <row r="717" spans="1:17" x14ac:dyDescent="0.2">
      <c r="A717" t="s">
        <v>23</v>
      </c>
      <c r="B717">
        <v>17</v>
      </c>
      <c r="C717">
        <v>1.844749</v>
      </c>
      <c r="D717">
        <v>59.313524999999998</v>
      </c>
      <c r="E717" t="s">
        <v>18</v>
      </c>
      <c r="F717" t="s">
        <v>18</v>
      </c>
      <c r="G717">
        <v>2.4328859999999999</v>
      </c>
      <c r="H717">
        <v>3</v>
      </c>
      <c r="I717" t="s">
        <v>20</v>
      </c>
      <c r="J717" t="s">
        <v>19</v>
      </c>
      <c r="K717">
        <v>2</v>
      </c>
      <c r="L717" t="s">
        <v>19</v>
      </c>
      <c r="M717">
        <v>2.6979489999999999</v>
      </c>
      <c r="N717">
        <v>1</v>
      </c>
      <c r="O717" t="s">
        <v>19</v>
      </c>
      <c r="P717" t="s">
        <v>28</v>
      </c>
      <c r="Q717" t="s">
        <v>32</v>
      </c>
    </row>
    <row r="718" spans="1:17" x14ac:dyDescent="0.2">
      <c r="A718" t="s">
        <v>23</v>
      </c>
      <c r="B718">
        <v>17.203917000000001</v>
      </c>
      <c r="C718">
        <v>1.8533249999999999</v>
      </c>
      <c r="D718">
        <v>59.619484999999997</v>
      </c>
      <c r="E718" t="s">
        <v>18</v>
      </c>
      <c r="F718" t="s">
        <v>18</v>
      </c>
      <c r="G718">
        <v>2.8837449999999998</v>
      </c>
      <c r="H718">
        <v>3.595761</v>
      </c>
      <c r="I718" t="s">
        <v>20</v>
      </c>
      <c r="J718" t="s">
        <v>19</v>
      </c>
      <c r="K718">
        <v>2</v>
      </c>
      <c r="L718" t="s">
        <v>19</v>
      </c>
      <c r="M718">
        <v>2.0776530000000002</v>
      </c>
      <c r="N718">
        <v>0.71470100000000003</v>
      </c>
      <c r="O718" t="s">
        <v>19</v>
      </c>
      <c r="P718" t="s">
        <v>28</v>
      </c>
      <c r="Q718" t="s">
        <v>32</v>
      </c>
    </row>
    <row r="719" spans="1:17" x14ac:dyDescent="0.2">
      <c r="A719" t="s">
        <v>23</v>
      </c>
      <c r="B719">
        <v>17.671064000000001</v>
      </c>
      <c r="C719">
        <v>1.854706</v>
      </c>
      <c r="D719">
        <v>59.209449999999997</v>
      </c>
      <c r="E719" t="s">
        <v>18</v>
      </c>
      <c r="F719" t="s">
        <v>18</v>
      </c>
      <c r="G719">
        <v>2.7076660000000001</v>
      </c>
      <c r="H719">
        <v>3.737914</v>
      </c>
      <c r="I719" t="s">
        <v>20</v>
      </c>
      <c r="J719" t="s">
        <v>19</v>
      </c>
      <c r="K719">
        <v>2.0265469999999999</v>
      </c>
      <c r="L719" t="s">
        <v>19</v>
      </c>
      <c r="M719">
        <v>2.0093969999999999</v>
      </c>
      <c r="N719">
        <v>0.61397100000000004</v>
      </c>
      <c r="O719" t="s">
        <v>19</v>
      </c>
      <c r="P719" t="s">
        <v>28</v>
      </c>
      <c r="Q719" t="s">
        <v>32</v>
      </c>
    </row>
    <row r="720" spans="1:17" x14ac:dyDescent="0.2">
      <c r="A720" t="s">
        <v>17</v>
      </c>
      <c r="B720">
        <v>21.310907</v>
      </c>
      <c r="C720">
        <v>1.7206399999999999</v>
      </c>
      <c r="D720">
        <v>50</v>
      </c>
      <c r="E720" t="s">
        <v>18</v>
      </c>
      <c r="F720" t="s">
        <v>18</v>
      </c>
      <c r="G720">
        <v>2.919584</v>
      </c>
      <c r="H720">
        <v>3.6978309999999999</v>
      </c>
      <c r="I720" t="s">
        <v>24</v>
      </c>
      <c r="J720" t="s">
        <v>19</v>
      </c>
      <c r="K720">
        <v>1.1471210000000001</v>
      </c>
      <c r="L720" t="s">
        <v>19</v>
      </c>
      <c r="M720">
        <v>0.993058</v>
      </c>
      <c r="N720">
        <v>8.9219999999999994E-2</v>
      </c>
      <c r="O720" t="s">
        <v>19</v>
      </c>
      <c r="P720" t="s">
        <v>21</v>
      </c>
      <c r="Q720" t="s">
        <v>32</v>
      </c>
    </row>
    <row r="721" spans="1:17" x14ac:dyDescent="0.2">
      <c r="A721" t="s">
        <v>17</v>
      </c>
      <c r="B721">
        <v>21.708354</v>
      </c>
      <c r="C721">
        <v>1.704167</v>
      </c>
      <c r="D721">
        <v>50.165754</v>
      </c>
      <c r="E721" t="s">
        <v>18</v>
      </c>
      <c r="F721" t="s">
        <v>18</v>
      </c>
      <c r="G721">
        <v>2.9692050000000001</v>
      </c>
      <c r="H721">
        <v>3.2104300000000001</v>
      </c>
      <c r="I721" t="s">
        <v>24</v>
      </c>
      <c r="J721" t="s">
        <v>19</v>
      </c>
      <c r="K721">
        <v>2.765876</v>
      </c>
      <c r="L721" t="s">
        <v>19</v>
      </c>
      <c r="M721">
        <v>0.61103700000000005</v>
      </c>
      <c r="N721">
        <v>1.300692</v>
      </c>
      <c r="O721" t="s">
        <v>19</v>
      </c>
      <c r="P721" t="s">
        <v>21</v>
      </c>
      <c r="Q721" t="s">
        <v>32</v>
      </c>
    </row>
    <row r="722" spans="1:17" x14ac:dyDescent="0.2">
      <c r="A722" t="s">
        <v>17</v>
      </c>
      <c r="B722">
        <v>22.176922000000001</v>
      </c>
      <c r="C722">
        <v>1.71746</v>
      </c>
      <c r="D722">
        <v>51.491956999999999</v>
      </c>
      <c r="E722" t="s">
        <v>18</v>
      </c>
      <c r="F722" t="s">
        <v>18</v>
      </c>
      <c r="G722">
        <v>2.486189</v>
      </c>
      <c r="H722">
        <v>3</v>
      </c>
      <c r="I722" t="s">
        <v>24</v>
      </c>
      <c r="J722" t="s">
        <v>19</v>
      </c>
      <c r="K722">
        <v>1.064378</v>
      </c>
      <c r="L722" t="s">
        <v>19</v>
      </c>
      <c r="M722">
        <v>2.2060550000000001</v>
      </c>
      <c r="N722">
        <v>1.958089</v>
      </c>
      <c r="O722" t="s">
        <v>19</v>
      </c>
      <c r="P722" t="s">
        <v>21</v>
      </c>
      <c r="Q722" t="s">
        <v>32</v>
      </c>
    </row>
    <row r="723" spans="1:17" x14ac:dyDescent="0.2">
      <c r="A723" t="s">
        <v>17</v>
      </c>
      <c r="B723">
        <v>17.823437999999999</v>
      </c>
      <c r="C723">
        <v>1.7084060000000001</v>
      </c>
      <c r="D723">
        <v>50</v>
      </c>
      <c r="E723" t="s">
        <v>19</v>
      </c>
      <c r="F723" t="s">
        <v>18</v>
      </c>
      <c r="G723">
        <v>1.6422410000000001</v>
      </c>
      <c r="H723">
        <v>3.4525899999999998</v>
      </c>
      <c r="I723" t="s">
        <v>20</v>
      </c>
      <c r="J723" t="s">
        <v>19</v>
      </c>
      <c r="K723">
        <v>1.0992310000000001</v>
      </c>
      <c r="L723" t="s">
        <v>19</v>
      </c>
      <c r="M723">
        <v>0.418875</v>
      </c>
      <c r="N723">
        <v>1</v>
      </c>
      <c r="O723" t="s">
        <v>20</v>
      </c>
      <c r="P723" t="s">
        <v>21</v>
      </c>
      <c r="Q723" t="s">
        <v>32</v>
      </c>
    </row>
    <row r="724" spans="1:17" x14ac:dyDescent="0.2">
      <c r="A724" t="s">
        <v>17</v>
      </c>
      <c r="B724">
        <v>18</v>
      </c>
      <c r="C724">
        <v>1.7634650000000001</v>
      </c>
      <c r="D724">
        <v>50.279052999999998</v>
      </c>
      <c r="E724" t="s">
        <v>19</v>
      </c>
      <c r="F724" t="s">
        <v>18</v>
      </c>
      <c r="G724">
        <v>1.5671010000000001</v>
      </c>
      <c r="H724">
        <v>3</v>
      </c>
      <c r="I724" t="s">
        <v>20</v>
      </c>
      <c r="J724" t="s">
        <v>19</v>
      </c>
      <c r="K724">
        <v>1.9941390000000001</v>
      </c>
      <c r="L724" t="s">
        <v>19</v>
      </c>
      <c r="M724">
        <v>0.10798099999999999</v>
      </c>
      <c r="N724">
        <v>1</v>
      </c>
      <c r="O724" t="s">
        <v>20</v>
      </c>
      <c r="P724" t="s">
        <v>21</v>
      </c>
      <c r="Q724" t="s">
        <v>32</v>
      </c>
    </row>
    <row r="725" spans="1:17" x14ac:dyDescent="0.2">
      <c r="A725" t="s">
        <v>17</v>
      </c>
      <c r="B725">
        <v>18.281092000000001</v>
      </c>
      <c r="C725">
        <v>1.7</v>
      </c>
      <c r="D725">
        <v>50</v>
      </c>
      <c r="E725" t="s">
        <v>19</v>
      </c>
      <c r="F725" t="s">
        <v>18</v>
      </c>
      <c r="G725">
        <v>1.0364139999999999</v>
      </c>
      <c r="H725">
        <v>3.205587</v>
      </c>
      <c r="I725" t="s">
        <v>20</v>
      </c>
      <c r="J725" t="s">
        <v>19</v>
      </c>
      <c r="K725">
        <v>1.745959</v>
      </c>
      <c r="L725" t="s">
        <v>19</v>
      </c>
      <c r="M725">
        <v>0.11597399999999999</v>
      </c>
      <c r="N725">
        <v>1</v>
      </c>
      <c r="O725" t="s">
        <v>20</v>
      </c>
      <c r="P725" t="s">
        <v>21</v>
      </c>
      <c r="Q725" t="s">
        <v>32</v>
      </c>
    </row>
    <row r="726" spans="1:17" x14ac:dyDescent="0.2">
      <c r="A726" t="s">
        <v>17</v>
      </c>
      <c r="B726">
        <v>18.656911999999998</v>
      </c>
      <c r="C726">
        <v>1.574017</v>
      </c>
      <c r="D726">
        <v>41.220174999999998</v>
      </c>
      <c r="E726" t="s">
        <v>19</v>
      </c>
      <c r="F726" t="s">
        <v>18</v>
      </c>
      <c r="G726">
        <v>1.6499740000000001</v>
      </c>
      <c r="H726">
        <v>1.513835</v>
      </c>
      <c r="I726" t="s">
        <v>20</v>
      </c>
      <c r="J726" t="s">
        <v>19</v>
      </c>
      <c r="K726">
        <v>1.549974</v>
      </c>
      <c r="L726" t="s">
        <v>19</v>
      </c>
      <c r="M726">
        <v>0.227802</v>
      </c>
      <c r="N726">
        <v>1.972926</v>
      </c>
      <c r="O726" t="s">
        <v>20</v>
      </c>
      <c r="P726" t="s">
        <v>21</v>
      </c>
      <c r="Q726" t="s">
        <v>32</v>
      </c>
    </row>
    <row r="727" spans="1:17" x14ac:dyDescent="0.2">
      <c r="A727" t="s">
        <v>17</v>
      </c>
      <c r="B727">
        <v>19.994543</v>
      </c>
      <c r="C727">
        <v>1.537739</v>
      </c>
      <c r="D727">
        <v>39.101804999999999</v>
      </c>
      <c r="E727" t="s">
        <v>19</v>
      </c>
      <c r="F727" t="s">
        <v>18</v>
      </c>
      <c r="G727">
        <v>1.118436</v>
      </c>
      <c r="H727">
        <v>3</v>
      </c>
      <c r="I727" t="s">
        <v>20</v>
      </c>
      <c r="J727" t="s">
        <v>19</v>
      </c>
      <c r="K727">
        <v>1.997744</v>
      </c>
      <c r="L727" t="s">
        <v>19</v>
      </c>
      <c r="M727">
        <v>2.4324430000000001</v>
      </c>
      <c r="N727">
        <v>1.6261939999999999</v>
      </c>
      <c r="O727" t="s">
        <v>20</v>
      </c>
      <c r="P727" t="s">
        <v>21</v>
      </c>
      <c r="Q727" t="s">
        <v>32</v>
      </c>
    </row>
    <row r="728" spans="1:17" x14ac:dyDescent="0.2">
      <c r="A728" t="s">
        <v>17</v>
      </c>
      <c r="B728">
        <v>20.255616</v>
      </c>
      <c r="C728">
        <v>1.5342229999999999</v>
      </c>
      <c r="D728">
        <v>41.268597</v>
      </c>
      <c r="E728" t="s">
        <v>19</v>
      </c>
      <c r="F728" t="s">
        <v>18</v>
      </c>
      <c r="G728">
        <v>2.673638</v>
      </c>
      <c r="H728">
        <v>2.779379</v>
      </c>
      <c r="I728" t="s">
        <v>24</v>
      </c>
      <c r="J728" t="s">
        <v>19</v>
      </c>
      <c r="K728">
        <v>1.249074</v>
      </c>
      <c r="L728" t="s">
        <v>19</v>
      </c>
      <c r="M728">
        <v>4.3411999999999999E-2</v>
      </c>
      <c r="N728">
        <v>0.403694</v>
      </c>
      <c r="O728" t="s">
        <v>20</v>
      </c>
      <c r="P728" t="s">
        <v>21</v>
      </c>
      <c r="Q728" t="s">
        <v>32</v>
      </c>
    </row>
    <row r="729" spans="1:17" x14ac:dyDescent="0.2">
      <c r="A729" t="s">
        <v>23</v>
      </c>
      <c r="B729">
        <v>19.865894999999998</v>
      </c>
      <c r="C729">
        <v>1.76033</v>
      </c>
      <c r="D729">
        <v>55.370699999999999</v>
      </c>
      <c r="E729" t="s">
        <v>18</v>
      </c>
      <c r="F729" t="s">
        <v>18</v>
      </c>
      <c r="G729">
        <v>2.1201850000000002</v>
      </c>
      <c r="H729">
        <v>4</v>
      </c>
      <c r="I729" t="s">
        <v>20</v>
      </c>
      <c r="J729" t="s">
        <v>19</v>
      </c>
      <c r="K729">
        <v>2.5821649999999998</v>
      </c>
      <c r="L729" t="s">
        <v>19</v>
      </c>
      <c r="M729">
        <v>2</v>
      </c>
      <c r="N729">
        <v>1.5106090000000001</v>
      </c>
      <c r="O729" t="s">
        <v>19</v>
      </c>
      <c r="P729" t="s">
        <v>28</v>
      </c>
      <c r="Q729" t="s">
        <v>32</v>
      </c>
    </row>
    <row r="730" spans="1:17" x14ac:dyDescent="0.2">
      <c r="A730" t="s">
        <v>23</v>
      </c>
      <c r="B730">
        <v>17.888072999999999</v>
      </c>
      <c r="C730">
        <v>1.841879</v>
      </c>
      <c r="D730">
        <v>60</v>
      </c>
      <c r="E730" t="s">
        <v>18</v>
      </c>
      <c r="F730" t="s">
        <v>18</v>
      </c>
      <c r="G730">
        <v>3</v>
      </c>
      <c r="H730">
        <v>3.7321260000000001</v>
      </c>
      <c r="I730" t="s">
        <v>20</v>
      </c>
      <c r="J730" t="s">
        <v>19</v>
      </c>
      <c r="K730">
        <v>2</v>
      </c>
      <c r="L730" t="s">
        <v>19</v>
      </c>
      <c r="M730">
        <v>2.000934</v>
      </c>
      <c r="N730">
        <v>0.384662</v>
      </c>
      <c r="O730" t="s">
        <v>19</v>
      </c>
      <c r="P730" t="s">
        <v>28</v>
      </c>
      <c r="Q730" t="s">
        <v>32</v>
      </c>
    </row>
    <row r="731" spans="1:17" x14ac:dyDescent="0.2">
      <c r="A731" t="s">
        <v>23</v>
      </c>
      <c r="B731">
        <v>18.470562000000001</v>
      </c>
      <c r="C731">
        <v>1.856406</v>
      </c>
      <c r="D731">
        <v>58.673963000000001</v>
      </c>
      <c r="E731" t="s">
        <v>18</v>
      </c>
      <c r="F731" t="s">
        <v>18</v>
      </c>
      <c r="G731">
        <v>2.3422200000000002</v>
      </c>
      <c r="H731">
        <v>3.9370989999999999</v>
      </c>
      <c r="I731" t="s">
        <v>20</v>
      </c>
      <c r="J731" t="s">
        <v>19</v>
      </c>
      <c r="K731">
        <v>2.3117909999999999</v>
      </c>
      <c r="L731" t="s">
        <v>19</v>
      </c>
      <c r="M731">
        <v>2.0133770000000002</v>
      </c>
      <c r="N731">
        <v>1.128355</v>
      </c>
      <c r="O731" t="s">
        <v>19</v>
      </c>
      <c r="P731" t="s">
        <v>28</v>
      </c>
      <c r="Q731" t="s">
        <v>32</v>
      </c>
    </row>
    <row r="732" spans="1:17" x14ac:dyDescent="0.2">
      <c r="A732" t="s">
        <v>23</v>
      </c>
      <c r="B732">
        <v>17.925497</v>
      </c>
      <c r="C732">
        <v>1.829142</v>
      </c>
      <c r="D732">
        <v>59.933014999999997</v>
      </c>
      <c r="E732" t="s">
        <v>18</v>
      </c>
      <c r="F732" t="s">
        <v>18</v>
      </c>
      <c r="G732">
        <v>2.8609900000000001</v>
      </c>
      <c r="H732">
        <v>4</v>
      </c>
      <c r="I732" t="s">
        <v>20</v>
      </c>
      <c r="J732" t="s">
        <v>19</v>
      </c>
      <c r="K732">
        <v>2</v>
      </c>
      <c r="L732" t="s">
        <v>19</v>
      </c>
      <c r="M732">
        <v>2</v>
      </c>
      <c r="N732">
        <v>7.8720000000000005E-3</v>
      </c>
      <c r="O732" t="s">
        <v>19</v>
      </c>
      <c r="P732" t="s">
        <v>28</v>
      </c>
      <c r="Q732" t="s">
        <v>32</v>
      </c>
    </row>
    <row r="733" spans="1:17" x14ac:dyDescent="0.2">
      <c r="A733" t="s">
        <v>23</v>
      </c>
      <c r="B733">
        <v>17.000751999999999</v>
      </c>
      <c r="C733">
        <v>1.822084</v>
      </c>
      <c r="D733">
        <v>58.443049000000002</v>
      </c>
      <c r="E733" t="s">
        <v>18</v>
      </c>
      <c r="F733" t="s">
        <v>18</v>
      </c>
      <c r="G733">
        <v>2.559571</v>
      </c>
      <c r="H733">
        <v>3.0479590000000001</v>
      </c>
      <c r="I733" t="s">
        <v>20</v>
      </c>
      <c r="J733" t="s">
        <v>19</v>
      </c>
      <c r="K733">
        <v>2</v>
      </c>
      <c r="L733" t="s">
        <v>19</v>
      </c>
      <c r="M733">
        <v>2.0116459999999998</v>
      </c>
      <c r="N733">
        <v>0.58899400000000002</v>
      </c>
      <c r="O733" t="s">
        <v>19</v>
      </c>
      <c r="P733" t="s">
        <v>28</v>
      </c>
      <c r="Q733" t="s">
        <v>32</v>
      </c>
    </row>
    <row r="734" spans="1:17" x14ac:dyDescent="0.2">
      <c r="A734" t="s">
        <v>23</v>
      </c>
      <c r="B734">
        <v>17.362128999999999</v>
      </c>
      <c r="C734">
        <v>1.80671</v>
      </c>
      <c r="D734">
        <v>59.243506000000004</v>
      </c>
      <c r="E734" t="s">
        <v>18</v>
      </c>
      <c r="F734" t="s">
        <v>18</v>
      </c>
      <c r="G734">
        <v>2.4249770000000002</v>
      </c>
      <c r="H734">
        <v>4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>
        <v>3.9210000000000002E-2</v>
      </c>
      <c r="O734" t="s">
        <v>19</v>
      </c>
      <c r="P734" t="s">
        <v>28</v>
      </c>
      <c r="Q734" t="s">
        <v>32</v>
      </c>
    </row>
    <row r="735" spans="1:17" x14ac:dyDescent="0.2">
      <c r="A735" t="s">
        <v>23</v>
      </c>
      <c r="B735">
        <v>18</v>
      </c>
      <c r="C735">
        <v>1.7072590000000001</v>
      </c>
      <c r="D735">
        <v>50.664459000000001</v>
      </c>
      <c r="E735" t="s">
        <v>18</v>
      </c>
      <c r="F735" t="s">
        <v>18</v>
      </c>
      <c r="G735">
        <v>1.7868409999999999</v>
      </c>
      <c r="H735">
        <v>3</v>
      </c>
      <c r="I735" t="s">
        <v>20</v>
      </c>
      <c r="J735" t="s">
        <v>19</v>
      </c>
      <c r="K735">
        <v>1.546856</v>
      </c>
      <c r="L735" t="s">
        <v>19</v>
      </c>
      <c r="M735">
        <v>0.51209400000000005</v>
      </c>
      <c r="N735">
        <v>1.6082650000000001</v>
      </c>
      <c r="O735" t="s">
        <v>20</v>
      </c>
      <c r="P735" t="s">
        <v>21</v>
      </c>
      <c r="Q735" t="s">
        <v>32</v>
      </c>
    </row>
    <row r="736" spans="1:17" x14ac:dyDescent="0.2">
      <c r="A736" t="s">
        <v>23</v>
      </c>
      <c r="B736">
        <v>18</v>
      </c>
      <c r="C736">
        <v>1.708107</v>
      </c>
      <c r="D736">
        <v>51.314658999999999</v>
      </c>
      <c r="E736" t="s">
        <v>18</v>
      </c>
      <c r="F736" t="s">
        <v>18</v>
      </c>
      <c r="G736">
        <v>1.3038780000000001</v>
      </c>
      <c r="H736">
        <v>3</v>
      </c>
      <c r="I736" t="s">
        <v>20</v>
      </c>
      <c r="J736" t="s">
        <v>19</v>
      </c>
      <c r="K736">
        <v>1.7554970000000001</v>
      </c>
      <c r="L736" t="s">
        <v>19</v>
      </c>
      <c r="M736">
        <v>6.2932000000000002E-2</v>
      </c>
      <c r="N736">
        <v>1.6725319999999999</v>
      </c>
      <c r="O736" t="s">
        <v>20</v>
      </c>
      <c r="P736" t="s">
        <v>21</v>
      </c>
      <c r="Q736" t="s">
        <v>32</v>
      </c>
    </row>
    <row r="737" spans="1:17" x14ac:dyDescent="0.2">
      <c r="A737" t="s">
        <v>23</v>
      </c>
      <c r="B737">
        <v>18</v>
      </c>
      <c r="C737">
        <v>1.739344</v>
      </c>
      <c r="D737">
        <v>50.951444000000002</v>
      </c>
      <c r="E737" t="s">
        <v>18</v>
      </c>
      <c r="F737" t="s">
        <v>18</v>
      </c>
      <c r="G737">
        <v>1.889883</v>
      </c>
      <c r="H737">
        <v>3</v>
      </c>
      <c r="I737" t="s">
        <v>20</v>
      </c>
      <c r="J737" t="s">
        <v>19</v>
      </c>
      <c r="K737">
        <v>1.9595309999999999</v>
      </c>
      <c r="L737" t="s">
        <v>19</v>
      </c>
      <c r="M737">
        <v>0.52040699999999995</v>
      </c>
      <c r="N737">
        <v>1.1511659999999999</v>
      </c>
      <c r="O737" t="s">
        <v>20</v>
      </c>
      <c r="P737" t="s">
        <v>21</v>
      </c>
      <c r="Q737" t="s">
        <v>32</v>
      </c>
    </row>
    <row r="738" spans="1:17" x14ac:dyDescent="0.2">
      <c r="A738" t="s">
        <v>17</v>
      </c>
      <c r="B738">
        <v>19.029494</v>
      </c>
      <c r="C738">
        <v>1.573987</v>
      </c>
      <c r="D738">
        <v>44.316254000000001</v>
      </c>
      <c r="E738" t="s">
        <v>19</v>
      </c>
      <c r="F738" t="s">
        <v>19</v>
      </c>
      <c r="G738">
        <v>2.9840040000000001</v>
      </c>
      <c r="H738">
        <v>3</v>
      </c>
      <c r="I738" t="s">
        <v>24</v>
      </c>
      <c r="J738" t="s">
        <v>19</v>
      </c>
      <c r="K738">
        <v>1.0152490000000001</v>
      </c>
      <c r="L738" t="s">
        <v>18</v>
      </c>
      <c r="M738">
        <v>1.327833</v>
      </c>
      <c r="N738">
        <v>0</v>
      </c>
      <c r="O738" t="s">
        <v>20</v>
      </c>
      <c r="P738" t="s">
        <v>21</v>
      </c>
      <c r="Q738" t="s">
        <v>32</v>
      </c>
    </row>
    <row r="739" spans="1:17" x14ac:dyDescent="0.2">
      <c r="A739" t="s">
        <v>17</v>
      </c>
      <c r="B739">
        <v>19.269079000000001</v>
      </c>
      <c r="C739">
        <v>1.5809200000000001</v>
      </c>
      <c r="D739">
        <v>44.753943</v>
      </c>
      <c r="E739" t="s">
        <v>19</v>
      </c>
      <c r="F739" t="s">
        <v>19</v>
      </c>
      <c r="G739">
        <v>3</v>
      </c>
      <c r="H739">
        <v>2.9753620000000001</v>
      </c>
      <c r="I739" t="s">
        <v>24</v>
      </c>
      <c r="J739" t="s">
        <v>19</v>
      </c>
      <c r="K739">
        <v>1.2468220000000001</v>
      </c>
      <c r="L739" t="s">
        <v>18</v>
      </c>
      <c r="M739">
        <v>0.97970100000000004</v>
      </c>
      <c r="N739">
        <v>0</v>
      </c>
      <c r="O739" t="s">
        <v>20</v>
      </c>
      <c r="P739" t="s">
        <v>21</v>
      </c>
      <c r="Q739" t="s">
        <v>32</v>
      </c>
    </row>
    <row r="740" spans="1:17" x14ac:dyDescent="0.2">
      <c r="A740" t="s">
        <v>17</v>
      </c>
      <c r="B740">
        <v>19.946244</v>
      </c>
      <c r="C740">
        <v>1.6034349999999999</v>
      </c>
      <c r="D740">
        <v>45</v>
      </c>
      <c r="E740" t="s">
        <v>19</v>
      </c>
      <c r="F740" t="s">
        <v>19</v>
      </c>
      <c r="G740">
        <v>3</v>
      </c>
      <c r="H740">
        <v>3</v>
      </c>
      <c r="I740" t="s">
        <v>24</v>
      </c>
      <c r="J740" t="s">
        <v>19</v>
      </c>
      <c r="K740">
        <v>2.4879190000000002</v>
      </c>
      <c r="L740" t="s">
        <v>18</v>
      </c>
      <c r="M740">
        <v>1.2304409999999999</v>
      </c>
      <c r="N740">
        <v>0</v>
      </c>
      <c r="O740" t="s">
        <v>20</v>
      </c>
      <c r="P740" t="s">
        <v>21</v>
      </c>
      <c r="Q740" t="s">
        <v>32</v>
      </c>
    </row>
    <row r="741" spans="1:17" x14ac:dyDescent="0.2">
      <c r="A741" t="s">
        <v>17</v>
      </c>
      <c r="B741">
        <v>19.639430999999998</v>
      </c>
      <c r="C741">
        <v>1.53535</v>
      </c>
      <c r="D741">
        <v>42</v>
      </c>
      <c r="E741" t="s">
        <v>19</v>
      </c>
      <c r="F741" t="s">
        <v>18</v>
      </c>
      <c r="G741">
        <v>3</v>
      </c>
      <c r="H741">
        <v>1</v>
      </c>
      <c r="I741" t="s">
        <v>24</v>
      </c>
      <c r="J741" t="s">
        <v>19</v>
      </c>
      <c r="K741">
        <v>1.49681</v>
      </c>
      <c r="L741" t="s">
        <v>19</v>
      </c>
      <c r="M741">
        <v>0</v>
      </c>
      <c r="N741">
        <v>0.51342699999999997</v>
      </c>
      <c r="O741" t="s">
        <v>20</v>
      </c>
      <c r="P741" t="s">
        <v>21</v>
      </c>
      <c r="Q741" t="s">
        <v>32</v>
      </c>
    </row>
    <row r="742" spans="1:17" x14ac:dyDescent="0.2">
      <c r="A742" t="s">
        <v>17</v>
      </c>
      <c r="B742">
        <v>19</v>
      </c>
      <c r="C742">
        <v>1.5316099999999999</v>
      </c>
      <c r="D742">
        <v>42</v>
      </c>
      <c r="E742" t="s">
        <v>19</v>
      </c>
      <c r="F742" t="s">
        <v>18</v>
      </c>
      <c r="G742">
        <v>2.7492679999999998</v>
      </c>
      <c r="H742">
        <v>1.394539</v>
      </c>
      <c r="I742" t="s">
        <v>24</v>
      </c>
      <c r="J742" t="s">
        <v>19</v>
      </c>
      <c r="K742">
        <v>1.3220479999999999</v>
      </c>
      <c r="L742" t="s">
        <v>19</v>
      </c>
      <c r="M742">
        <v>0.463949</v>
      </c>
      <c r="N742">
        <v>0.80099299999999996</v>
      </c>
      <c r="O742" t="s">
        <v>20</v>
      </c>
      <c r="P742" t="s">
        <v>21</v>
      </c>
      <c r="Q742" t="s">
        <v>32</v>
      </c>
    </row>
    <row r="743" spans="1:17" x14ac:dyDescent="0.2">
      <c r="A743" t="s">
        <v>17</v>
      </c>
      <c r="B743">
        <v>19.434709000000002</v>
      </c>
      <c r="C743">
        <v>1.5256909999999999</v>
      </c>
      <c r="D743">
        <v>42</v>
      </c>
      <c r="E743" t="s">
        <v>19</v>
      </c>
      <c r="F743" t="s">
        <v>18</v>
      </c>
      <c r="G743">
        <v>3</v>
      </c>
      <c r="H743">
        <v>1</v>
      </c>
      <c r="I743" t="s">
        <v>24</v>
      </c>
      <c r="J743" t="s">
        <v>19</v>
      </c>
      <c r="K743">
        <v>1.7640549999999999</v>
      </c>
      <c r="L743" t="s">
        <v>19</v>
      </c>
      <c r="M743">
        <v>0</v>
      </c>
      <c r="N743">
        <v>0.56088700000000002</v>
      </c>
      <c r="O743" t="s">
        <v>20</v>
      </c>
      <c r="P743" t="s">
        <v>21</v>
      </c>
      <c r="Q743" t="s">
        <v>32</v>
      </c>
    </row>
    <row r="744" spans="1:17" x14ac:dyDescent="0.2">
      <c r="A744" t="s">
        <v>23</v>
      </c>
      <c r="B744">
        <v>18</v>
      </c>
      <c r="C744">
        <v>1.719827</v>
      </c>
      <c r="D744">
        <v>52.289828</v>
      </c>
      <c r="E744" t="s">
        <v>18</v>
      </c>
      <c r="F744" t="s">
        <v>18</v>
      </c>
      <c r="G744">
        <v>1.202075</v>
      </c>
      <c r="H744">
        <v>3</v>
      </c>
      <c r="I744" t="s">
        <v>20</v>
      </c>
      <c r="J744" t="s">
        <v>19</v>
      </c>
      <c r="K744">
        <v>1.9279759999999999</v>
      </c>
      <c r="L744" t="s">
        <v>19</v>
      </c>
      <c r="M744">
        <v>2.3574000000000001E-2</v>
      </c>
      <c r="N744">
        <v>1.7472559999999999</v>
      </c>
      <c r="O744" t="s">
        <v>20</v>
      </c>
      <c r="P744" t="s">
        <v>21</v>
      </c>
      <c r="Q744" t="s">
        <v>32</v>
      </c>
    </row>
    <row r="745" spans="1:17" x14ac:dyDescent="0.2">
      <c r="A745" t="s">
        <v>23</v>
      </c>
      <c r="B745">
        <v>18.381381999999999</v>
      </c>
      <c r="C745">
        <v>1.7225470000000001</v>
      </c>
      <c r="D745">
        <v>53.783977</v>
      </c>
      <c r="E745" t="s">
        <v>18</v>
      </c>
      <c r="F745" t="s">
        <v>18</v>
      </c>
      <c r="G745">
        <v>2</v>
      </c>
      <c r="H745">
        <v>3.1310319999999998</v>
      </c>
      <c r="I745" t="s">
        <v>20</v>
      </c>
      <c r="J745" t="s">
        <v>19</v>
      </c>
      <c r="K745">
        <v>2.0721940000000001</v>
      </c>
      <c r="L745" t="s">
        <v>19</v>
      </c>
      <c r="M745">
        <v>1.4879869999999999</v>
      </c>
      <c r="N745">
        <v>2</v>
      </c>
      <c r="O745" t="s">
        <v>20</v>
      </c>
      <c r="P745" t="s">
        <v>21</v>
      </c>
      <c r="Q745" t="s">
        <v>32</v>
      </c>
    </row>
    <row r="746" spans="1:17" x14ac:dyDescent="0.2">
      <c r="A746" t="s">
        <v>23</v>
      </c>
      <c r="B746">
        <v>18</v>
      </c>
      <c r="C746">
        <v>1.738702</v>
      </c>
      <c r="D746">
        <v>50.248677000000001</v>
      </c>
      <c r="E746" t="s">
        <v>18</v>
      </c>
      <c r="F746" t="s">
        <v>18</v>
      </c>
      <c r="G746">
        <v>1.871213</v>
      </c>
      <c r="H746">
        <v>3</v>
      </c>
      <c r="I746" t="s">
        <v>20</v>
      </c>
      <c r="J746" t="s">
        <v>19</v>
      </c>
      <c r="K746">
        <v>1.283738</v>
      </c>
      <c r="L746" t="s">
        <v>19</v>
      </c>
      <c r="M746">
        <v>0.68487900000000002</v>
      </c>
      <c r="N746">
        <v>1.487223</v>
      </c>
      <c r="O746" t="s">
        <v>20</v>
      </c>
      <c r="P746" t="s">
        <v>21</v>
      </c>
      <c r="Q746" t="s">
        <v>32</v>
      </c>
    </row>
    <row r="747" spans="1:17" x14ac:dyDescent="0.2">
      <c r="A747" t="s">
        <v>23</v>
      </c>
      <c r="B747">
        <v>26.69858</v>
      </c>
      <c r="C747">
        <v>1.816298</v>
      </c>
      <c r="D747">
        <v>86.963764999999995</v>
      </c>
      <c r="E747" t="s">
        <v>19</v>
      </c>
      <c r="F747" t="s">
        <v>18</v>
      </c>
      <c r="G747">
        <v>2.3411330000000001</v>
      </c>
      <c r="H747">
        <v>1.5785210000000001</v>
      </c>
      <c r="I747" t="s">
        <v>20</v>
      </c>
      <c r="J747" t="s">
        <v>19</v>
      </c>
      <c r="K747">
        <v>2</v>
      </c>
      <c r="L747" t="s">
        <v>19</v>
      </c>
      <c r="M747">
        <v>2</v>
      </c>
      <c r="N747">
        <v>0.55407200000000001</v>
      </c>
      <c r="O747" t="s">
        <v>19</v>
      </c>
      <c r="P747" t="s">
        <v>28</v>
      </c>
      <c r="Q747" t="s">
        <v>26</v>
      </c>
    </row>
    <row r="748" spans="1:17" x14ac:dyDescent="0.2">
      <c r="A748" t="s">
        <v>23</v>
      </c>
      <c r="B748">
        <v>21.125836</v>
      </c>
      <c r="C748">
        <v>1.638085</v>
      </c>
      <c r="D748">
        <v>70</v>
      </c>
      <c r="E748" t="s">
        <v>19</v>
      </c>
      <c r="F748" t="s">
        <v>18</v>
      </c>
      <c r="G748">
        <v>2</v>
      </c>
      <c r="H748">
        <v>1</v>
      </c>
      <c r="I748" t="s">
        <v>19</v>
      </c>
      <c r="J748" t="s">
        <v>19</v>
      </c>
      <c r="K748">
        <v>2.1159669999999999</v>
      </c>
      <c r="L748" t="s">
        <v>19</v>
      </c>
      <c r="M748">
        <v>0.770536</v>
      </c>
      <c r="N748">
        <v>0</v>
      </c>
      <c r="O748" t="s">
        <v>20</v>
      </c>
      <c r="P748" t="s">
        <v>21</v>
      </c>
      <c r="Q748" t="s">
        <v>26</v>
      </c>
    </row>
    <row r="749" spans="1:17" x14ac:dyDescent="0.2">
      <c r="A749" t="s">
        <v>23</v>
      </c>
      <c r="B749">
        <v>25.191627</v>
      </c>
      <c r="C749">
        <v>1.8136779999999999</v>
      </c>
      <c r="D749">
        <v>85.637788999999998</v>
      </c>
      <c r="E749" t="s">
        <v>19</v>
      </c>
      <c r="F749" t="s">
        <v>18</v>
      </c>
      <c r="G749">
        <v>1.450218</v>
      </c>
      <c r="H749">
        <v>3.9854419999999999</v>
      </c>
      <c r="I749" t="s">
        <v>20</v>
      </c>
      <c r="J749" t="s">
        <v>19</v>
      </c>
      <c r="K749">
        <v>2.1477460000000002</v>
      </c>
      <c r="L749" t="s">
        <v>19</v>
      </c>
      <c r="M749">
        <v>4.6836000000000003E-2</v>
      </c>
      <c r="N749">
        <v>1</v>
      </c>
      <c r="O749" t="s">
        <v>19</v>
      </c>
      <c r="P749" t="s">
        <v>28</v>
      </c>
      <c r="Q749" t="s">
        <v>26</v>
      </c>
    </row>
    <row r="750" spans="1:17" x14ac:dyDescent="0.2">
      <c r="A750" t="s">
        <v>23</v>
      </c>
      <c r="B750">
        <v>21.963456999999998</v>
      </c>
      <c r="C750">
        <v>1.697228</v>
      </c>
      <c r="D750">
        <v>75.577100000000002</v>
      </c>
      <c r="E750" t="s">
        <v>18</v>
      </c>
      <c r="F750" t="s">
        <v>18</v>
      </c>
      <c r="G750">
        <v>2.204914</v>
      </c>
      <c r="H750">
        <v>3.623364</v>
      </c>
      <c r="I750" t="s">
        <v>20</v>
      </c>
      <c r="J750" t="s">
        <v>19</v>
      </c>
      <c r="K750">
        <v>1.815293</v>
      </c>
      <c r="L750" t="s">
        <v>19</v>
      </c>
      <c r="M750">
        <v>0.98931599999999997</v>
      </c>
      <c r="N750">
        <v>0</v>
      </c>
      <c r="O750" t="s">
        <v>20</v>
      </c>
      <c r="P750" t="s">
        <v>21</v>
      </c>
      <c r="Q750" t="s">
        <v>26</v>
      </c>
    </row>
    <row r="751" spans="1:17" x14ac:dyDescent="0.2">
      <c r="A751" t="s">
        <v>23</v>
      </c>
      <c r="B751">
        <v>21</v>
      </c>
      <c r="C751">
        <v>1.617469</v>
      </c>
      <c r="D751">
        <v>68.869791000000006</v>
      </c>
      <c r="E751" t="s">
        <v>19</v>
      </c>
      <c r="F751" t="s">
        <v>18</v>
      </c>
      <c r="G751">
        <v>1.2062759999999999</v>
      </c>
      <c r="H751">
        <v>3</v>
      </c>
      <c r="I751" t="s">
        <v>19</v>
      </c>
      <c r="J751" t="s">
        <v>19</v>
      </c>
      <c r="K751">
        <v>2.4065409999999998</v>
      </c>
      <c r="L751" t="s">
        <v>19</v>
      </c>
      <c r="M751">
        <v>0.94984000000000002</v>
      </c>
      <c r="N751">
        <v>0.47922100000000001</v>
      </c>
      <c r="O751" t="s">
        <v>20</v>
      </c>
      <c r="P751" t="s">
        <v>21</v>
      </c>
      <c r="Q751" t="s">
        <v>26</v>
      </c>
    </row>
    <row r="752" spans="1:17" x14ac:dyDescent="0.2">
      <c r="A752" t="s">
        <v>23</v>
      </c>
      <c r="B752">
        <v>19.114981</v>
      </c>
      <c r="C752">
        <v>1.8555429999999999</v>
      </c>
      <c r="D752">
        <v>88.965520999999995</v>
      </c>
      <c r="E752" t="s">
        <v>18</v>
      </c>
      <c r="F752" t="s">
        <v>18</v>
      </c>
      <c r="G752">
        <v>2</v>
      </c>
      <c r="H752">
        <v>3</v>
      </c>
      <c r="I752" t="s">
        <v>20</v>
      </c>
      <c r="J752" t="s">
        <v>19</v>
      </c>
      <c r="K752">
        <v>1.0156769999999999</v>
      </c>
      <c r="L752" t="s">
        <v>19</v>
      </c>
      <c r="M752">
        <v>0</v>
      </c>
      <c r="N752">
        <v>0.37464999999999998</v>
      </c>
      <c r="O752" t="s">
        <v>20</v>
      </c>
      <c r="P752" t="s">
        <v>21</v>
      </c>
      <c r="Q752" t="s">
        <v>26</v>
      </c>
    </row>
    <row r="753" spans="1:17" x14ac:dyDescent="0.2">
      <c r="A753" t="s">
        <v>17</v>
      </c>
      <c r="B753">
        <v>41.823566999999997</v>
      </c>
      <c r="C753">
        <v>1.721854</v>
      </c>
      <c r="D753">
        <v>82.919584</v>
      </c>
      <c r="E753" t="s">
        <v>19</v>
      </c>
      <c r="F753" t="s">
        <v>18</v>
      </c>
      <c r="G753">
        <v>2.8164600000000002</v>
      </c>
      <c r="H753">
        <v>3.36313</v>
      </c>
      <c r="I753" t="s">
        <v>20</v>
      </c>
      <c r="J753" t="s">
        <v>19</v>
      </c>
      <c r="K753">
        <v>2.7220629999999999</v>
      </c>
      <c r="L753" t="s">
        <v>19</v>
      </c>
      <c r="M753">
        <v>3</v>
      </c>
      <c r="N753">
        <v>0.26579000000000003</v>
      </c>
      <c r="O753" t="s">
        <v>20</v>
      </c>
      <c r="P753" t="s">
        <v>28</v>
      </c>
      <c r="Q753" t="s">
        <v>26</v>
      </c>
    </row>
    <row r="754" spans="1:17" x14ac:dyDescent="0.2">
      <c r="A754" t="s">
        <v>23</v>
      </c>
      <c r="B754">
        <v>21.142431999999999</v>
      </c>
      <c r="C754">
        <v>1.855353</v>
      </c>
      <c r="D754">
        <v>86.413387999999998</v>
      </c>
      <c r="E754" t="s">
        <v>18</v>
      </c>
      <c r="F754" t="s">
        <v>18</v>
      </c>
      <c r="G754">
        <v>2</v>
      </c>
      <c r="H754">
        <v>3</v>
      </c>
      <c r="I754" t="s">
        <v>20</v>
      </c>
      <c r="J754" t="s">
        <v>19</v>
      </c>
      <c r="K754">
        <v>1.3452980000000001</v>
      </c>
      <c r="L754" t="s">
        <v>19</v>
      </c>
      <c r="M754">
        <v>1.0979049999999999</v>
      </c>
      <c r="N754">
        <v>1</v>
      </c>
      <c r="O754" t="s">
        <v>20</v>
      </c>
      <c r="P754" t="s">
        <v>21</v>
      </c>
      <c r="Q754" t="s">
        <v>26</v>
      </c>
    </row>
    <row r="755" spans="1:17" x14ac:dyDescent="0.2">
      <c r="A755" t="s">
        <v>23</v>
      </c>
      <c r="B755">
        <v>21.962426000000001</v>
      </c>
      <c r="C755">
        <v>1.6963360000000001</v>
      </c>
      <c r="D755">
        <v>75</v>
      </c>
      <c r="E755" t="s">
        <v>18</v>
      </c>
      <c r="F755" t="s">
        <v>18</v>
      </c>
      <c r="G755">
        <v>2</v>
      </c>
      <c r="H755">
        <v>3</v>
      </c>
      <c r="I755" t="s">
        <v>20</v>
      </c>
      <c r="J755" t="s">
        <v>19</v>
      </c>
      <c r="K755">
        <v>1.8256289999999999</v>
      </c>
      <c r="L755" t="s">
        <v>19</v>
      </c>
      <c r="M755">
        <v>0.69959199999999999</v>
      </c>
      <c r="N755">
        <v>0.14205599999999999</v>
      </c>
      <c r="O755" t="s">
        <v>20</v>
      </c>
      <c r="P755" t="s">
        <v>21</v>
      </c>
      <c r="Q755" t="s">
        <v>26</v>
      </c>
    </row>
    <row r="756" spans="1:17" x14ac:dyDescent="0.2">
      <c r="A756" t="s">
        <v>17</v>
      </c>
      <c r="B756">
        <v>18.836314999999999</v>
      </c>
      <c r="C756">
        <v>1.7516309999999999</v>
      </c>
      <c r="D756">
        <v>80</v>
      </c>
      <c r="E756" t="s">
        <v>18</v>
      </c>
      <c r="F756" t="s">
        <v>18</v>
      </c>
      <c r="G756">
        <v>2</v>
      </c>
      <c r="H756">
        <v>1.7376199999999999</v>
      </c>
      <c r="I756" t="s">
        <v>20</v>
      </c>
      <c r="J756" t="s">
        <v>19</v>
      </c>
      <c r="K756">
        <v>2.2079780000000002</v>
      </c>
      <c r="L756" t="s">
        <v>19</v>
      </c>
      <c r="M756">
        <v>2.6410719999999999</v>
      </c>
      <c r="N756">
        <v>0.70704400000000001</v>
      </c>
      <c r="O756" t="s">
        <v>24</v>
      </c>
      <c r="P756" t="s">
        <v>21</v>
      </c>
      <c r="Q756" t="s">
        <v>26</v>
      </c>
    </row>
    <row r="757" spans="1:17" x14ac:dyDescent="0.2">
      <c r="A757" t="s">
        <v>23</v>
      </c>
      <c r="B757">
        <v>23.572648000000001</v>
      </c>
      <c r="C757">
        <v>1.6983459999999999</v>
      </c>
      <c r="D757">
        <v>75</v>
      </c>
      <c r="E757" t="s">
        <v>18</v>
      </c>
      <c r="F757" t="s">
        <v>18</v>
      </c>
      <c r="G757">
        <v>2</v>
      </c>
      <c r="H757">
        <v>3</v>
      </c>
      <c r="I757" t="s">
        <v>20</v>
      </c>
      <c r="J757" t="s">
        <v>19</v>
      </c>
      <c r="K757">
        <v>2</v>
      </c>
      <c r="L757" t="s">
        <v>19</v>
      </c>
      <c r="M757">
        <v>0.34568399999999999</v>
      </c>
      <c r="N757">
        <v>1.4155359999999999</v>
      </c>
      <c r="O757" t="s">
        <v>20</v>
      </c>
      <c r="P757" t="s">
        <v>21</v>
      </c>
      <c r="Q757" t="s">
        <v>26</v>
      </c>
    </row>
    <row r="758" spans="1:17" x14ac:dyDescent="0.2">
      <c r="A758" t="s">
        <v>17</v>
      </c>
      <c r="B758">
        <v>33.700749000000002</v>
      </c>
      <c r="C758">
        <v>1.642971</v>
      </c>
      <c r="D758">
        <v>74.803156999999999</v>
      </c>
      <c r="E758" t="s">
        <v>18</v>
      </c>
      <c r="F758" t="s">
        <v>19</v>
      </c>
      <c r="G758">
        <v>3</v>
      </c>
      <c r="H758">
        <v>1.1460520000000001</v>
      </c>
      <c r="I758" t="s">
        <v>20</v>
      </c>
      <c r="J758" t="s">
        <v>19</v>
      </c>
      <c r="K758">
        <v>1.0740479999999999</v>
      </c>
      <c r="L758" t="s">
        <v>19</v>
      </c>
      <c r="M758">
        <v>0.67993499999999996</v>
      </c>
      <c r="N758">
        <v>0</v>
      </c>
      <c r="O758" t="s">
        <v>20</v>
      </c>
      <c r="P758" t="s">
        <v>28</v>
      </c>
      <c r="Q758" t="s">
        <v>26</v>
      </c>
    </row>
    <row r="759" spans="1:17" x14ac:dyDescent="0.2">
      <c r="A759" t="s">
        <v>17</v>
      </c>
      <c r="B759">
        <v>21.845025</v>
      </c>
      <c r="C759">
        <v>1.6136680000000001</v>
      </c>
      <c r="D759">
        <v>68.126954999999995</v>
      </c>
      <c r="E759" t="s">
        <v>18</v>
      </c>
      <c r="F759" t="s">
        <v>18</v>
      </c>
      <c r="G759">
        <v>1.758394</v>
      </c>
      <c r="H759">
        <v>3.9819969999999998</v>
      </c>
      <c r="I759" t="s">
        <v>20</v>
      </c>
      <c r="J759" t="s">
        <v>19</v>
      </c>
      <c r="K759">
        <v>2.174248</v>
      </c>
      <c r="L759" t="s">
        <v>19</v>
      </c>
      <c r="M759">
        <v>0.92047599999999996</v>
      </c>
      <c r="N759">
        <v>1.358163</v>
      </c>
      <c r="O759" t="s">
        <v>20</v>
      </c>
      <c r="P759" t="s">
        <v>21</v>
      </c>
      <c r="Q759" t="s">
        <v>26</v>
      </c>
    </row>
    <row r="760" spans="1:17" x14ac:dyDescent="0.2">
      <c r="A760" t="s">
        <v>23</v>
      </c>
      <c r="B760">
        <v>21</v>
      </c>
      <c r="C760">
        <v>1.6054040000000001</v>
      </c>
      <c r="D760">
        <v>68.226511000000002</v>
      </c>
      <c r="E760" t="s">
        <v>19</v>
      </c>
      <c r="F760" t="s">
        <v>18</v>
      </c>
      <c r="G760">
        <v>2</v>
      </c>
      <c r="H760">
        <v>1.9154</v>
      </c>
      <c r="I760" t="s">
        <v>19</v>
      </c>
      <c r="J760" t="s">
        <v>19</v>
      </c>
      <c r="K760">
        <v>3</v>
      </c>
      <c r="L760" t="s">
        <v>19</v>
      </c>
      <c r="M760">
        <v>1</v>
      </c>
      <c r="N760">
        <v>0</v>
      </c>
      <c r="O760" t="s">
        <v>20</v>
      </c>
      <c r="P760" t="s">
        <v>21</v>
      </c>
      <c r="Q760" t="s">
        <v>26</v>
      </c>
    </row>
    <row r="761" spans="1:17" x14ac:dyDescent="0.2">
      <c r="A761" t="s">
        <v>17</v>
      </c>
      <c r="B761">
        <v>35.125400999999997</v>
      </c>
      <c r="C761">
        <v>1.5298339999999999</v>
      </c>
      <c r="D761">
        <v>62.903937999999997</v>
      </c>
      <c r="E761" t="s">
        <v>19</v>
      </c>
      <c r="F761" t="s">
        <v>18</v>
      </c>
      <c r="G761">
        <v>2</v>
      </c>
      <c r="H761">
        <v>2.1056159999999999</v>
      </c>
      <c r="I761" t="s">
        <v>20</v>
      </c>
      <c r="J761" t="s">
        <v>19</v>
      </c>
      <c r="K761">
        <v>1.4565809999999999</v>
      </c>
      <c r="L761" t="s">
        <v>19</v>
      </c>
      <c r="M761">
        <v>0</v>
      </c>
      <c r="N761">
        <v>0.99739999999999995</v>
      </c>
      <c r="O761" t="s">
        <v>20</v>
      </c>
      <c r="P761" t="s">
        <v>28</v>
      </c>
      <c r="Q761" t="s">
        <v>26</v>
      </c>
    </row>
    <row r="762" spans="1:17" x14ac:dyDescent="0.2">
      <c r="A762" t="s">
        <v>17</v>
      </c>
      <c r="B762">
        <v>36.769646000000002</v>
      </c>
      <c r="C762">
        <v>1.55</v>
      </c>
      <c r="D762">
        <v>62.337721000000002</v>
      </c>
      <c r="E762" t="s">
        <v>18</v>
      </c>
      <c r="F762" t="s">
        <v>18</v>
      </c>
      <c r="G762">
        <v>2.392665</v>
      </c>
      <c r="H762">
        <v>3</v>
      </c>
      <c r="I762" t="s">
        <v>20</v>
      </c>
      <c r="J762" t="s">
        <v>19</v>
      </c>
      <c r="K762">
        <v>2.9510559999999999</v>
      </c>
      <c r="L762" t="s">
        <v>19</v>
      </c>
      <c r="M762">
        <v>0</v>
      </c>
      <c r="N762">
        <v>0.36913400000000002</v>
      </c>
      <c r="O762" t="s">
        <v>20</v>
      </c>
      <c r="P762" t="s">
        <v>28</v>
      </c>
      <c r="Q762" t="s">
        <v>26</v>
      </c>
    </row>
    <row r="763" spans="1:17" x14ac:dyDescent="0.2">
      <c r="A763" t="s">
        <v>17</v>
      </c>
      <c r="B763">
        <v>21.868932000000001</v>
      </c>
      <c r="C763">
        <v>1.7312609999999999</v>
      </c>
      <c r="D763">
        <v>78.175706000000005</v>
      </c>
      <c r="E763" t="s">
        <v>18</v>
      </c>
      <c r="F763" t="s">
        <v>18</v>
      </c>
      <c r="G763">
        <v>2.5774270000000001</v>
      </c>
      <c r="H763">
        <v>1</v>
      </c>
      <c r="I763" t="s">
        <v>20</v>
      </c>
      <c r="J763" t="s">
        <v>19</v>
      </c>
      <c r="K763">
        <v>2</v>
      </c>
      <c r="L763" t="s">
        <v>19</v>
      </c>
      <c r="M763">
        <v>2.287423</v>
      </c>
      <c r="N763">
        <v>0</v>
      </c>
      <c r="O763" t="s">
        <v>20</v>
      </c>
      <c r="P763" t="s">
        <v>21</v>
      </c>
      <c r="Q763" t="s">
        <v>26</v>
      </c>
    </row>
    <row r="764" spans="1:17" x14ac:dyDescent="0.2">
      <c r="A764" t="s">
        <v>23</v>
      </c>
      <c r="B764">
        <v>22.549208</v>
      </c>
      <c r="C764">
        <v>1.629194</v>
      </c>
      <c r="D764">
        <v>70</v>
      </c>
      <c r="E764" t="s">
        <v>19</v>
      </c>
      <c r="F764" t="s">
        <v>18</v>
      </c>
      <c r="G764">
        <v>2</v>
      </c>
      <c r="H764">
        <v>1</v>
      </c>
      <c r="I764" t="s">
        <v>19</v>
      </c>
      <c r="J764" t="s">
        <v>19</v>
      </c>
      <c r="K764">
        <v>2.8033109999999999</v>
      </c>
      <c r="L764" t="s">
        <v>19</v>
      </c>
      <c r="M764">
        <v>0.24535399999999999</v>
      </c>
      <c r="N764">
        <v>0</v>
      </c>
      <c r="O764" t="s">
        <v>20</v>
      </c>
      <c r="P764" t="s">
        <v>21</v>
      </c>
      <c r="Q764" t="s">
        <v>26</v>
      </c>
    </row>
    <row r="765" spans="1:17" x14ac:dyDescent="0.2">
      <c r="A765" t="s">
        <v>23</v>
      </c>
      <c r="B765">
        <v>21</v>
      </c>
      <c r="C765">
        <v>1.62</v>
      </c>
      <c r="D765">
        <v>70</v>
      </c>
      <c r="E765" t="s">
        <v>19</v>
      </c>
      <c r="F765" t="s">
        <v>18</v>
      </c>
      <c r="G765">
        <v>2</v>
      </c>
      <c r="H765">
        <v>1</v>
      </c>
      <c r="I765" t="s">
        <v>19</v>
      </c>
      <c r="J765" t="s">
        <v>19</v>
      </c>
      <c r="K765">
        <v>3</v>
      </c>
      <c r="L765" t="s">
        <v>19</v>
      </c>
      <c r="M765">
        <v>1</v>
      </c>
      <c r="N765">
        <v>0</v>
      </c>
      <c r="O765" t="s">
        <v>20</v>
      </c>
      <c r="P765" t="s">
        <v>21</v>
      </c>
      <c r="Q765" t="s">
        <v>26</v>
      </c>
    </row>
    <row r="766" spans="1:17" x14ac:dyDescent="0.2">
      <c r="A766" t="s">
        <v>23</v>
      </c>
      <c r="B766">
        <v>21</v>
      </c>
      <c r="C766">
        <v>1.62</v>
      </c>
      <c r="D766">
        <v>70</v>
      </c>
      <c r="E766" t="s">
        <v>19</v>
      </c>
      <c r="F766" t="s">
        <v>18</v>
      </c>
      <c r="G766">
        <v>2</v>
      </c>
      <c r="H766">
        <v>1</v>
      </c>
      <c r="I766" t="s">
        <v>19</v>
      </c>
      <c r="J766" t="s">
        <v>19</v>
      </c>
      <c r="K766">
        <v>3</v>
      </c>
      <c r="L766" t="s">
        <v>19</v>
      </c>
      <c r="M766">
        <v>1</v>
      </c>
      <c r="N766">
        <v>0</v>
      </c>
      <c r="O766" t="s">
        <v>20</v>
      </c>
      <c r="P766" t="s">
        <v>21</v>
      </c>
      <c r="Q766" t="s">
        <v>26</v>
      </c>
    </row>
    <row r="767" spans="1:17" x14ac:dyDescent="0.2">
      <c r="A767" t="s">
        <v>17</v>
      </c>
      <c r="B767">
        <v>30.958957000000002</v>
      </c>
      <c r="C767">
        <v>1.633491</v>
      </c>
      <c r="D767">
        <v>68.803693999999993</v>
      </c>
      <c r="E767" t="s">
        <v>18</v>
      </c>
      <c r="F767" t="s">
        <v>18</v>
      </c>
      <c r="G767">
        <v>2.052152</v>
      </c>
      <c r="H767">
        <v>3</v>
      </c>
      <c r="I767" t="s">
        <v>20</v>
      </c>
      <c r="J767" t="s">
        <v>19</v>
      </c>
      <c r="K767">
        <v>1.9720740000000001</v>
      </c>
      <c r="L767" t="s">
        <v>19</v>
      </c>
      <c r="M767">
        <v>0.22830700000000001</v>
      </c>
      <c r="N767">
        <v>0</v>
      </c>
      <c r="O767" t="s">
        <v>20</v>
      </c>
      <c r="P767" t="s">
        <v>28</v>
      </c>
      <c r="Q767" t="s">
        <v>26</v>
      </c>
    </row>
    <row r="768" spans="1:17" x14ac:dyDescent="0.2">
      <c r="A768" t="s">
        <v>23</v>
      </c>
      <c r="B768">
        <v>21.017382999999999</v>
      </c>
      <c r="C768">
        <v>1.752391</v>
      </c>
      <c r="D768">
        <v>79.109637000000006</v>
      </c>
      <c r="E768" t="s">
        <v>18</v>
      </c>
      <c r="F768" t="s">
        <v>18</v>
      </c>
      <c r="G768">
        <v>3</v>
      </c>
      <c r="H768">
        <v>1</v>
      </c>
      <c r="I768" t="s">
        <v>20</v>
      </c>
      <c r="J768" t="s">
        <v>19</v>
      </c>
      <c r="K768">
        <v>2</v>
      </c>
      <c r="L768" t="s">
        <v>19</v>
      </c>
      <c r="M768">
        <v>2.5722299999999998</v>
      </c>
      <c r="N768">
        <v>0</v>
      </c>
      <c r="O768" t="s">
        <v>20</v>
      </c>
      <c r="P768" t="s">
        <v>28</v>
      </c>
      <c r="Q768" t="s">
        <v>26</v>
      </c>
    </row>
    <row r="769" spans="1:17" x14ac:dyDescent="0.2">
      <c r="A769" t="s">
        <v>23</v>
      </c>
      <c r="B769">
        <v>19.623574000000001</v>
      </c>
      <c r="C769">
        <v>1.8182259999999999</v>
      </c>
      <c r="D769">
        <v>85.833028999999996</v>
      </c>
      <c r="E769" t="s">
        <v>18</v>
      </c>
      <c r="F769" t="s">
        <v>18</v>
      </c>
      <c r="G769">
        <v>2.954996</v>
      </c>
      <c r="H769">
        <v>3.7148330000000001</v>
      </c>
      <c r="I769" t="s">
        <v>20</v>
      </c>
      <c r="J769" t="s">
        <v>19</v>
      </c>
      <c r="K769">
        <v>2.4309180000000001</v>
      </c>
      <c r="L769" t="s">
        <v>19</v>
      </c>
      <c r="M769">
        <v>2.5459309999999999</v>
      </c>
      <c r="N769">
        <v>0.46973500000000001</v>
      </c>
      <c r="O769" t="s">
        <v>20</v>
      </c>
      <c r="P769" t="s">
        <v>21</v>
      </c>
      <c r="Q769" t="s">
        <v>26</v>
      </c>
    </row>
    <row r="770" spans="1:17" x14ac:dyDescent="0.2">
      <c r="A770" t="s">
        <v>23</v>
      </c>
      <c r="B770">
        <v>19.637947</v>
      </c>
      <c r="C770">
        <v>1.8091010000000001</v>
      </c>
      <c r="D770">
        <v>85</v>
      </c>
      <c r="E770" t="s">
        <v>18</v>
      </c>
      <c r="F770" t="s">
        <v>18</v>
      </c>
      <c r="G770">
        <v>3</v>
      </c>
      <c r="H770">
        <v>3</v>
      </c>
      <c r="I770" t="s">
        <v>20</v>
      </c>
      <c r="J770" t="s">
        <v>19</v>
      </c>
      <c r="K770">
        <v>2.229171</v>
      </c>
      <c r="L770" t="s">
        <v>19</v>
      </c>
      <c r="M770">
        <v>1.607953</v>
      </c>
      <c r="N770">
        <v>0.62805900000000003</v>
      </c>
      <c r="O770" t="s">
        <v>20</v>
      </c>
      <c r="P770" t="s">
        <v>21</v>
      </c>
      <c r="Q770" t="s">
        <v>26</v>
      </c>
    </row>
    <row r="771" spans="1:17" x14ac:dyDescent="0.2">
      <c r="A771" t="s">
        <v>23</v>
      </c>
      <c r="B771">
        <v>21.413641999999999</v>
      </c>
      <c r="C771">
        <v>1.709484</v>
      </c>
      <c r="D771">
        <v>75</v>
      </c>
      <c r="E771" t="s">
        <v>18</v>
      </c>
      <c r="F771" t="s">
        <v>18</v>
      </c>
      <c r="G771">
        <v>2</v>
      </c>
      <c r="H771">
        <v>3</v>
      </c>
      <c r="I771" t="s">
        <v>20</v>
      </c>
      <c r="J771" t="s">
        <v>19</v>
      </c>
      <c r="K771">
        <v>2.8437770000000002</v>
      </c>
      <c r="L771" t="s">
        <v>19</v>
      </c>
      <c r="M771">
        <v>2.0223149999999999</v>
      </c>
      <c r="N771">
        <v>9.2540000000000001E-3</v>
      </c>
      <c r="O771" t="s">
        <v>20</v>
      </c>
      <c r="P771" t="s">
        <v>21</v>
      </c>
      <c r="Q771" t="s">
        <v>26</v>
      </c>
    </row>
    <row r="772" spans="1:17" x14ac:dyDescent="0.2">
      <c r="A772" t="s">
        <v>23</v>
      </c>
      <c r="B772">
        <v>21.029633</v>
      </c>
      <c r="C772">
        <v>1.6070819999999999</v>
      </c>
      <c r="D772">
        <v>67.722222000000002</v>
      </c>
      <c r="E772" t="s">
        <v>18</v>
      </c>
      <c r="F772" t="s">
        <v>18</v>
      </c>
      <c r="G772">
        <v>2</v>
      </c>
      <c r="H772">
        <v>3.6912259999999999</v>
      </c>
      <c r="I772" t="s">
        <v>19</v>
      </c>
      <c r="J772" t="s">
        <v>19</v>
      </c>
      <c r="K772">
        <v>3</v>
      </c>
      <c r="L772" t="s">
        <v>19</v>
      </c>
      <c r="M772">
        <v>1.2281359999999999</v>
      </c>
      <c r="N772">
        <v>0.3352</v>
      </c>
      <c r="O772" t="s">
        <v>20</v>
      </c>
      <c r="P772" t="s">
        <v>21</v>
      </c>
      <c r="Q772" t="s">
        <v>26</v>
      </c>
    </row>
    <row r="773" spans="1:17" x14ac:dyDescent="0.2">
      <c r="A773" t="s">
        <v>17</v>
      </c>
      <c r="B773">
        <v>22.667596</v>
      </c>
      <c r="C773">
        <v>1.718939</v>
      </c>
      <c r="D773">
        <v>75.951471999999995</v>
      </c>
      <c r="E773" t="s">
        <v>18</v>
      </c>
      <c r="F773" t="s">
        <v>18</v>
      </c>
      <c r="G773">
        <v>2</v>
      </c>
      <c r="H773">
        <v>3</v>
      </c>
      <c r="I773" t="s">
        <v>24</v>
      </c>
      <c r="J773" t="s">
        <v>19</v>
      </c>
      <c r="K773">
        <v>2</v>
      </c>
      <c r="L773" t="s">
        <v>19</v>
      </c>
      <c r="M773">
        <v>0</v>
      </c>
      <c r="N773">
        <v>2</v>
      </c>
      <c r="O773" t="s">
        <v>20</v>
      </c>
      <c r="P773" t="s">
        <v>21</v>
      </c>
      <c r="Q773" t="s">
        <v>26</v>
      </c>
    </row>
    <row r="774" spans="1:17" x14ac:dyDescent="0.2">
      <c r="A774" t="s">
        <v>23</v>
      </c>
      <c r="B774">
        <v>20</v>
      </c>
      <c r="C774">
        <v>1.8313569999999999</v>
      </c>
      <c r="D774">
        <v>89.652557000000002</v>
      </c>
      <c r="E774" t="s">
        <v>18</v>
      </c>
      <c r="F774" t="s">
        <v>18</v>
      </c>
      <c r="G774">
        <v>2.5554009999999998</v>
      </c>
      <c r="H774">
        <v>3.292386</v>
      </c>
      <c r="I774" t="s">
        <v>20</v>
      </c>
      <c r="J774" t="s">
        <v>19</v>
      </c>
      <c r="K774">
        <v>3</v>
      </c>
      <c r="L774" t="s">
        <v>19</v>
      </c>
      <c r="M774">
        <v>2</v>
      </c>
      <c r="N774">
        <v>0.31591799999999998</v>
      </c>
      <c r="O774" t="s">
        <v>20</v>
      </c>
      <c r="P774" t="s">
        <v>21</v>
      </c>
      <c r="Q774" t="s">
        <v>26</v>
      </c>
    </row>
    <row r="775" spans="1:17" x14ac:dyDescent="0.2">
      <c r="A775" t="s">
        <v>17</v>
      </c>
      <c r="B775">
        <v>21.81119</v>
      </c>
      <c r="C775">
        <v>1.6</v>
      </c>
      <c r="D775">
        <v>66.401407000000006</v>
      </c>
      <c r="E775" t="s">
        <v>18</v>
      </c>
      <c r="F775" t="s">
        <v>18</v>
      </c>
      <c r="G775">
        <v>2.108711</v>
      </c>
      <c r="H775">
        <v>3</v>
      </c>
      <c r="I775" t="s">
        <v>20</v>
      </c>
      <c r="J775" t="s">
        <v>19</v>
      </c>
      <c r="K775">
        <v>2.746197</v>
      </c>
      <c r="L775" t="s">
        <v>19</v>
      </c>
      <c r="M775">
        <v>1.9104319999999999</v>
      </c>
      <c r="N775">
        <v>0</v>
      </c>
      <c r="O775" t="s">
        <v>20</v>
      </c>
      <c r="P775" t="s">
        <v>21</v>
      </c>
      <c r="Q775" t="s">
        <v>26</v>
      </c>
    </row>
    <row r="776" spans="1:17" x14ac:dyDescent="0.2">
      <c r="A776" t="s">
        <v>17</v>
      </c>
      <c r="B776">
        <v>21</v>
      </c>
      <c r="C776">
        <v>1.754813</v>
      </c>
      <c r="D776">
        <v>77.929203999999999</v>
      </c>
      <c r="E776" t="s">
        <v>18</v>
      </c>
      <c r="F776" t="s">
        <v>18</v>
      </c>
      <c r="G776">
        <v>2.915279</v>
      </c>
      <c r="H776">
        <v>1.1046419999999999</v>
      </c>
      <c r="I776" t="s">
        <v>20</v>
      </c>
      <c r="J776" t="s">
        <v>19</v>
      </c>
      <c r="K776">
        <v>1.530046</v>
      </c>
      <c r="L776" t="s">
        <v>19</v>
      </c>
      <c r="M776">
        <v>1.360635</v>
      </c>
      <c r="N776">
        <v>0</v>
      </c>
      <c r="O776" t="s">
        <v>20</v>
      </c>
      <c r="P776" t="s">
        <v>21</v>
      </c>
      <c r="Q776" t="s">
        <v>26</v>
      </c>
    </row>
    <row r="777" spans="1:17" x14ac:dyDescent="0.2">
      <c r="A777" t="s">
        <v>23</v>
      </c>
      <c r="B777">
        <v>18.128205999999999</v>
      </c>
      <c r="C777">
        <v>1.7784469999999999</v>
      </c>
      <c r="D777">
        <v>80.273807000000005</v>
      </c>
      <c r="E777" t="s">
        <v>18</v>
      </c>
      <c r="F777" t="s">
        <v>18</v>
      </c>
      <c r="G777">
        <v>1.5700890000000001</v>
      </c>
      <c r="H777">
        <v>3</v>
      </c>
      <c r="I777" t="s">
        <v>20</v>
      </c>
      <c r="J777" t="s">
        <v>19</v>
      </c>
      <c r="K777">
        <v>2</v>
      </c>
      <c r="L777" t="s">
        <v>19</v>
      </c>
      <c r="M777">
        <v>2.7078820000000001</v>
      </c>
      <c r="N777">
        <v>0</v>
      </c>
      <c r="O777" t="s">
        <v>19</v>
      </c>
      <c r="P777" t="s">
        <v>21</v>
      </c>
      <c r="Q777" t="s">
        <v>26</v>
      </c>
    </row>
    <row r="778" spans="1:17" x14ac:dyDescent="0.2">
      <c r="A778" t="s">
        <v>23</v>
      </c>
      <c r="B778">
        <v>21</v>
      </c>
      <c r="C778">
        <v>1.7095610000000001</v>
      </c>
      <c r="D778">
        <v>75</v>
      </c>
      <c r="E778" t="s">
        <v>18</v>
      </c>
      <c r="F778" t="s">
        <v>18</v>
      </c>
      <c r="G778">
        <v>2</v>
      </c>
      <c r="H778">
        <v>3</v>
      </c>
      <c r="I778" t="s">
        <v>20</v>
      </c>
      <c r="J778" t="s">
        <v>19</v>
      </c>
      <c r="K778">
        <v>1.6363259999999999</v>
      </c>
      <c r="L778" t="s">
        <v>19</v>
      </c>
      <c r="M778">
        <v>1</v>
      </c>
      <c r="N778">
        <v>0</v>
      </c>
      <c r="O778" t="s">
        <v>20</v>
      </c>
      <c r="P778" t="s">
        <v>21</v>
      </c>
      <c r="Q778" t="s">
        <v>26</v>
      </c>
    </row>
    <row r="779" spans="1:17" x14ac:dyDescent="0.2">
      <c r="A779" t="s">
        <v>17</v>
      </c>
      <c r="B779">
        <v>29.08107</v>
      </c>
      <c r="C779">
        <v>1.6745680000000001</v>
      </c>
      <c r="D779">
        <v>71.602621999999997</v>
      </c>
      <c r="E779" t="s">
        <v>18</v>
      </c>
      <c r="F779" t="s">
        <v>18</v>
      </c>
      <c r="G779">
        <v>2</v>
      </c>
      <c r="H779">
        <v>3</v>
      </c>
      <c r="I779" t="s">
        <v>20</v>
      </c>
      <c r="J779" t="s">
        <v>19</v>
      </c>
      <c r="K779">
        <v>1.701835</v>
      </c>
      <c r="L779" t="s">
        <v>19</v>
      </c>
      <c r="M779">
        <v>1.6822710000000001</v>
      </c>
      <c r="N779">
        <v>0</v>
      </c>
      <c r="O779" t="s">
        <v>20</v>
      </c>
      <c r="P779" t="s">
        <v>28</v>
      </c>
      <c r="Q779" t="s">
        <v>26</v>
      </c>
    </row>
    <row r="780" spans="1:17" x14ac:dyDescent="0.2">
      <c r="A780" t="s">
        <v>23</v>
      </c>
      <c r="B780">
        <v>26.358919</v>
      </c>
      <c r="C780">
        <v>1.755317</v>
      </c>
      <c r="D780">
        <v>82.228793999999994</v>
      </c>
      <c r="E780" t="s">
        <v>18</v>
      </c>
      <c r="F780" t="s">
        <v>18</v>
      </c>
      <c r="G780">
        <v>1.94313</v>
      </c>
      <c r="H780">
        <v>3.559841</v>
      </c>
      <c r="I780" t="s">
        <v>20</v>
      </c>
      <c r="J780" t="s">
        <v>19</v>
      </c>
      <c r="K780">
        <v>2.3679960000000002</v>
      </c>
      <c r="L780" t="s">
        <v>19</v>
      </c>
      <c r="M780">
        <v>0.23552999999999999</v>
      </c>
      <c r="N780">
        <v>0.87997700000000001</v>
      </c>
      <c r="O780" t="s">
        <v>20</v>
      </c>
      <c r="P780" t="s">
        <v>21</v>
      </c>
      <c r="Q780" t="s">
        <v>26</v>
      </c>
    </row>
    <row r="781" spans="1:17" x14ac:dyDescent="0.2">
      <c r="A781" t="s">
        <v>23</v>
      </c>
      <c r="B781">
        <v>22.717248999999999</v>
      </c>
      <c r="C781">
        <v>1.7080709999999999</v>
      </c>
      <c r="D781">
        <v>75</v>
      </c>
      <c r="E781" t="s">
        <v>18</v>
      </c>
      <c r="F781" t="s">
        <v>18</v>
      </c>
      <c r="G781">
        <v>2.7144469999999998</v>
      </c>
      <c r="H781">
        <v>3</v>
      </c>
      <c r="I781" t="s">
        <v>20</v>
      </c>
      <c r="J781" t="s">
        <v>19</v>
      </c>
      <c r="K781">
        <v>3</v>
      </c>
      <c r="L781" t="s">
        <v>19</v>
      </c>
      <c r="M781">
        <v>1.0968180000000001</v>
      </c>
      <c r="N781">
        <v>1.89388</v>
      </c>
      <c r="O781" t="s">
        <v>20</v>
      </c>
      <c r="P781" t="s">
        <v>21</v>
      </c>
      <c r="Q781" t="s">
        <v>26</v>
      </c>
    </row>
    <row r="782" spans="1:17" x14ac:dyDescent="0.2">
      <c r="A782" t="s">
        <v>23</v>
      </c>
      <c r="B782">
        <v>19.816949000000001</v>
      </c>
      <c r="C782">
        <v>1.8069470000000001</v>
      </c>
      <c r="D782">
        <v>85.079588999999999</v>
      </c>
      <c r="E782" t="s">
        <v>18</v>
      </c>
      <c r="F782" t="s">
        <v>18</v>
      </c>
      <c r="G782">
        <v>2</v>
      </c>
      <c r="H782">
        <v>3</v>
      </c>
      <c r="I782" t="s">
        <v>20</v>
      </c>
      <c r="J782" t="s">
        <v>19</v>
      </c>
      <c r="K782">
        <v>2.2920729999999998</v>
      </c>
      <c r="L782" t="s">
        <v>19</v>
      </c>
      <c r="M782">
        <v>1.067817</v>
      </c>
      <c r="N782">
        <v>0.19667999999999999</v>
      </c>
      <c r="O782" t="s">
        <v>20</v>
      </c>
      <c r="P782" t="s">
        <v>21</v>
      </c>
      <c r="Q782" t="s">
        <v>26</v>
      </c>
    </row>
    <row r="783" spans="1:17" x14ac:dyDescent="0.2">
      <c r="A783" t="s">
        <v>17</v>
      </c>
      <c r="B783">
        <v>24.023972000000001</v>
      </c>
      <c r="C783">
        <v>1.5996969999999999</v>
      </c>
      <c r="D783">
        <v>64.808021999999994</v>
      </c>
      <c r="E783" t="s">
        <v>19</v>
      </c>
      <c r="F783" t="s">
        <v>18</v>
      </c>
      <c r="G783">
        <v>2.9035449999999998</v>
      </c>
      <c r="H783">
        <v>3</v>
      </c>
      <c r="I783" t="s">
        <v>20</v>
      </c>
      <c r="J783" t="s">
        <v>19</v>
      </c>
      <c r="K783">
        <v>1.5499309999999999</v>
      </c>
      <c r="L783" t="s">
        <v>19</v>
      </c>
      <c r="M783">
        <v>0</v>
      </c>
      <c r="N783">
        <v>0.27388200000000001</v>
      </c>
      <c r="O783" t="s">
        <v>20</v>
      </c>
      <c r="P783" t="s">
        <v>21</v>
      </c>
      <c r="Q783" t="s">
        <v>26</v>
      </c>
    </row>
    <row r="784" spans="1:17" x14ac:dyDescent="0.2">
      <c r="A784" t="s">
        <v>17</v>
      </c>
      <c r="B784">
        <v>32.593128999999998</v>
      </c>
      <c r="C784">
        <v>1.721903</v>
      </c>
      <c r="D784">
        <v>72.748902999999999</v>
      </c>
      <c r="E784" t="s">
        <v>18</v>
      </c>
      <c r="F784" t="s">
        <v>18</v>
      </c>
      <c r="G784">
        <v>2</v>
      </c>
      <c r="H784">
        <v>3</v>
      </c>
      <c r="I784" t="s">
        <v>20</v>
      </c>
      <c r="J784" t="s">
        <v>19</v>
      </c>
      <c r="K784">
        <v>1</v>
      </c>
      <c r="L784" t="s">
        <v>19</v>
      </c>
      <c r="M784">
        <v>0</v>
      </c>
      <c r="N784">
        <v>1.339232</v>
      </c>
      <c r="O784" t="s">
        <v>20</v>
      </c>
      <c r="P784" t="s">
        <v>28</v>
      </c>
      <c r="Q784" t="s">
        <v>26</v>
      </c>
    </row>
    <row r="785" spans="1:17" x14ac:dyDescent="0.2">
      <c r="A785" t="s">
        <v>23</v>
      </c>
      <c r="B785">
        <v>23</v>
      </c>
      <c r="C785">
        <v>1.712556</v>
      </c>
      <c r="D785">
        <v>75.480763999999994</v>
      </c>
      <c r="E785" t="s">
        <v>18</v>
      </c>
      <c r="F785" t="s">
        <v>18</v>
      </c>
      <c r="G785">
        <v>3</v>
      </c>
      <c r="H785">
        <v>3.654061</v>
      </c>
      <c r="I785" t="s">
        <v>20</v>
      </c>
      <c r="J785" t="s">
        <v>19</v>
      </c>
      <c r="K785">
        <v>1.2299150000000001</v>
      </c>
      <c r="L785" t="s">
        <v>19</v>
      </c>
      <c r="M785">
        <v>0.793489</v>
      </c>
      <c r="N785">
        <v>1.5976079999999999</v>
      </c>
      <c r="O785" t="s">
        <v>20</v>
      </c>
      <c r="P785" t="s">
        <v>21</v>
      </c>
      <c r="Q785" t="s">
        <v>26</v>
      </c>
    </row>
    <row r="786" spans="1:17" x14ac:dyDescent="0.2">
      <c r="A786" t="s">
        <v>17</v>
      </c>
      <c r="B786">
        <v>16.941489000000001</v>
      </c>
      <c r="C786">
        <v>1.551288</v>
      </c>
      <c r="D786">
        <v>54.93242</v>
      </c>
      <c r="E786" t="s">
        <v>19</v>
      </c>
      <c r="F786" t="s">
        <v>18</v>
      </c>
      <c r="G786">
        <v>1.7537499999999999</v>
      </c>
      <c r="H786">
        <v>1.2961560000000001</v>
      </c>
      <c r="I786" t="s">
        <v>20</v>
      </c>
      <c r="J786" t="s">
        <v>19</v>
      </c>
      <c r="K786">
        <v>2</v>
      </c>
      <c r="L786" t="s">
        <v>18</v>
      </c>
      <c r="M786">
        <v>0.11017399999999999</v>
      </c>
      <c r="N786">
        <v>1.9446749999999999</v>
      </c>
      <c r="O786" t="s">
        <v>20</v>
      </c>
      <c r="P786" t="s">
        <v>21</v>
      </c>
      <c r="Q786" t="s">
        <v>26</v>
      </c>
    </row>
    <row r="787" spans="1:17" x14ac:dyDescent="0.2">
      <c r="A787" t="s">
        <v>17</v>
      </c>
      <c r="B787">
        <v>16.172992000000001</v>
      </c>
      <c r="C787">
        <v>1.603842</v>
      </c>
      <c r="D787">
        <v>65</v>
      </c>
      <c r="E787" t="s">
        <v>18</v>
      </c>
      <c r="F787" t="s">
        <v>18</v>
      </c>
      <c r="G787">
        <v>2.5435629999999998</v>
      </c>
      <c r="H787">
        <v>1</v>
      </c>
      <c r="I787" t="s">
        <v>20</v>
      </c>
      <c r="J787" t="s">
        <v>19</v>
      </c>
      <c r="K787">
        <v>2</v>
      </c>
      <c r="L787" t="s">
        <v>18</v>
      </c>
      <c r="M787">
        <v>0.69428100000000004</v>
      </c>
      <c r="N787">
        <v>1.0569109999999999</v>
      </c>
      <c r="O787" t="s">
        <v>20</v>
      </c>
      <c r="P787" t="s">
        <v>21</v>
      </c>
      <c r="Q787" t="s">
        <v>26</v>
      </c>
    </row>
    <row r="788" spans="1:17" x14ac:dyDescent="0.2">
      <c r="A788" t="s">
        <v>17</v>
      </c>
      <c r="B788">
        <v>23.712589999999999</v>
      </c>
      <c r="C788">
        <v>1.588597</v>
      </c>
      <c r="D788">
        <v>62.339002999999998</v>
      </c>
      <c r="E788" t="s">
        <v>19</v>
      </c>
      <c r="F788" t="s">
        <v>18</v>
      </c>
      <c r="G788">
        <v>2.3972799999999999</v>
      </c>
      <c r="H788">
        <v>2.6565880000000002</v>
      </c>
      <c r="I788" t="s">
        <v>20</v>
      </c>
      <c r="J788" t="s">
        <v>19</v>
      </c>
      <c r="K788">
        <v>2.0610620000000002</v>
      </c>
      <c r="L788" t="s">
        <v>19</v>
      </c>
      <c r="M788">
        <v>1.912981</v>
      </c>
      <c r="N788">
        <v>1.887386</v>
      </c>
      <c r="O788" t="s">
        <v>20</v>
      </c>
      <c r="P788" t="s">
        <v>21</v>
      </c>
      <c r="Q788" t="s">
        <v>26</v>
      </c>
    </row>
    <row r="789" spans="1:17" x14ac:dyDescent="0.2">
      <c r="A789" t="s">
        <v>17</v>
      </c>
      <c r="B789">
        <v>35.194088999999998</v>
      </c>
      <c r="C789">
        <v>1.6734819999999999</v>
      </c>
      <c r="D789">
        <v>73.193589000000003</v>
      </c>
      <c r="E789" t="s">
        <v>18</v>
      </c>
      <c r="F789" t="s">
        <v>19</v>
      </c>
      <c r="G789">
        <v>3</v>
      </c>
      <c r="H789">
        <v>2.8097159999999999</v>
      </c>
      <c r="I789" t="s">
        <v>20</v>
      </c>
      <c r="J789" t="s">
        <v>19</v>
      </c>
      <c r="K789">
        <v>1.5914250000000001</v>
      </c>
      <c r="L789" t="s">
        <v>19</v>
      </c>
      <c r="M789">
        <v>0.17802299999999999</v>
      </c>
      <c r="N789">
        <v>0</v>
      </c>
      <c r="O789" t="s">
        <v>20</v>
      </c>
      <c r="P789" t="s">
        <v>28</v>
      </c>
      <c r="Q789" t="s">
        <v>26</v>
      </c>
    </row>
    <row r="790" spans="1:17" x14ac:dyDescent="0.2">
      <c r="A790" t="s">
        <v>23</v>
      </c>
      <c r="B790">
        <v>23.172982000000001</v>
      </c>
      <c r="C790">
        <v>1.8586240000000001</v>
      </c>
      <c r="D790">
        <v>88.675503000000006</v>
      </c>
      <c r="E790" t="s">
        <v>18</v>
      </c>
      <c r="F790" t="s">
        <v>18</v>
      </c>
      <c r="G790">
        <v>2</v>
      </c>
      <c r="H790">
        <v>2.77684</v>
      </c>
      <c r="I790" t="s">
        <v>20</v>
      </c>
      <c r="J790" t="s">
        <v>19</v>
      </c>
      <c r="K790">
        <v>1.2782309999999999</v>
      </c>
      <c r="L790" t="s">
        <v>19</v>
      </c>
      <c r="M790">
        <v>0.55713000000000001</v>
      </c>
      <c r="N790">
        <v>1</v>
      </c>
      <c r="O790" t="s">
        <v>20</v>
      </c>
      <c r="P790" t="s">
        <v>28</v>
      </c>
      <c r="Q790" t="s">
        <v>26</v>
      </c>
    </row>
    <row r="791" spans="1:17" x14ac:dyDescent="0.2">
      <c r="A791" t="s">
        <v>17</v>
      </c>
      <c r="B791">
        <v>37.218161000000002</v>
      </c>
      <c r="C791">
        <v>1.5938939999999999</v>
      </c>
      <c r="D791">
        <v>63.320628999999997</v>
      </c>
      <c r="E791" t="s">
        <v>18</v>
      </c>
      <c r="F791" t="s">
        <v>18</v>
      </c>
      <c r="G791">
        <v>2.3746399999999999</v>
      </c>
      <c r="H791">
        <v>3</v>
      </c>
      <c r="I791" t="s">
        <v>20</v>
      </c>
      <c r="J791" t="s">
        <v>19</v>
      </c>
      <c r="K791">
        <v>2</v>
      </c>
      <c r="L791" t="s">
        <v>19</v>
      </c>
      <c r="M791">
        <v>2.892922</v>
      </c>
      <c r="N791">
        <v>0.48081299999999999</v>
      </c>
      <c r="O791" t="s">
        <v>20</v>
      </c>
      <c r="P791" t="s">
        <v>28</v>
      </c>
      <c r="Q791" t="s">
        <v>26</v>
      </c>
    </row>
    <row r="792" spans="1:17" x14ac:dyDescent="0.2">
      <c r="A792" t="s">
        <v>23</v>
      </c>
      <c r="B792">
        <v>19.076443000000001</v>
      </c>
      <c r="C792">
        <v>1.62</v>
      </c>
      <c r="D792">
        <v>69.529624999999996</v>
      </c>
      <c r="E792" t="s">
        <v>19</v>
      </c>
      <c r="F792" t="s">
        <v>18</v>
      </c>
      <c r="G792">
        <v>2.2786439999999999</v>
      </c>
      <c r="H792">
        <v>1</v>
      </c>
      <c r="I792" t="s">
        <v>20</v>
      </c>
      <c r="J792" t="s">
        <v>19</v>
      </c>
      <c r="K792">
        <v>2.6289850000000001</v>
      </c>
      <c r="L792" t="s">
        <v>19</v>
      </c>
      <c r="M792">
        <v>1</v>
      </c>
      <c r="N792">
        <v>1.2853730000000001</v>
      </c>
      <c r="O792" t="s">
        <v>20</v>
      </c>
      <c r="P792" t="s">
        <v>21</v>
      </c>
      <c r="Q792" t="s">
        <v>26</v>
      </c>
    </row>
    <row r="793" spans="1:17" x14ac:dyDescent="0.2">
      <c r="A793" t="s">
        <v>17</v>
      </c>
      <c r="B793">
        <v>16.30687</v>
      </c>
      <c r="C793">
        <v>1.616366</v>
      </c>
      <c r="D793">
        <v>67.183127999999996</v>
      </c>
      <c r="E793" t="s">
        <v>18</v>
      </c>
      <c r="F793" t="s">
        <v>18</v>
      </c>
      <c r="G793">
        <v>1.6208450000000001</v>
      </c>
      <c r="H793">
        <v>1</v>
      </c>
      <c r="I793" t="s">
        <v>20</v>
      </c>
      <c r="J793" t="s">
        <v>19</v>
      </c>
      <c r="K793">
        <v>2</v>
      </c>
      <c r="L793" t="s">
        <v>18</v>
      </c>
      <c r="M793">
        <v>0.92659199999999997</v>
      </c>
      <c r="N793">
        <v>1.657098</v>
      </c>
      <c r="O793" t="s">
        <v>19</v>
      </c>
      <c r="P793" t="s">
        <v>21</v>
      </c>
      <c r="Q793" t="s">
        <v>26</v>
      </c>
    </row>
    <row r="794" spans="1:17" x14ac:dyDescent="0.2">
      <c r="A794" t="s">
        <v>17</v>
      </c>
      <c r="B794">
        <v>18.297229000000002</v>
      </c>
      <c r="C794">
        <v>1.6373960000000001</v>
      </c>
      <c r="D794">
        <v>70</v>
      </c>
      <c r="E794" t="s">
        <v>18</v>
      </c>
      <c r="F794" t="s">
        <v>18</v>
      </c>
      <c r="G794">
        <v>2</v>
      </c>
      <c r="H794">
        <v>1.9990140000000001</v>
      </c>
      <c r="I794" t="s">
        <v>20</v>
      </c>
      <c r="J794" t="s">
        <v>19</v>
      </c>
      <c r="K794">
        <v>2.326165</v>
      </c>
      <c r="L794" t="s">
        <v>19</v>
      </c>
      <c r="M794">
        <v>7.0499999999999998E-3</v>
      </c>
      <c r="N794">
        <v>0</v>
      </c>
      <c r="O794" t="s">
        <v>19</v>
      </c>
      <c r="P794" t="s">
        <v>21</v>
      </c>
      <c r="Q794" t="s">
        <v>26</v>
      </c>
    </row>
    <row r="795" spans="1:17" x14ac:dyDescent="0.2">
      <c r="A795" t="s">
        <v>17</v>
      </c>
      <c r="B795">
        <v>18.610761</v>
      </c>
      <c r="C795">
        <v>1.5507230000000001</v>
      </c>
      <c r="D795">
        <v>60.628321</v>
      </c>
      <c r="E795" t="s">
        <v>19</v>
      </c>
      <c r="F795" t="s">
        <v>18</v>
      </c>
      <c r="G795">
        <v>2.8231790000000001</v>
      </c>
      <c r="H795">
        <v>2.644692</v>
      </c>
      <c r="I795" t="s">
        <v>20</v>
      </c>
      <c r="J795" t="s">
        <v>19</v>
      </c>
      <c r="K795">
        <v>1.226764</v>
      </c>
      <c r="L795" t="s">
        <v>18</v>
      </c>
      <c r="M795">
        <v>0.74752799999999997</v>
      </c>
      <c r="N795">
        <v>8.8990000000000007E-3</v>
      </c>
      <c r="O795" t="s">
        <v>20</v>
      </c>
      <c r="P795" t="s">
        <v>21</v>
      </c>
      <c r="Q795" t="s">
        <v>26</v>
      </c>
    </row>
    <row r="796" spans="1:17" x14ac:dyDescent="0.2">
      <c r="A796" t="s">
        <v>17</v>
      </c>
      <c r="B796">
        <v>17.451084999999999</v>
      </c>
      <c r="C796">
        <v>1.6</v>
      </c>
      <c r="D796">
        <v>65</v>
      </c>
      <c r="E796" t="s">
        <v>18</v>
      </c>
      <c r="F796" t="s">
        <v>18</v>
      </c>
      <c r="G796">
        <v>3</v>
      </c>
      <c r="H796">
        <v>2.4497230000000001</v>
      </c>
      <c r="I796" t="s">
        <v>20</v>
      </c>
      <c r="J796" t="s">
        <v>19</v>
      </c>
      <c r="K796">
        <v>2</v>
      </c>
      <c r="L796" t="s">
        <v>18</v>
      </c>
      <c r="M796">
        <v>0.47959200000000002</v>
      </c>
      <c r="N796">
        <v>1.720642</v>
      </c>
      <c r="O796" t="s">
        <v>20</v>
      </c>
      <c r="P796" t="s">
        <v>21</v>
      </c>
      <c r="Q796" t="s">
        <v>26</v>
      </c>
    </row>
    <row r="797" spans="1:17" x14ac:dyDescent="0.2">
      <c r="A797" t="s">
        <v>23</v>
      </c>
      <c r="B797">
        <v>29.740496</v>
      </c>
      <c r="C797">
        <v>1.820471</v>
      </c>
      <c r="D797">
        <v>87.668828000000005</v>
      </c>
      <c r="E797" t="s">
        <v>19</v>
      </c>
      <c r="F797" t="s">
        <v>18</v>
      </c>
      <c r="G797">
        <v>3</v>
      </c>
      <c r="H797">
        <v>3</v>
      </c>
      <c r="I797" t="s">
        <v>20</v>
      </c>
      <c r="J797" t="s">
        <v>19</v>
      </c>
      <c r="K797">
        <v>1.1746110000000001</v>
      </c>
      <c r="L797" t="s">
        <v>19</v>
      </c>
      <c r="M797">
        <v>2</v>
      </c>
      <c r="N797">
        <v>0</v>
      </c>
      <c r="O797" t="s">
        <v>19</v>
      </c>
      <c r="P797" t="s">
        <v>28</v>
      </c>
      <c r="Q797" t="s">
        <v>26</v>
      </c>
    </row>
    <row r="798" spans="1:17" x14ac:dyDescent="0.2">
      <c r="A798" t="s">
        <v>17</v>
      </c>
      <c r="B798">
        <v>31.539393</v>
      </c>
      <c r="C798">
        <v>1.6574960000000001</v>
      </c>
      <c r="D798">
        <v>73.641632999999999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1</v>
      </c>
      <c r="L798" t="s">
        <v>19</v>
      </c>
      <c r="M798">
        <v>0</v>
      </c>
      <c r="N798">
        <v>1.1124890000000001</v>
      </c>
      <c r="O798" t="s">
        <v>20</v>
      </c>
      <c r="P798" t="s">
        <v>28</v>
      </c>
      <c r="Q798" t="s">
        <v>26</v>
      </c>
    </row>
    <row r="799" spans="1:17" x14ac:dyDescent="0.2">
      <c r="A799" t="s">
        <v>23</v>
      </c>
      <c r="B799">
        <v>18.026457000000001</v>
      </c>
      <c r="C799">
        <v>1.7521230000000001</v>
      </c>
      <c r="D799">
        <v>80</v>
      </c>
      <c r="E799" t="s">
        <v>18</v>
      </c>
      <c r="F799" t="s">
        <v>18</v>
      </c>
      <c r="G799">
        <v>2</v>
      </c>
      <c r="H799">
        <v>2.7941560000000001</v>
      </c>
      <c r="I799" t="s">
        <v>20</v>
      </c>
      <c r="J799" t="s">
        <v>19</v>
      </c>
      <c r="K799">
        <v>2.3773620000000002</v>
      </c>
      <c r="L799" t="s">
        <v>19</v>
      </c>
      <c r="M799">
        <v>0.10123600000000001</v>
      </c>
      <c r="N799">
        <v>0.105895</v>
      </c>
      <c r="O799" t="s">
        <v>19</v>
      </c>
      <c r="P799" t="s">
        <v>21</v>
      </c>
      <c r="Q799" t="s">
        <v>26</v>
      </c>
    </row>
    <row r="800" spans="1:17" x14ac:dyDescent="0.2">
      <c r="A800" t="s">
        <v>23</v>
      </c>
      <c r="B800">
        <v>19.475539999999999</v>
      </c>
      <c r="C800">
        <v>1.8572310000000001</v>
      </c>
      <c r="D800">
        <v>88.138777000000005</v>
      </c>
      <c r="E800" t="s">
        <v>18</v>
      </c>
      <c r="F800" t="s">
        <v>18</v>
      </c>
      <c r="G800">
        <v>2.0619519999999998</v>
      </c>
      <c r="H800">
        <v>4</v>
      </c>
      <c r="I800" t="s">
        <v>20</v>
      </c>
      <c r="J800" t="s">
        <v>19</v>
      </c>
      <c r="K800">
        <v>2.4264649999999999</v>
      </c>
      <c r="L800" t="s">
        <v>19</v>
      </c>
      <c r="M800">
        <v>2</v>
      </c>
      <c r="N800">
        <v>0.160138</v>
      </c>
      <c r="O800" t="s">
        <v>20</v>
      </c>
      <c r="P800" t="s">
        <v>21</v>
      </c>
      <c r="Q800" t="s">
        <v>26</v>
      </c>
    </row>
    <row r="801" spans="1:17" x14ac:dyDescent="0.2">
      <c r="A801" t="s">
        <v>17</v>
      </c>
      <c r="B801">
        <v>19</v>
      </c>
      <c r="C801">
        <v>1.76</v>
      </c>
      <c r="D801">
        <v>79.544998000000007</v>
      </c>
      <c r="E801" t="s">
        <v>18</v>
      </c>
      <c r="F801" t="s">
        <v>18</v>
      </c>
      <c r="G801">
        <v>2</v>
      </c>
      <c r="H801">
        <v>1.1467940000000001</v>
      </c>
      <c r="I801" t="s">
        <v>20</v>
      </c>
      <c r="J801" t="s">
        <v>19</v>
      </c>
      <c r="K801">
        <v>3</v>
      </c>
      <c r="L801" t="s">
        <v>19</v>
      </c>
      <c r="M801">
        <v>1.8097449999999999</v>
      </c>
      <c r="N801">
        <v>1.690102</v>
      </c>
      <c r="O801" t="s">
        <v>24</v>
      </c>
      <c r="P801" t="s">
        <v>21</v>
      </c>
      <c r="Q801" t="s">
        <v>26</v>
      </c>
    </row>
    <row r="802" spans="1:17" x14ac:dyDescent="0.2">
      <c r="A802" t="s">
        <v>17</v>
      </c>
      <c r="B802">
        <v>18</v>
      </c>
      <c r="C802">
        <v>1.644682</v>
      </c>
      <c r="D802">
        <v>68.392133000000001</v>
      </c>
      <c r="E802" t="s">
        <v>18</v>
      </c>
      <c r="F802" t="s">
        <v>18</v>
      </c>
      <c r="G802">
        <v>2</v>
      </c>
      <c r="H802">
        <v>1.1316949999999999</v>
      </c>
      <c r="I802" t="s">
        <v>20</v>
      </c>
      <c r="J802" t="s">
        <v>19</v>
      </c>
      <c r="K802">
        <v>1.3445389999999999</v>
      </c>
      <c r="L802" t="s">
        <v>19</v>
      </c>
      <c r="M802">
        <v>0</v>
      </c>
      <c r="N802">
        <v>1.59257</v>
      </c>
      <c r="O802" t="s">
        <v>19</v>
      </c>
      <c r="P802" t="s">
        <v>21</v>
      </c>
      <c r="Q802" t="s">
        <v>26</v>
      </c>
    </row>
    <row r="803" spans="1:17" x14ac:dyDescent="0.2">
      <c r="A803" t="s">
        <v>17</v>
      </c>
      <c r="B803">
        <v>18.270434000000002</v>
      </c>
      <c r="C803">
        <v>1.7371650000000001</v>
      </c>
      <c r="D803">
        <v>76.699774000000005</v>
      </c>
      <c r="E803" t="s">
        <v>18</v>
      </c>
      <c r="F803" t="s">
        <v>18</v>
      </c>
      <c r="G803">
        <v>2.8389690000000001</v>
      </c>
      <c r="H803">
        <v>3</v>
      </c>
      <c r="I803" t="s">
        <v>20</v>
      </c>
      <c r="J803" t="s">
        <v>19</v>
      </c>
      <c r="K803">
        <v>2.4259270000000002</v>
      </c>
      <c r="L803" t="s">
        <v>19</v>
      </c>
      <c r="M803">
        <v>1</v>
      </c>
      <c r="N803">
        <v>1.453335</v>
      </c>
      <c r="O803" t="s">
        <v>24</v>
      </c>
      <c r="P803" t="s">
        <v>21</v>
      </c>
      <c r="Q803" t="s">
        <v>26</v>
      </c>
    </row>
    <row r="804" spans="1:17" x14ac:dyDescent="0.2">
      <c r="A804" t="s">
        <v>17</v>
      </c>
      <c r="B804">
        <v>19.816227999999999</v>
      </c>
      <c r="C804">
        <v>1.5078530000000001</v>
      </c>
      <c r="D804">
        <v>64.259378999999996</v>
      </c>
      <c r="E804" t="s">
        <v>19</v>
      </c>
      <c r="F804" t="s">
        <v>18</v>
      </c>
      <c r="G804">
        <v>2.568063</v>
      </c>
      <c r="H804">
        <v>3</v>
      </c>
      <c r="I804" t="s">
        <v>20</v>
      </c>
      <c r="J804" t="s">
        <v>19</v>
      </c>
      <c r="K804">
        <v>1.8179829999999999</v>
      </c>
      <c r="L804" t="s">
        <v>18</v>
      </c>
      <c r="M804">
        <v>0</v>
      </c>
      <c r="N804">
        <v>0</v>
      </c>
      <c r="O804" t="s">
        <v>20</v>
      </c>
      <c r="P804" t="s">
        <v>21</v>
      </c>
      <c r="Q804" t="s">
        <v>26</v>
      </c>
    </row>
    <row r="805" spans="1:17" x14ac:dyDescent="0.2">
      <c r="A805" t="s">
        <v>23</v>
      </c>
      <c r="B805">
        <v>28.39124</v>
      </c>
      <c r="C805">
        <v>1.81006</v>
      </c>
      <c r="D805">
        <v>87.286783</v>
      </c>
      <c r="E805" t="s">
        <v>19</v>
      </c>
      <c r="F805" t="s">
        <v>18</v>
      </c>
      <c r="G805">
        <v>3</v>
      </c>
      <c r="H805">
        <v>3</v>
      </c>
      <c r="I805" t="s">
        <v>20</v>
      </c>
      <c r="J805" t="s">
        <v>19</v>
      </c>
      <c r="K805">
        <v>1.205633</v>
      </c>
      <c r="L805" t="s">
        <v>19</v>
      </c>
      <c r="M805">
        <v>2</v>
      </c>
      <c r="N805">
        <v>0</v>
      </c>
      <c r="O805" t="s">
        <v>19</v>
      </c>
      <c r="P805" t="s">
        <v>28</v>
      </c>
      <c r="Q805" t="s">
        <v>26</v>
      </c>
    </row>
    <row r="806" spans="1:17" x14ac:dyDescent="0.2">
      <c r="A806" t="s">
        <v>23</v>
      </c>
      <c r="B806">
        <v>26.758516</v>
      </c>
      <c r="C806">
        <v>1.80179</v>
      </c>
      <c r="D806">
        <v>86.981201999999996</v>
      </c>
      <c r="E806" t="s">
        <v>19</v>
      </c>
      <c r="F806" t="s">
        <v>18</v>
      </c>
      <c r="G806">
        <v>2.6529579999999999</v>
      </c>
      <c r="H806">
        <v>2.4881890000000002</v>
      </c>
      <c r="I806" t="s">
        <v>20</v>
      </c>
      <c r="J806" t="s">
        <v>19</v>
      </c>
      <c r="K806">
        <v>2</v>
      </c>
      <c r="L806" t="s">
        <v>19</v>
      </c>
      <c r="M806">
        <v>2</v>
      </c>
      <c r="N806">
        <v>9.6614000000000005E-2</v>
      </c>
      <c r="O806" t="s">
        <v>19</v>
      </c>
      <c r="P806" t="s">
        <v>28</v>
      </c>
      <c r="Q806" t="s">
        <v>26</v>
      </c>
    </row>
    <row r="807" spans="1:17" x14ac:dyDescent="0.2">
      <c r="A807" t="s">
        <v>23</v>
      </c>
      <c r="B807">
        <v>21.033794</v>
      </c>
      <c r="C807">
        <v>1.625891</v>
      </c>
      <c r="D807">
        <v>70</v>
      </c>
      <c r="E807" t="s">
        <v>19</v>
      </c>
      <c r="F807" t="s">
        <v>18</v>
      </c>
      <c r="G807">
        <v>2</v>
      </c>
      <c r="H807">
        <v>1</v>
      </c>
      <c r="I807" t="s">
        <v>19</v>
      </c>
      <c r="J807" t="s">
        <v>19</v>
      </c>
      <c r="K807">
        <v>2.0087600000000001</v>
      </c>
      <c r="L807" t="s">
        <v>19</v>
      </c>
      <c r="M807">
        <v>0.63119000000000003</v>
      </c>
      <c r="N807">
        <v>0</v>
      </c>
      <c r="O807" t="s">
        <v>20</v>
      </c>
      <c r="P807" t="s">
        <v>21</v>
      </c>
      <c r="Q807" t="s">
        <v>26</v>
      </c>
    </row>
    <row r="808" spans="1:17" x14ac:dyDescent="0.2">
      <c r="A808" t="s">
        <v>23</v>
      </c>
      <c r="B808">
        <v>22.429811999999998</v>
      </c>
      <c r="C808">
        <v>1.6403700000000001</v>
      </c>
      <c r="D808">
        <v>70</v>
      </c>
      <c r="E808" t="s">
        <v>19</v>
      </c>
      <c r="F808" t="s">
        <v>18</v>
      </c>
      <c r="G808">
        <v>2</v>
      </c>
      <c r="H808">
        <v>1</v>
      </c>
      <c r="I808" t="s">
        <v>19</v>
      </c>
      <c r="J808" t="s">
        <v>19</v>
      </c>
      <c r="K808">
        <v>2.0691839999999999</v>
      </c>
      <c r="L808" t="s">
        <v>19</v>
      </c>
      <c r="M808">
        <v>0.72989800000000005</v>
      </c>
      <c r="N808">
        <v>0</v>
      </c>
      <c r="O808" t="s">
        <v>20</v>
      </c>
      <c r="P808" t="s">
        <v>21</v>
      </c>
      <c r="Q808" t="s">
        <v>26</v>
      </c>
    </row>
    <row r="809" spans="1:17" x14ac:dyDescent="0.2">
      <c r="A809" t="s">
        <v>23</v>
      </c>
      <c r="B809">
        <v>26.650418999999999</v>
      </c>
      <c r="C809">
        <v>1.7910470000000001</v>
      </c>
      <c r="D809">
        <v>83.263120000000001</v>
      </c>
      <c r="E809" t="s">
        <v>19</v>
      </c>
      <c r="F809" t="s">
        <v>18</v>
      </c>
      <c r="G809">
        <v>1.2778499999999999</v>
      </c>
      <c r="H809">
        <v>3.9995910000000001</v>
      </c>
      <c r="I809" t="s">
        <v>20</v>
      </c>
      <c r="J809" t="s">
        <v>19</v>
      </c>
      <c r="K809">
        <v>2.4959440000000002</v>
      </c>
      <c r="L809" t="s">
        <v>19</v>
      </c>
      <c r="M809">
        <v>3.4199999999999999E-3</v>
      </c>
      <c r="N809">
        <v>1</v>
      </c>
      <c r="O809" t="s">
        <v>19</v>
      </c>
      <c r="P809" t="s">
        <v>28</v>
      </c>
      <c r="Q809" t="s">
        <v>26</v>
      </c>
    </row>
    <row r="810" spans="1:17" x14ac:dyDescent="0.2">
      <c r="A810" t="s">
        <v>23</v>
      </c>
      <c r="B810">
        <v>21.618245999999999</v>
      </c>
      <c r="C810">
        <v>1.679306</v>
      </c>
      <c r="D810">
        <v>75</v>
      </c>
      <c r="E810" t="s">
        <v>18</v>
      </c>
      <c r="F810" t="s">
        <v>18</v>
      </c>
      <c r="G810">
        <v>2</v>
      </c>
      <c r="H810">
        <v>3</v>
      </c>
      <c r="I810" t="s">
        <v>20</v>
      </c>
      <c r="J810" t="s">
        <v>19</v>
      </c>
      <c r="K810">
        <v>1.9578709999999999</v>
      </c>
      <c r="L810" t="s">
        <v>19</v>
      </c>
      <c r="M810">
        <v>0.99459200000000003</v>
      </c>
      <c r="N810">
        <v>0.117303</v>
      </c>
      <c r="O810" t="s">
        <v>20</v>
      </c>
      <c r="P810" t="s">
        <v>21</v>
      </c>
      <c r="Q810" t="s">
        <v>26</v>
      </c>
    </row>
    <row r="811" spans="1:17" x14ac:dyDescent="0.2">
      <c r="A811" t="s">
        <v>17</v>
      </c>
      <c r="B811">
        <v>21.012542</v>
      </c>
      <c r="C811">
        <v>1.6151450000000001</v>
      </c>
      <c r="D811">
        <v>68.653346999999997</v>
      </c>
      <c r="E811" t="s">
        <v>18</v>
      </c>
      <c r="F811" t="s">
        <v>18</v>
      </c>
      <c r="G811">
        <v>1.729824</v>
      </c>
      <c r="H811">
        <v>3.6129410000000002</v>
      </c>
      <c r="I811" t="s">
        <v>19</v>
      </c>
      <c r="J811" t="s">
        <v>19</v>
      </c>
      <c r="K811">
        <v>2.0437029999999998</v>
      </c>
      <c r="L811" t="s">
        <v>19</v>
      </c>
      <c r="M811">
        <v>0.56211800000000001</v>
      </c>
      <c r="N811">
        <v>0.42664299999999999</v>
      </c>
      <c r="O811" t="s">
        <v>20</v>
      </c>
      <c r="P811" t="s">
        <v>21</v>
      </c>
      <c r="Q811" t="s">
        <v>26</v>
      </c>
    </row>
    <row r="812" spans="1:17" x14ac:dyDescent="0.2">
      <c r="A812" t="s">
        <v>17</v>
      </c>
      <c r="B812">
        <v>21.071194999999999</v>
      </c>
      <c r="C812">
        <v>1.6164670000000001</v>
      </c>
      <c r="D812">
        <v>68.771850000000001</v>
      </c>
      <c r="E812" t="s">
        <v>18</v>
      </c>
      <c r="F812" t="s">
        <v>18</v>
      </c>
      <c r="G812">
        <v>1.4525239999999999</v>
      </c>
      <c r="H812">
        <v>3.9505530000000002</v>
      </c>
      <c r="I812" t="s">
        <v>19</v>
      </c>
      <c r="J812" t="s">
        <v>19</v>
      </c>
      <c r="K812">
        <v>2.109858</v>
      </c>
      <c r="L812" t="s">
        <v>19</v>
      </c>
      <c r="M812">
        <v>0.50884700000000005</v>
      </c>
      <c r="N812">
        <v>1.1946330000000001</v>
      </c>
      <c r="O812" t="s">
        <v>20</v>
      </c>
      <c r="P812" t="s">
        <v>21</v>
      </c>
      <c r="Q812" t="s">
        <v>26</v>
      </c>
    </row>
    <row r="813" spans="1:17" x14ac:dyDescent="0.2">
      <c r="A813" t="s">
        <v>23</v>
      </c>
      <c r="B813">
        <v>19.741202000000001</v>
      </c>
      <c r="C813">
        <v>1.816783</v>
      </c>
      <c r="D813">
        <v>86.522799000000006</v>
      </c>
      <c r="E813" t="s">
        <v>18</v>
      </c>
      <c r="F813" t="s">
        <v>18</v>
      </c>
      <c r="G813">
        <v>2</v>
      </c>
      <c r="H813">
        <v>3</v>
      </c>
      <c r="I813" t="s">
        <v>20</v>
      </c>
      <c r="J813" t="s">
        <v>19</v>
      </c>
      <c r="K813">
        <v>2.1773859999999998</v>
      </c>
      <c r="L813" t="s">
        <v>19</v>
      </c>
      <c r="M813">
        <v>0.336814</v>
      </c>
      <c r="N813">
        <v>4.8129999999999996E-3</v>
      </c>
      <c r="O813" t="s">
        <v>20</v>
      </c>
      <c r="P813" t="s">
        <v>21</v>
      </c>
      <c r="Q813" t="s">
        <v>26</v>
      </c>
    </row>
    <row r="814" spans="1:17" x14ac:dyDescent="0.2">
      <c r="A814" t="s">
        <v>23</v>
      </c>
      <c r="B814">
        <v>19.216380000000001</v>
      </c>
      <c r="C814">
        <v>1.8124720000000001</v>
      </c>
      <c r="D814">
        <v>86.748294999999999</v>
      </c>
      <c r="E814" t="s">
        <v>18</v>
      </c>
      <c r="F814" t="s">
        <v>18</v>
      </c>
      <c r="G814">
        <v>2</v>
      </c>
      <c r="H814">
        <v>3</v>
      </c>
      <c r="I814" t="s">
        <v>20</v>
      </c>
      <c r="J814" t="s">
        <v>19</v>
      </c>
      <c r="K814">
        <v>2.1686510000000001</v>
      </c>
      <c r="L814" t="s">
        <v>19</v>
      </c>
      <c r="M814">
        <v>0.97799800000000003</v>
      </c>
      <c r="N814">
        <v>0.14263799999999999</v>
      </c>
      <c r="O814" t="s">
        <v>20</v>
      </c>
      <c r="P814" t="s">
        <v>21</v>
      </c>
      <c r="Q814" t="s">
        <v>26</v>
      </c>
    </row>
    <row r="815" spans="1:17" x14ac:dyDescent="0.2">
      <c r="A815" t="s">
        <v>17</v>
      </c>
      <c r="B815">
        <v>42.244750000000003</v>
      </c>
      <c r="C815">
        <v>1.7682310000000001</v>
      </c>
      <c r="D815">
        <v>75.629310000000004</v>
      </c>
      <c r="E815" t="s">
        <v>18</v>
      </c>
      <c r="F815" t="s">
        <v>18</v>
      </c>
      <c r="G815">
        <v>3</v>
      </c>
      <c r="H815">
        <v>2.9518369999999998</v>
      </c>
      <c r="I815" t="s">
        <v>20</v>
      </c>
      <c r="J815" t="s">
        <v>19</v>
      </c>
      <c r="K815">
        <v>2.1120320000000001</v>
      </c>
      <c r="L815" t="s">
        <v>19</v>
      </c>
      <c r="M815">
        <v>0.37868299999999999</v>
      </c>
      <c r="N815">
        <v>0</v>
      </c>
      <c r="O815" t="s">
        <v>20</v>
      </c>
      <c r="P815" t="s">
        <v>28</v>
      </c>
      <c r="Q815" t="s">
        <v>26</v>
      </c>
    </row>
    <row r="816" spans="1:17" x14ac:dyDescent="0.2">
      <c r="A816" t="s">
        <v>23</v>
      </c>
      <c r="B816">
        <v>22.283082</v>
      </c>
      <c r="C816">
        <v>1.8709309999999999</v>
      </c>
      <c r="D816">
        <v>89.251638999999997</v>
      </c>
      <c r="E816" t="s">
        <v>18</v>
      </c>
      <c r="F816" t="s">
        <v>18</v>
      </c>
      <c r="G816">
        <v>2</v>
      </c>
      <c r="H816">
        <v>2.799979</v>
      </c>
      <c r="I816" t="s">
        <v>20</v>
      </c>
      <c r="J816" t="s">
        <v>19</v>
      </c>
      <c r="K816">
        <v>1.0813330000000001</v>
      </c>
      <c r="L816" t="s">
        <v>19</v>
      </c>
      <c r="M816">
        <v>0.44434699999999999</v>
      </c>
      <c r="N816">
        <v>1</v>
      </c>
      <c r="O816" t="s">
        <v>20</v>
      </c>
      <c r="P816" t="s">
        <v>21</v>
      </c>
      <c r="Q816" t="s">
        <v>26</v>
      </c>
    </row>
    <row r="817" spans="1:17" x14ac:dyDescent="0.2">
      <c r="A817" t="s">
        <v>23</v>
      </c>
      <c r="B817">
        <v>21.086511999999999</v>
      </c>
      <c r="C817">
        <v>1.863685</v>
      </c>
      <c r="D817">
        <v>89.558853999999997</v>
      </c>
      <c r="E817" t="s">
        <v>18</v>
      </c>
      <c r="F817" t="s">
        <v>18</v>
      </c>
      <c r="G817">
        <v>2</v>
      </c>
      <c r="H817">
        <v>3</v>
      </c>
      <c r="I817" t="s">
        <v>20</v>
      </c>
      <c r="J817" t="s">
        <v>19</v>
      </c>
      <c r="K817">
        <v>1.005727</v>
      </c>
      <c r="L817" t="s">
        <v>19</v>
      </c>
      <c r="M817">
        <v>0</v>
      </c>
      <c r="N817">
        <v>0.79821900000000001</v>
      </c>
      <c r="O817" t="s">
        <v>20</v>
      </c>
      <c r="P817" t="s">
        <v>21</v>
      </c>
      <c r="Q817" t="s">
        <v>26</v>
      </c>
    </row>
    <row r="818" spans="1:17" x14ac:dyDescent="0.2">
      <c r="A818" t="s">
        <v>23</v>
      </c>
      <c r="B818">
        <v>23.451595000000001</v>
      </c>
      <c r="C818">
        <v>1.6702269999999999</v>
      </c>
      <c r="D818">
        <v>75</v>
      </c>
      <c r="E818" t="s">
        <v>18</v>
      </c>
      <c r="F818" t="s">
        <v>18</v>
      </c>
      <c r="G818">
        <v>2</v>
      </c>
      <c r="H818">
        <v>3</v>
      </c>
      <c r="I818" t="s">
        <v>20</v>
      </c>
      <c r="J818" t="s">
        <v>19</v>
      </c>
      <c r="K818">
        <v>2</v>
      </c>
      <c r="L818" t="s">
        <v>19</v>
      </c>
      <c r="M818">
        <v>0.129163</v>
      </c>
      <c r="N818">
        <v>1.9836780000000001</v>
      </c>
      <c r="O818" t="s">
        <v>20</v>
      </c>
      <c r="P818" t="s">
        <v>21</v>
      </c>
      <c r="Q818" t="s">
        <v>26</v>
      </c>
    </row>
    <row r="819" spans="1:17" x14ac:dyDescent="0.2">
      <c r="A819" t="s">
        <v>23</v>
      </c>
      <c r="B819">
        <v>22.740275</v>
      </c>
      <c r="C819">
        <v>1.7172879999999999</v>
      </c>
      <c r="D819">
        <v>75.948164000000006</v>
      </c>
      <c r="E819" t="s">
        <v>18</v>
      </c>
      <c r="F819" t="s">
        <v>18</v>
      </c>
      <c r="G819">
        <v>2</v>
      </c>
      <c r="H819">
        <v>3</v>
      </c>
      <c r="I819" t="s">
        <v>20</v>
      </c>
      <c r="J819" t="s">
        <v>19</v>
      </c>
      <c r="K819">
        <v>2</v>
      </c>
      <c r="L819" t="s">
        <v>19</v>
      </c>
      <c r="M819">
        <v>0</v>
      </c>
      <c r="N819">
        <v>2</v>
      </c>
      <c r="O819" t="s">
        <v>20</v>
      </c>
      <c r="P819" t="s">
        <v>21</v>
      </c>
      <c r="Q819" t="s">
        <v>26</v>
      </c>
    </row>
    <row r="820" spans="1:17" x14ac:dyDescent="0.2">
      <c r="A820" t="s">
        <v>23</v>
      </c>
      <c r="B820">
        <v>18.900252999999999</v>
      </c>
      <c r="C820">
        <v>1.750359</v>
      </c>
      <c r="D820">
        <v>79.828725000000006</v>
      </c>
      <c r="E820" t="s">
        <v>18</v>
      </c>
      <c r="F820" t="s">
        <v>18</v>
      </c>
      <c r="G820">
        <v>2</v>
      </c>
      <c r="H820">
        <v>2.228113</v>
      </c>
      <c r="I820" t="s">
        <v>20</v>
      </c>
      <c r="J820" t="s">
        <v>19</v>
      </c>
      <c r="K820">
        <v>2.045004</v>
      </c>
      <c r="L820" t="s">
        <v>19</v>
      </c>
      <c r="M820">
        <v>1.2936650000000001</v>
      </c>
      <c r="N820">
        <v>0.96180600000000005</v>
      </c>
      <c r="O820" t="s">
        <v>24</v>
      </c>
      <c r="P820" t="s">
        <v>21</v>
      </c>
      <c r="Q820" t="s">
        <v>26</v>
      </c>
    </row>
    <row r="821" spans="1:17" x14ac:dyDescent="0.2">
      <c r="A821" t="s">
        <v>23</v>
      </c>
      <c r="B821">
        <v>23.170309</v>
      </c>
      <c r="C821">
        <v>1.707557</v>
      </c>
      <c r="D821">
        <v>75.306702000000001</v>
      </c>
      <c r="E821" t="s">
        <v>18</v>
      </c>
      <c r="F821" t="s">
        <v>18</v>
      </c>
      <c r="G821">
        <v>2.3033670000000002</v>
      </c>
      <c r="H821">
        <v>3.0427740000000001</v>
      </c>
      <c r="I821" t="s">
        <v>20</v>
      </c>
      <c r="J821" t="s">
        <v>19</v>
      </c>
      <c r="K821">
        <v>1.277636</v>
      </c>
      <c r="L821" t="s">
        <v>19</v>
      </c>
      <c r="M821">
        <v>0.94498199999999999</v>
      </c>
      <c r="N821">
        <v>0.36612600000000001</v>
      </c>
      <c r="O821" t="s">
        <v>20</v>
      </c>
      <c r="P821" t="s">
        <v>21</v>
      </c>
      <c r="Q821" t="s">
        <v>26</v>
      </c>
    </row>
    <row r="822" spans="1:17" x14ac:dyDescent="0.2">
      <c r="A822" t="s">
        <v>17</v>
      </c>
      <c r="B822">
        <v>32.997118</v>
      </c>
      <c r="C822">
        <v>1.6724460000000001</v>
      </c>
      <c r="D822">
        <v>74.812707000000003</v>
      </c>
      <c r="E822" t="s">
        <v>18</v>
      </c>
      <c r="F822" t="s">
        <v>18</v>
      </c>
      <c r="G822">
        <v>2.9484249999999999</v>
      </c>
      <c r="H822">
        <v>1.1986429999999999</v>
      </c>
      <c r="I822" t="s">
        <v>20</v>
      </c>
      <c r="J822" t="s">
        <v>19</v>
      </c>
      <c r="K822">
        <v>1</v>
      </c>
      <c r="L822" t="s">
        <v>19</v>
      </c>
      <c r="M822">
        <v>0</v>
      </c>
      <c r="N822">
        <v>0.17379600000000001</v>
      </c>
      <c r="O822" t="s">
        <v>20</v>
      </c>
      <c r="P822" t="s">
        <v>28</v>
      </c>
      <c r="Q822" t="s">
        <v>26</v>
      </c>
    </row>
    <row r="823" spans="1:17" x14ac:dyDescent="0.2">
      <c r="A823" t="s">
        <v>17</v>
      </c>
      <c r="B823">
        <v>32.501142999999999</v>
      </c>
      <c r="C823">
        <v>1.6759790000000001</v>
      </c>
      <c r="D823">
        <v>74.959746999999993</v>
      </c>
      <c r="E823" t="s">
        <v>18</v>
      </c>
      <c r="F823" t="s">
        <v>18</v>
      </c>
      <c r="G823">
        <v>2.291846</v>
      </c>
      <c r="H823">
        <v>1.5555570000000001</v>
      </c>
      <c r="I823" t="s">
        <v>20</v>
      </c>
      <c r="J823" t="s">
        <v>19</v>
      </c>
      <c r="K823">
        <v>1</v>
      </c>
      <c r="L823" t="s">
        <v>19</v>
      </c>
      <c r="M823">
        <v>0</v>
      </c>
      <c r="N823">
        <v>0.38827099999999998</v>
      </c>
      <c r="O823" t="s">
        <v>20</v>
      </c>
      <c r="P823" t="s">
        <v>28</v>
      </c>
      <c r="Q823" t="s">
        <v>26</v>
      </c>
    </row>
    <row r="824" spans="1:17" x14ac:dyDescent="0.2">
      <c r="A824" t="s">
        <v>17</v>
      </c>
      <c r="B824">
        <v>21.938831</v>
      </c>
      <c r="C824">
        <v>1.6112390000000001</v>
      </c>
      <c r="D824">
        <v>67.939653000000007</v>
      </c>
      <c r="E824" t="s">
        <v>18</v>
      </c>
      <c r="F824" t="s">
        <v>18</v>
      </c>
      <c r="G824">
        <v>1.9061939999999999</v>
      </c>
      <c r="H824">
        <v>3.9877069999999999</v>
      </c>
      <c r="I824" t="s">
        <v>20</v>
      </c>
      <c r="J824" t="s">
        <v>19</v>
      </c>
      <c r="K824">
        <v>2.5977459999999999</v>
      </c>
      <c r="L824" t="s">
        <v>19</v>
      </c>
      <c r="M824">
        <v>1.922234</v>
      </c>
      <c r="N824">
        <v>1.3761239999999999</v>
      </c>
      <c r="O824" t="s">
        <v>20</v>
      </c>
      <c r="P824" t="s">
        <v>21</v>
      </c>
      <c r="Q824" t="s">
        <v>26</v>
      </c>
    </row>
    <row r="825" spans="1:17" x14ac:dyDescent="0.2">
      <c r="A825" t="s">
        <v>17</v>
      </c>
      <c r="B825">
        <v>21.909534000000001</v>
      </c>
      <c r="C825">
        <v>1.611356</v>
      </c>
      <c r="D825">
        <v>68.066090000000003</v>
      </c>
      <c r="E825" t="s">
        <v>18</v>
      </c>
      <c r="F825" t="s">
        <v>18</v>
      </c>
      <c r="G825">
        <v>1.834155</v>
      </c>
      <c r="H825">
        <v>3.9959570000000002</v>
      </c>
      <c r="I825" t="s">
        <v>20</v>
      </c>
      <c r="J825" t="s">
        <v>19</v>
      </c>
      <c r="K825">
        <v>2.6328710000000002</v>
      </c>
      <c r="L825" t="s">
        <v>19</v>
      </c>
      <c r="M825">
        <v>1.2361139999999999</v>
      </c>
      <c r="N825">
        <v>1.9808749999999999</v>
      </c>
      <c r="O825" t="s">
        <v>20</v>
      </c>
      <c r="P825" t="s">
        <v>21</v>
      </c>
      <c r="Q825" t="s">
        <v>26</v>
      </c>
    </row>
    <row r="826" spans="1:17" x14ac:dyDescent="0.2">
      <c r="A826" t="s">
        <v>23</v>
      </c>
      <c r="B826">
        <v>21</v>
      </c>
      <c r="C826">
        <v>1.62</v>
      </c>
      <c r="D826">
        <v>70</v>
      </c>
      <c r="E826" t="s">
        <v>19</v>
      </c>
      <c r="F826" t="s">
        <v>18</v>
      </c>
      <c r="G826">
        <v>2</v>
      </c>
      <c r="H826">
        <v>1</v>
      </c>
      <c r="I826" t="s">
        <v>19</v>
      </c>
      <c r="J826" t="s">
        <v>19</v>
      </c>
      <c r="K826">
        <v>3</v>
      </c>
      <c r="L826" t="s">
        <v>19</v>
      </c>
      <c r="M826">
        <v>1</v>
      </c>
      <c r="N826">
        <v>0</v>
      </c>
      <c r="O826" t="s">
        <v>20</v>
      </c>
      <c r="P826" t="s">
        <v>21</v>
      </c>
      <c r="Q826" t="s">
        <v>26</v>
      </c>
    </row>
    <row r="827" spans="1:17" x14ac:dyDescent="0.2">
      <c r="A827" t="s">
        <v>17</v>
      </c>
      <c r="B827">
        <v>37.455751999999997</v>
      </c>
      <c r="C827">
        <v>1.5089079999999999</v>
      </c>
      <c r="D827">
        <v>63.183846000000003</v>
      </c>
      <c r="E827" t="s">
        <v>18</v>
      </c>
      <c r="F827" t="s">
        <v>18</v>
      </c>
      <c r="G827">
        <v>2.0485820000000001</v>
      </c>
      <c r="H827">
        <v>1.0471969999999999</v>
      </c>
      <c r="I827" t="s">
        <v>20</v>
      </c>
      <c r="J827" t="s">
        <v>19</v>
      </c>
      <c r="K827">
        <v>2</v>
      </c>
      <c r="L827" t="s">
        <v>19</v>
      </c>
      <c r="M827">
        <v>0.15135999999999999</v>
      </c>
      <c r="N827">
        <v>0.22595999999999999</v>
      </c>
      <c r="O827" t="s">
        <v>20</v>
      </c>
      <c r="P827" t="s">
        <v>28</v>
      </c>
      <c r="Q827" t="s">
        <v>26</v>
      </c>
    </row>
    <row r="828" spans="1:17" x14ac:dyDescent="0.2">
      <c r="A828" t="s">
        <v>17</v>
      </c>
      <c r="B828">
        <v>40</v>
      </c>
      <c r="C828">
        <v>1.5611090000000001</v>
      </c>
      <c r="D828">
        <v>62.871794000000001</v>
      </c>
      <c r="E828" t="s">
        <v>18</v>
      </c>
      <c r="F828" t="s">
        <v>18</v>
      </c>
      <c r="G828">
        <v>2.948248</v>
      </c>
      <c r="H828">
        <v>3</v>
      </c>
      <c r="I828" t="s">
        <v>20</v>
      </c>
      <c r="J828" t="s">
        <v>19</v>
      </c>
      <c r="K828">
        <v>2.4299110000000002</v>
      </c>
      <c r="L828" t="s">
        <v>19</v>
      </c>
      <c r="M828">
        <v>0.11964</v>
      </c>
      <c r="N828">
        <v>0.36019299999999999</v>
      </c>
      <c r="O828" t="s">
        <v>20</v>
      </c>
      <c r="P828" t="s">
        <v>28</v>
      </c>
      <c r="Q828" t="s">
        <v>26</v>
      </c>
    </row>
    <row r="829" spans="1:17" x14ac:dyDescent="0.2">
      <c r="A829" t="s">
        <v>17</v>
      </c>
      <c r="B829">
        <v>38.943282000000004</v>
      </c>
      <c r="C829">
        <v>1.5547280000000001</v>
      </c>
      <c r="D829">
        <v>63.011645000000001</v>
      </c>
      <c r="E829" t="s">
        <v>18</v>
      </c>
      <c r="F829" t="s">
        <v>18</v>
      </c>
      <c r="G829">
        <v>2.8694359999999999</v>
      </c>
      <c r="H829">
        <v>3</v>
      </c>
      <c r="I829" t="s">
        <v>20</v>
      </c>
      <c r="J829" t="s">
        <v>19</v>
      </c>
      <c r="K829">
        <v>2.972426</v>
      </c>
      <c r="L829" t="s">
        <v>19</v>
      </c>
      <c r="M829">
        <v>2.16079</v>
      </c>
      <c r="N829">
        <v>0.305954</v>
      </c>
      <c r="O829" t="s">
        <v>20</v>
      </c>
      <c r="P829" t="s">
        <v>28</v>
      </c>
      <c r="Q829" t="s">
        <v>26</v>
      </c>
    </row>
    <row r="830" spans="1:17" x14ac:dyDescent="0.2">
      <c r="A830" t="s">
        <v>17</v>
      </c>
      <c r="B830">
        <v>21.987341000000001</v>
      </c>
      <c r="C830">
        <v>1.7301820000000001</v>
      </c>
      <c r="D830">
        <v>78.55444</v>
      </c>
      <c r="E830" t="s">
        <v>18</v>
      </c>
      <c r="F830" t="s">
        <v>18</v>
      </c>
      <c r="G830">
        <v>2.2937050000000001</v>
      </c>
      <c r="H830">
        <v>1</v>
      </c>
      <c r="I830" t="s">
        <v>20</v>
      </c>
      <c r="J830" t="s">
        <v>19</v>
      </c>
      <c r="K830">
        <v>2</v>
      </c>
      <c r="L830" t="s">
        <v>19</v>
      </c>
      <c r="M830">
        <v>2.0639430000000001</v>
      </c>
      <c r="N830">
        <v>0</v>
      </c>
      <c r="O830" t="s">
        <v>20</v>
      </c>
      <c r="P830" t="s">
        <v>21</v>
      </c>
      <c r="Q830" t="s">
        <v>26</v>
      </c>
    </row>
    <row r="831" spans="1:17" x14ac:dyDescent="0.2">
      <c r="A831" t="s">
        <v>17</v>
      </c>
      <c r="B831">
        <v>21.198217</v>
      </c>
      <c r="C831">
        <v>1.743841</v>
      </c>
      <c r="D831">
        <v>78.880359999999996</v>
      </c>
      <c r="E831" t="s">
        <v>18</v>
      </c>
      <c r="F831" t="s">
        <v>18</v>
      </c>
      <c r="G831">
        <v>2.510583</v>
      </c>
      <c r="H831">
        <v>1</v>
      </c>
      <c r="I831" t="s">
        <v>20</v>
      </c>
      <c r="J831" t="s">
        <v>19</v>
      </c>
      <c r="K831">
        <v>2</v>
      </c>
      <c r="L831" t="s">
        <v>19</v>
      </c>
      <c r="M831">
        <v>2.1196820000000001</v>
      </c>
      <c r="N831">
        <v>0</v>
      </c>
      <c r="O831" t="s">
        <v>20</v>
      </c>
      <c r="P831" t="s">
        <v>21</v>
      </c>
      <c r="Q831" t="s">
        <v>26</v>
      </c>
    </row>
    <row r="832" spans="1:17" x14ac:dyDescent="0.2">
      <c r="A832" t="s">
        <v>23</v>
      </c>
      <c r="B832">
        <v>21</v>
      </c>
      <c r="C832">
        <v>1.62</v>
      </c>
      <c r="D832">
        <v>70</v>
      </c>
      <c r="E832" t="s">
        <v>19</v>
      </c>
      <c r="F832" t="s">
        <v>18</v>
      </c>
      <c r="G832">
        <v>2</v>
      </c>
      <c r="H832">
        <v>1</v>
      </c>
      <c r="I832" t="s">
        <v>19</v>
      </c>
      <c r="J832" t="s">
        <v>19</v>
      </c>
      <c r="K832">
        <v>3</v>
      </c>
      <c r="L832" t="s">
        <v>19</v>
      </c>
      <c r="M832">
        <v>1</v>
      </c>
      <c r="N832">
        <v>0</v>
      </c>
      <c r="O832" t="s">
        <v>20</v>
      </c>
      <c r="P832" t="s">
        <v>21</v>
      </c>
      <c r="Q832" t="s">
        <v>26</v>
      </c>
    </row>
    <row r="833" spans="1:17" x14ac:dyDescent="0.2">
      <c r="A833" t="s">
        <v>23</v>
      </c>
      <c r="B833">
        <v>21</v>
      </c>
      <c r="C833">
        <v>1.62</v>
      </c>
      <c r="D833">
        <v>70</v>
      </c>
      <c r="E833" t="s">
        <v>19</v>
      </c>
      <c r="F833" t="s">
        <v>18</v>
      </c>
      <c r="G833">
        <v>2</v>
      </c>
      <c r="H833">
        <v>1</v>
      </c>
      <c r="I833" t="s">
        <v>19</v>
      </c>
      <c r="J833" t="s">
        <v>19</v>
      </c>
      <c r="K833">
        <v>3</v>
      </c>
      <c r="L833" t="s">
        <v>19</v>
      </c>
      <c r="M833">
        <v>1</v>
      </c>
      <c r="N833">
        <v>0</v>
      </c>
      <c r="O833" t="s">
        <v>20</v>
      </c>
      <c r="P833" t="s">
        <v>21</v>
      </c>
      <c r="Q833" t="s">
        <v>26</v>
      </c>
    </row>
    <row r="834" spans="1:17" x14ac:dyDescent="0.2">
      <c r="A834" t="s">
        <v>23</v>
      </c>
      <c r="B834">
        <v>21</v>
      </c>
      <c r="C834">
        <v>1.62</v>
      </c>
      <c r="D834">
        <v>70</v>
      </c>
      <c r="E834" t="s">
        <v>19</v>
      </c>
      <c r="F834" t="s">
        <v>18</v>
      </c>
      <c r="G834">
        <v>2</v>
      </c>
      <c r="H834">
        <v>1</v>
      </c>
      <c r="I834" t="s">
        <v>19</v>
      </c>
      <c r="J834" t="s">
        <v>19</v>
      </c>
      <c r="K834">
        <v>3</v>
      </c>
      <c r="L834" t="s">
        <v>19</v>
      </c>
      <c r="M834">
        <v>1</v>
      </c>
      <c r="N834">
        <v>0</v>
      </c>
      <c r="O834" t="s">
        <v>20</v>
      </c>
      <c r="P834" t="s">
        <v>21</v>
      </c>
      <c r="Q834" t="s">
        <v>26</v>
      </c>
    </row>
    <row r="835" spans="1:17" x14ac:dyDescent="0.2">
      <c r="A835" t="s">
        <v>23</v>
      </c>
      <c r="B835">
        <v>21</v>
      </c>
      <c r="C835">
        <v>1.62</v>
      </c>
      <c r="D835">
        <v>70</v>
      </c>
      <c r="E835" t="s">
        <v>19</v>
      </c>
      <c r="F835" t="s">
        <v>18</v>
      </c>
      <c r="G835">
        <v>2</v>
      </c>
      <c r="H835">
        <v>1</v>
      </c>
      <c r="I835" t="s">
        <v>19</v>
      </c>
      <c r="J835" t="s">
        <v>19</v>
      </c>
      <c r="K835">
        <v>3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</row>
    <row r="836" spans="1:17" x14ac:dyDescent="0.2">
      <c r="A836" t="s">
        <v>23</v>
      </c>
      <c r="B836">
        <v>21</v>
      </c>
      <c r="C836">
        <v>1.62</v>
      </c>
      <c r="D836">
        <v>70</v>
      </c>
      <c r="E836" t="s">
        <v>19</v>
      </c>
      <c r="F836" t="s">
        <v>18</v>
      </c>
      <c r="G836">
        <v>2</v>
      </c>
      <c r="H836">
        <v>1</v>
      </c>
      <c r="I836" t="s">
        <v>19</v>
      </c>
      <c r="J836" t="s">
        <v>19</v>
      </c>
      <c r="K836">
        <v>3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</row>
    <row r="837" spans="1:17" x14ac:dyDescent="0.2">
      <c r="A837" t="s">
        <v>17</v>
      </c>
      <c r="B837">
        <v>29.32038</v>
      </c>
      <c r="C837">
        <v>1.642506</v>
      </c>
      <c r="D837">
        <v>69.906707999999995</v>
      </c>
      <c r="E837" t="s">
        <v>18</v>
      </c>
      <c r="F837" t="s">
        <v>18</v>
      </c>
      <c r="G837">
        <v>2.366949</v>
      </c>
      <c r="H837">
        <v>3</v>
      </c>
      <c r="I837" t="s">
        <v>20</v>
      </c>
      <c r="J837" t="s">
        <v>19</v>
      </c>
      <c r="K837">
        <v>1.926577</v>
      </c>
      <c r="L837" t="s">
        <v>19</v>
      </c>
      <c r="M837">
        <v>1.581242</v>
      </c>
      <c r="N837">
        <v>0</v>
      </c>
      <c r="O837" t="s">
        <v>20</v>
      </c>
      <c r="P837" t="s">
        <v>28</v>
      </c>
      <c r="Q837" t="s">
        <v>26</v>
      </c>
    </row>
    <row r="838" spans="1:17" x14ac:dyDescent="0.2">
      <c r="A838" t="s">
        <v>17</v>
      </c>
      <c r="B838">
        <v>31.255586999999998</v>
      </c>
      <c r="C838">
        <v>1.6930799999999999</v>
      </c>
      <c r="D838">
        <v>71.927379000000002</v>
      </c>
      <c r="E838" t="s">
        <v>18</v>
      </c>
      <c r="F838" t="s">
        <v>18</v>
      </c>
      <c r="G838">
        <v>2.6157879999999998</v>
      </c>
      <c r="H838">
        <v>3</v>
      </c>
      <c r="I838" t="s">
        <v>20</v>
      </c>
      <c r="J838" t="s">
        <v>19</v>
      </c>
      <c r="K838">
        <v>1.7717810000000001</v>
      </c>
      <c r="L838" t="s">
        <v>19</v>
      </c>
      <c r="M838">
        <v>0.75942200000000004</v>
      </c>
      <c r="N838">
        <v>0.68652899999999994</v>
      </c>
      <c r="O838" t="s">
        <v>20</v>
      </c>
      <c r="P838" t="s">
        <v>28</v>
      </c>
      <c r="Q838" t="s">
        <v>26</v>
      </c>
    </row>
    <row r="839" spans="1:17" x14ac:dyDescent="0.2">
      <c r="A839" t="s">
        <v>23</v>
      </c>
      <c r="B839">
        <v>22.851773000000001</v>
      </c>
      <c r="C839">
        <v>1.7521150000000001</v>
      </c>
      <c r="D839">
        <v>79.414603</v>
      </c>
      <c r="E839" t="s">
        <v>18</v>
      </c>
      <c r="F839" t="s">
        <v>18</v>
      </c>
      <c r="G839">
        <v>3</v>
      </c>
      <c r="H839">
        <v>1</v>
      </c>
      <c r="I839" t="s">
        <v>20</v>
      </c>
      <c r="J839" t="s">
        <v>19</v>
      </c>
      <c r="K839">
        <v>2</v>
      </c>
      <c r="L839" t="s">
        <v>19</v>
      </c>
      <c r="M839">
        <v>2.3159830000000001</v>
      </c>
      <c r="N839">
        <v>0</v>
      </c>
      <c r="O839" t="s">
        <v>20</v>
      </c>
      <c r="P839" t="s">
        <v>21</v>
      </c>
      <c r="Q839" t="s">
        <v>26</v>
      </c>
    </row>
    <row r="840" spans="1:17" x14ac:dyDescent="0.2">
      <c r="A840" t="s">
        <v>23</v>
      </c>
      <c r="B840">
        <v>26</v>
      </c>
      <c r="C840">
        <v>1.7450330000000001</v>
      </c>
      <c r="D840">
        <v>80</v>
      </c>
      <c r="E840" t="s">
        <v>18</v>
      </c>
      <c r="F840" t="s">
        <v>18</v>
      </c>
      <c r="G840">
        <v>2.2172670000000001</v>
      </c>
      <c r="H840">
        <v>1.193589</v>
      </c>
      <c r="I840" t="s">
        <v>20</v>
      </c>
      <c r="J840" t="s">
        <v>19</v>
      </c>
      <c r="K840">
        <v>2</v>
      </c>
      <c r="L840" t="s">
        <v>19</v>
      </c>
      <c r="M840">
        <v>2</v>
      </c>
      <c r="N840">
        <v>0</v>
      </c>
      <c r="O840" t="s">
        <v>20</v>
      </c>
      <c r="P840" t="s">
        <v>21</v>
      </c>
      <c r="Q840" t="s">
        <v>26</v>
      </c>
    </row>
    <row r="841" spans="1:17" x14ac:dyDescent="0.2">
      <c r="A841" t="s">
        <v>23</v>
      </c>
      <c r="B841">
        <v>19.789290999999999</v>
      </c>
      <c r="C841">
        <v>1.820643</v>
      </c>
      <c r="D841">
        <v>85</v>
      </c>
      <c r="E841" t="s">
        <v>18</v>
      </c>
      <c r="F841" t="s">
        <v>18</v>
      </c>
      <c r="G841">
        <v>3</v>
      </c>
      <c r="H841">
        <v>3</v>
      </c>
      <c r="I841" t="s">
        <v>20</v>
      </c>
      <c r="J841" t="s">
        <v>19</v>
      </c>
      <c r="K841">
        <v>2.7592460000000001</v>
      </c>
      <c r="L841" t="s">
        <v>19</v>
      </c>
      <c r="M841">
        <v>1.763277</v>
      </c>
      <c r="N841">
        <v>0.45331399999999999</v>
      </c>
      <c r="O841" t="s">
        <v>20</v>
      </c>
      <c r="P841" t="s">
        <v>21</v>
      </c>
      <c r="Q841" t="s">
        <v>26</v>
      </c>
    </row>
    <row r="842" spans="1:17" x14ac:dyDescent="0.2">
      <c r="A842" t="s">
        <v>23</v>
      </c>
      <c r="B842">
        <v>19.895876999999999</v>
      </c>
      <c r="C842">
        <v>1.8073300000000001</v>
      </c>
      <c r="D842">
        <v>85.073801000000003</v>
      </c>
      <c r="E842" t="s">
        <v>18</v>
      </c>
      <c r="F842" t="s">
        <v>18</v>
      </c>
      <c r="G842">
        <v>2.8015140000000001</v>
      </c>
      <c r="H842">
        <v>3</v>
      </c>
      <c r="I842" t="s">
        <v>20</v>
      </c>
      <c r="J842" t="s">
        <v>19</v>
      </c>
      <c r="K842">
        <v>2.734782</v>
      </c>
      <c r="L842" t="s">
        <v>19</v>
      </c>
      <c r="M842">
        <v>2.207881</v>
      </c>
      <c r="N842">
        <v>0.143675</v>
      </c>
      <c r="O842" t="s">
        <v>20</v>
      </c>
      <c r="P842" t="s">
        <v>21</v>
      </c>
      <c r="Q842" t="s">
        <v>26</v>
      </c>
    </row>
    <row r="843" spans="1:17" x14ac:dyDescent="0.2">
      <c r="A843" t="s">
        <v>23</v>
      </c>
      <c r="B843">
        <v>19.693804</v>
      </c>
      <c r="C843">
        <v>1.8</v>
      </c>
      <c r="D843">
        <v>85</v>
      </c>
      <c r="E843" t="s">
        <v>18</v>
      </c>
      <c r="F843" t="s">
        <v>18</v>
      </c>
      <c r="G843">
        <v>2.1887219999999998</v>
      </c>
      <c r="H843">
        <v>3</v>
      </c>
      <c r="I843" t="s">
        <v>20</v>
      </c>
      <c r="J843" t="s">
        <v>19</v>
      </c>
      <c r="K843">
        <v>2.7213560000000001</v>
      </c>
      <c r="L843" t="s">
        <v>19</v>
      </c>
      <c r="M843">
        <v>1.5289680000000001</v>
      </c>
      <c r="N843">
        <v>1</v>
      </c>
      <c r="O843" t="s">
        <v>20</v>
      </c>
      <c r="P843" t="s">
        <v>21</v>
      </c>
      <c r="Q843" t="s">
        <v>26</v>
      </c>
    </row>
    <row r="844" spans="1:17" x14ac:dyDescent="0.2">
      <c r="A844" t="s">
        <v>23</v>
      </c>
      <c r="B844">
        <v>19.226313999999999</v>
      </c>
      <c r="C844">
        <v>1.814255</v>
      </c>
      <c r="D844">
        <v>85.255630999999994</v>
      </c>
      <c r="E844" t="s">
        <v>18</v>
      </c>
      <c r="F844" t="s">
        <v>18</v>
      </c>
      <c r="G844">
        <v>2.9713509999999999</v>
      </c>
      <c r="H844">
        <v>3.3901430000000001</v>
      </c>
      <c r="I844" t="s">
        <v>20</v>
      </c>
      <c r="J844" t="s">
        <v>19</v>
      </c>
      <c r="K844">
        <v>2.1337670000000002</v>
      </c>
      <c r="L844" t="s">
        <v>19</v>
      </c>
      <c r="M844">
        <v>2.318492</v>
      </c>
      <c r="N844">
        <v>0.67861800000000005</v>
      </c>
      <c r="O844" t="s">
        <v>20</v>
      </c>
      <c r="P844" t="s">
        <v>21</v>
      </c>
      <c r="Q844" t="s">
        <v>26</v>
      </c>
    </row>
    <row r="845" spans="1:17" x14ac:dyDescent="0.2">
      <c r="A845" t="s">
        <v>23</v>
      </c>
      <c r="B845">
        <v>21.652228999999998</v>
      </c>
      <c r="C845">
        <v>1.7001809999999999</v>
      </c>
      <c r="D845">
        <v>75.057176999999996</v>
      </c>
      <c r="E845" t="s">
        <v>18</v>
      </c>
      <c r="F845" t="s">
        <v>18</v>
      </c>
      <c r="G845">
        <v>2.086093</v>
      </c>
      <c r="H845">
        <v>3.5463520000000002</v>
      </c>
      <c r="I845" t="s">
        <v>20</v>
      </c>
      <c r="J845" t="s">
        <v>19</v>
      </c>
      <c r="K845">
        <v>2.081121</v>
      </c>
      <c r="L845" t="s">
        <v>19</v>
      </c>
      <c r="M845">
        <v>1.9936659999999999</v>
      </c>
      <c r="N845">
        <v>0.67383499999999996</v>
      </c>
      <c r="O845" t="s">
        <v>20</v>
      </c>
      <c r="P845" t="s">
        <v>21</v>
      </c>
      <c r="Q845" t="s">
        <v>26</v>
      </c>
    </row>
    <row r="846" spans="1:17" x14ac:dyDescent="0.2">
      <c r="A846" t="s">
        <v>17</v>
      </c>
      <c r="B846">
        <v>21.687408999999999</v>
      </c>
      <c r="C846">
        <v>1.604697</v>
      </c>
      <c r="D846">
        <v>68.016471999999993</v>
      </c>
      <c r="E846" t="s">
        <v>18</v>
      </c>
      <c r="F846" t="s">
        <v>18</v>
      </c>
      <c r="G846">
        <v>1.9016109999999999</v>
      </c>
      <c r="H846">
        <v>3.2665009999999999</v>
      </c>
      <c r="I846" t="s">
        <v>19</v>
      </c>
      <c r="J846" t="s">
        <v>19</v>
      </c>
      <c r="K846">
        <v>2.9269949999999998</v>
      </c>
      <c r="L846" t="s">
        <v>19</v>
      </c>
      <c r="M846">
        <v>0.98587199999999997</v>
      </c>
      <c r="N846">
        <v>0.30798199999999998</v>
      </c>
      <c r="O846" t="s">
        <v>20</v>
      </c>
      <c r="P846" t="s">
        <v>21</v>
      </c>
      <c r="Q846" t="s">
        <v>26</v>
      </c>
    </row>
    <row r="847" spans="1:17" x14ac:dyDescent="0.2">
      <c r="A847" t="s">
        <v>17</v>
      </c>
      <c r="B847">
        <v>21.455463000000002</v>
      </c>
      <c r="C847">
        <v>1.611</v>
      </c>
      <c r="D847">
        <v>68.107866000000001</v>
      </c>
      <c r="E847" t="s">
        <v>18</v>
      </c>
      <c r="F847" t="s">
        <v>18</v>
      </c>
      <c r="G847">
        <v>1.977298</v>
      </c>
      <c r="H847">
        <v>3.5549740000000001</v>
      </c>
      <c r="I847" t="s">
        <v>19</v>
      </c>
      <c r="J847" t="s">
        <v>19</v>
      </c>
      <c r="K847">
        <v>2.2179570000000002</v>
      </c>
      <c r="L847" t="s">
        <v>19</v>
      </c>
      <c r="M847">
        <v>0.97811999999999999</v>
      </c>
      <c r="N847">
        <v>0.45975899999999997</v>
      </c>
      <c r="O847" t="s">
        <v>20</v>
      </c>
      <c r="P847" t="s">
        <v>21</v>
      </c>
      <c r="Q847" t="s">
        <v>26</v>
      </c>
    </row>
    <row r="848" spans="1:17" x14ac:dyDescent="0.2">
      <c r="A848" t="s">
        <v>17</v>
      </c>
      <c r="B848">
        <v>21</v>
      </c>
      <c r="C848">
        <v>1.754497</v>
      </c>
      <c r="D848">
        <v>77.956920999999994</v>
      </c>
      <c r="E848" t="s">
        <v>18</v>
      </c>
      <c r="F848" t="s">
        <v>18</v>
      </c>
      <c r="G848">
        <v>2.4468719999999999</v>
      </c>
      <c r="H848">
        <v>2.3723109999999998</v>
      </c>
      <c r="I848" t="s">
        <v>20</v>
      </c>
      <c r="J848" t="s">
        <v>19</v>
      </c>
      <c r="K848">
        <v>1.8103100000000001</v>
      </c>
      <c r="L848" t="s">
        <v>19</v>
      </c>
      <c r="M848">
        <v>9.4893000000000005E-2</v>
      </c>
      <c r="N848">
        <v>1.6507780000000001</v>
      </c>
      <c r="O848" t="s">
        <v>20</v>
      </c>
      <c r="P848" t="s">
        <v>21</v>
      </c>
      <c r="Q848" t="s">
        <v>26</v>
      </c>
    </row>
    <row r="849" spans="1:17" x14ac:dyDescent="0.2">
      <c r="A849" t="s">
        <v>17</v>
      </c>
      <c r="B849">
        <v>21</v>
      </c>
      <c r="C849">
        <v>1.7529440000000001</v>
      </c>
      <c r="D849">
        <v>77.965531999999996</v>
      </c>
      <c r="E849" t="s">
        <v>18</v>
      </c>
      <c r="F849" t="s">
        <v>18</v>
      </c>
      <c r="G849">
        <v>2.839048</v>
      </c>
      <c r="H849">
        <v>2.1060099999999999</v>
      </c>
      <c r="I849" t="s">
        <v>20</v>
      </c>
      <c r="J849" t="s">
        <v>19</v>
      </c>
      <c r="K849">
        <v>1.639202</v>
      </c>
      <c r="L849" t="s">
        <v>19</v>
      </c>
      <c r="M849">
        <v>1.1173109999999999</v>
      </c>
      <c r="N849">
        <v>0.96791899999999997</v>
      </c>
      <c r="O849" t="s">
        <v>20</v>
      </c>
      <c r="P849" t="s">
        <v>21</v>
      </c>
      <c r="Q849" t="s">
        <v>26</v>
      </c>
    </row>
    <row r="850" spans="1:17" x14ac:dyDescent="0.2">
      <c r="A850" t="s">
        <v>23</v>
      </c>
      <c r="B850">
        <v>19.337403999999999</v>
      </c>
      <c r="C850">
        <v>1.8599270000000001</v>
      </c>
      <c r="D850">
        <v>87.105828000000002</v>
      </c>
      <c r="E850" t="s">
        <v>18</v>
      </c>
      <c r="F850" t="s">
        <v>18</v>
      </c>
      <c r="G850">
        <v>2.2123200000000001</v>
      </c>
      <c r="H850">
        <v>4</v>
      </c>
      <c r="I850" t="s">
        <v>20</v>
      </c>
      <c r="J850" t="s">
        <v>19</v>
      </c>
      <c r="K850">
        <v>2.374044</v>
      </c>
      <c r="L850" t="s">
        <v>19</v>
      </c>
      <c r="M850">
        <v>2</v>
      </c>
      <c r="N850">
        <v>0.62263800000000002</v>
      </c>
      <c r="O850" t="s">
        <v>20</v>
      </c>
      <c r="P850" t="s">
        <v>21</v>
      </c>
      <c r="Q850" t="s">
        <v>26</v>
      </c>
    </row>
    <row r="851" spans="1:17" x14ac:dyDescent="0.2">
      <c r="A851" t="s">
        <v>23</v>
      </c>
      <c r="B851">
        <v>21.701643000000001</v>
      </c>
      <c r="C851">
        <v>1.8960729999999999</v>
      </c>
      <c r="D851">
        <v>90.524460000000005</v>
      </c>
      <c r="E851" t="s">
        <v>18</v>
      </c>
      <c r="F851" t="s">
        <v>18</v>
      </c>
      <c r="G851">
        <v>2.427689</v>
      </c>
      <c r="H851">
        <v>3.715306</v>
      </c>
      <c r="I851" t="s">
        <v>20</v>
      </c>
      <c r="J851" t="s">
        <v>19</v>
      </c>
      <c r="K851">
        <v>2.876096</v>
      </c>
      <c r="L851" t="s">
        <v>19</v>
      </c>
      <c r="M851">
        <v>1.815768</v>
      </c>
      <c r="N851">
        <v>0.42646499999999998</v>
      </c>
      <c r="O851" t="s">
        <v>20</v>
      </c>
      <c r="P851" t="s">
        <v>21</v>
      </c>
      <c r="Q851" t="s">
        <v>26</v>
      </c>
    </row>
    <row r="852" spans="1:17" x14ac:dyDescent="0.2">
      <c r="A852" t="s">
        <v>23</v>
      </c>
      <c r="B852">
        <v>21.620245000000001</v>
      </c>
      <c r="C852">
        <v>1.6053139999999999</v>
      </c>
      <c r="D852">
        <v>66.621645999999998</v>
      </c>
      <c r="E852" t="s">
        <v>18</v>
      </c>
      <c r="F852" t="s">
        <v>18</v>
      </c>
      <c r="G852">
        <v>2.3574959999999998</v>
      </c>
      <c r="H852">
        <v>3.3767170000000002</v>
      </c>
      <c r="I852" t="s">
        <v>20</v>
      </c>
      <c r="J852" t="s">
        <v>19</v>
      </c>
      <c r="K852">
        <v>2.1848429999999999</v>
      </c>
      <c r="L852" t="s">
        <v>19</v>
      </c>
      <c r="M852">
        <v>1.358185</v>
      </c>
      <c r="N852">
        <v>1.4885000000000001E-2</v>
      </c>
      <c r="O852" t="s">
        <v>20</v>
      </c>
      <c r="P852" t="s">
        <v>21</v>
      </c>
      <c r="Q852" t="s">
        <v>26</v>
      </c>
    </row>
    <row r="853" spans="1:17" x14ac:dyDescent="0.2">
      <c r="A853" t="s">
        <v>17</v>
      </c>
      <c r="B853">
        <v>21.012568999999999</v>
      </c>
      <c r="C853">
        <v>1.7586280000000001</v>
      </c>
      <c r="D853">
        <v>78.370039000000006</v>
      </c>
      <c r="E853" t="s">
        <v>18</v>
      </c>
      <c r="F853" t="s">
        <v>18</v>
      </c>
      <c r="G853">
        <v>3</v>
      </c>
      <c r="H853">
        <v>1</v>
      </c>
      <c r="I853" t="s">
        <v>20</v>
      </c>
      <c r="J853" t="s">
        <v>19</v>
      </c>
      <c r="K853">
        <v>2</v>
      </c>
      <c r="L853" t="s">
        <v>19</v>
      </c>
      <c r="M853">
        <v>2.971832</v>
      </c>
      <c r="N853">
        <v>0</v>
      </c>
      <c r="O853" t="s">
        <v>20</v>
      </c>
      <c r="P853" t="s">
        <v>21</v>
      </c>
      <c r="Q853" t="s">
        <v>26</v>
      </c>
    </row>
    <row r="854" spans="1:17" x14ac:dyDescent="0.2">
      <c r="A854" t="s">
        <v>17</v>
      </c>
      <c r="B854">
        <v>21.016622999999999</v>
      </c>
      <c r="C854">
        <v>1.7554270000000001</v>
      </c>
      <c r="D854">
        <v>78.300083999999998</v>
      </c>
      <c r="E854" t="s">
        <v>18</v>
      </c>
      <c r="F854" t="s">
        <v>18</v>
      </c>
      <c r="G854">
        <v>3</v>
      </c>
      <c r="H854">
        <v>1</v>
      </c>
      <c r="I854" t="s">
        <v>20</v>
      </c>
      <c r="J854" t="s">
        <v>19</v>
      </c>
      <c r="K854">
        <v>2</v>
      </c>
      <c r="L854" t="s">
        <v>19</v>
      </c>
      <c r="M854">
        <v>2.8774730000000002</v>
      </c>
      <c r="N854">
        <v>0</v>
      </c>
      <c r="O854" t="s">
        <v>20</v>
      </c>
      <c r="P854" t="s">
        <v>21</v>
      </c>
      <c r="Q854" t="s">
        <v>26</v>
      </c>
    </row>
    <row r="855" spans="1:17" x14ac:dyDescent="0.2">
      <c r="A855" t="s">
        <v>17</v>
      </c>
      <c r="B855">
        <v>19</v>
      </c>
      <c r="C855">
        <v>1.779882</v>
      </c>
      <c r="D855">
        <v>80.091886000000002</v>
      </c>
      <c r="E855" t="s">
        <v>18</v>
      </c>
      <c r="F855" t="s">
        <v>18</v>
      </c>
      <c r="G855">
        <v>1.0785290000000001</v>
      </c>
      <c r="H855">
        <v>1.211606</v>
      </c>
      <c r="I855" t="s">
        <v>20</v>
      </c>
      <c r="J855" t="s">
        <v>19</v>
      </c>
      <c r="K855">
        <v>2.568063</v>
      </c>
      <c r="L855" t="s">
        <v>19</v>
      </c>
      <c r="M855">
        <v>3</v>
      </c>
      <c r="N855">
        <v>0.81798300000000002</v>
      </c>
      <c r="O855" t="s">
        <v>19</v>
      </c>
      <c r="P855" t="s">
        <v>21</v>
      </c>
      <c r="Q855" t="s">
        <v>26</v>
      </c>
    </row>
    <row r="856" spans="1:17" x14ac:dyDescent="0.2">
      <c r="A856" t="s">
        <v>23</v>
      </c>
      <c r="B856">
        <v>21</v>
      </c>
      <c r="C856">
        <v>1.7120610000000001</v>
      </c>
      <c r="D856">
        <v>75</v>
      </c>
      <c r="E856" t="s">
        <v>18</v>
      </c>
      <c r="F856" t="s">
        <v>18</v>
      </c>
      <c r="G856">
        <v>2</v>
      </c>
      <c r="H856">
        <v>3</v>
      </c>
      <c r="I856" t="s">
        <v>20</v>
      </c>
      <c r="J856" t="s">
        <v>19</v>
      </c>
      <c r="K856">
        <v>1.333707</v>
      </c>
      <c r="L856" t="s">
        <v>19</v>
      </c>
      <c r="M856">
        <v>1</v>
      </c>
      <c r="N856">
        <v>0</v>
      </c>
      <c r="O856" t="s">
        <v>20</v>
      </c>
      <c r="P856" t="s">
        <v>21</v>
      </c>
      <c r="Q856" t="s">
        <v>26</v>
      </c>
    </row>
    <row r="857" spans="1:17" x14ac:dyDescent="0.2">
      <c r="A857" t="s">
        <v>23</v>
      </c>
      <c r="B857">
        <v>21</v>
      </c>
      <c r="C857">
        <v>1.6760139999999999</v>
      </c>
      <c r="D857">
        <v>75</v>
      </c>
      <c r="E857" t="s">
        <v>18</v>
      </c>
      <c r="F857" t="s">
        <v>18</v>
      </c>
      <c r="G857">
        <v>2</v>
      </c>
      <c r="H857">
        <v>3</v>
      </c>
      <c r="I857" t="s">
        <v>20</v>
      </c>
      <c r="J857" t="s">
        <v>19</v>
      </c>
      <c r="K857">
        <v>1.1640619999999999</v>
      </c>
      <c r="L857" t="s">
        <v>19</v>
      </c>
      <c r="M857">
        <v>1</v>
      </c>
      <c r="N857">
        <v>0</v>
      </c>
      <c r="O857" t="s">
        <v>20</v>
      </c>
      <c r="P857" t="s">
        <v>21</v>
      </c>
      <c r="Q857" t="s">
        <v>26</v>
      </c>
    </row>
    <row r="858" spans="1:17" x14ac:dyDescent="0.2">
      <c r="A858" t="s">
        <v>17</v>
      </c>
      <c r="B858">
        <v>27.899784</v>
      </c>
      <c r="C858">
        <v>1.7</v>
      </c>
      <c r="D858">
        <v>74.244004000000004</v>
      </c>
      <c r="E858" t="s">
        <v>18</v>
      </c>
      <c r="F858" t="s">
        <v>18</v>
      </c>
      <c r="G858">
        <v>2</v>
      </c>
      <c r="H858">
        <v>3</v>
      </c>
      <c r="I858" t="s">
        <v>20</v>
      </c>
      <c r="J858" t="s">
        <v>19</v>
      </c>
      <c r="K858">
        <v>2</v>
      </c>
      <c r="L858" t="s">
        <v>19</v>
      </c>
      <c r="M858">
        <v>1.7220530000000001</v>
      </c>
      <c r="N858">
        <v>0</v>
      </c>
      <c r="O858" t="s">
        <v>20</v>
      </c>
      <c r="P858" t="s">
        <v>28</v>
      </c>
      <c r="Q858" t="s">
        <v>26</v>
      </c>
    </row>
    <row r="859" spans="1:17" x14ac:dyDescent="0.2">
      <c r="A859" t="s">
        <v>23</v>
      </c>
      <c r="B859">
        <v>28.825223000000001</v>
      </c>
      <c r="C859">
        <v>1.7658739999999999</v>
      </c>
      <c r="D859">
        <v>82.045045000000002</v>
      </c>
      <c r="E859" t="s">
        <v>18</v>
      </c>
      <c r="F859" t="s">
        <v>18</v>
      </c>
      <c r="G859">
        <v>1.0641620000000001</v>
      </c>
      <c r="H859">
        <v>3.9895499999999999</v>
      </c>
      <c r="I859" t="s">
        <v>20</v>
      </c>
      <c r="J859" t="s">
        <v>19</v>
      </c>
      <c r="K859">
        <v>2.0284260000000001</v>
      </c>
      <c r="L859" t="s">
        <v>19</v>
      </c>
      <c r="M859">
        <v>0.81516999999999995</v>
      </c>
      <c r="N859">
        <v>0.89467799999999997</v>
      </c>
      <c r="O859" t="s">
        <v>20</v>
      </c>
      <c r="P859" t="s">
        <v>21</v>
      </c>
      <c r="Q859" t="s">
        <v>26</v>
      </c>
    </row>
    <row r="860" spans="1:17" x14ac:dyDescent="0.2">
      <c r="A860" t="s">
        <v>23</v>
      </c>
      <c r="B860">
        <v>26.047077000000002</v>
      </c>
      <c r="C860">
        <v>1.7459499999999999</v>
      </c>
      <c r="D860">
        <v>80.018570999999994</v>
      </c>
      <c r="E860" t="s">
        <v>18</v>
      </c>
      <c r="F860" t="s">
        <v>18</v>
      </c>
      <c r="G860">
        <v>1.993101</v>
      </c>
      <c r="H860">
        <v>3.1710820000000002</v>
      </c>
      <c r="I860" t="s">
        <v>20</v>
      </c>
      <c r="J860" t="s">
        <v>19</v>
      </c>
      <c r="K860">
        <v>2.3644980000000002</v>
      </c>
      <c r="L860" t="s">
        <v>19</v>
      </c>
      <c r="M860">
        <v>1.2247429999999999</v>
      </c>
      <c r="N860">
        <v>2.2245000000000001E-2</v>
      </c>
      <c r="O860" t="s">
        <v>20</v>
      </c>
      <c r="P860" t="s">
        <v>21</v>
      </c>
      <c r="Q860" t="s">
        <v>26</v>
      </c>
    </row>
    <row r="861" spans="1:17" x14ac:dyDescent="0.2">
      <c r="A861" t="s">
        <v>23</v>
      </c>
      <c r="B861">
        <v>23</v>
      </c>
      <c r="C861">
        <v>1.690196</v>
      </c>
      <c r="D861">
        <v>75</v>
      </c>
      <c r="E861" t="s">
        <v>18</v>
      </c>
      <c r="F861" t="s">
        <v>18</v>
      </c>
      <c r="G861">
        <v>2.6209630000000002</v>
      </c>
      <c r="H861">
        <v>3</v>
      </c>
      <c r="I861" t="s">
        <v>20</v>
      </c>
      <c r="J861" t="s">
        <v>19</v>
      </c>
      <c r="K861">
        <v>2.8245589999999998</v>
      </c>
      <c r="L861" t="s">
        <v>19</v>
      </c>
      <c r="M861">
        <v>0.75459900000000002</v>
      </c>
      <c r="N861">
        <v>2</v>
      </c>
      <c r="O861" t="s">
        <v>20</v>
      </c>
      <c r="P861" t="s">
        <v>21</v>
      </c>
      <c r="Q861" t="s">
        <v>26</v>
      </c>
    </row>
    <row r="862" spans="1:17" x14ac:dyDescent="0.2">
      <c r="A862" t="s">
        <v>23</v>
      </c>
      <c r="B862">
        <v>20</v>
      </c>
      <c r="C862">
        <v>1.81748</v>
      </c>
      <c r="D862">
        <v>85</v>
      </c>
      <c r="E862" t="s">
        <v>18</v>
      </c>
      <c r="F862" t="s">
        <v>18</v>
      </c>
      <c r="G862">
        <v>2.9511799999999999</v>
      </c>
      <c r="H862">
        <v>3</v>
      </c>
      <c r="I862" t="s">
        <v>20</v>
      </c>
      <c r="J862" t="s">
        <v>19</v>
      </c>
      <c r="K862">
        <v>3</v>
      </c>
      <c r="L862" t="s">
        <v>19</v>
      </c>
      <c r="M862">
        <v>2.4339179999999998</v>
      </c>
      <c r="N862">
        <v>0.56160200000000005</v>
      </c>
      <c r="O862" t="s">
        <v>20</v>
      </c>
      <c r="P862" t="s">
        <v>21</v>
      </c>
      <c r="Q862" t="s">
        <v>26</v>
      </c>
    </row>
    <row r="863" spans="1:17" x14ac:dyDescent="0.2">
      <c r="A863" t="s">
        <v>17</v>
      </c>
      <c r="B863">
        <v>21.832995</v>
      </c>
      <c r="C863">
        <v>1.580964</v>
      </c>
      <c r="D863">
        <v>65.363940999999997</v>
      </c>
      <c r="E863" t="s">
        <v>19</v>
      </c>
      <c r="F863" t="s">
        <v>18</v>
      </c>
      <c r="G863">
        <v>2.0214460000000001</v>
      </c>
      <c r="H863">
        <v>3</v>
      </c>
      <c r="I863" t="s">
        <v>20</v>
      </c>
      <c r="J863" t="s">
        <v>19</v>
      </c>
      <c r="K863">
        <v>1.077917</v>
      </c>
      <c r="L863" t="s">
        <v>19</v>
      </c>
      <c r="M863">
        <v>0.52384699999999995</v>
      </c>
      <c r="N863">
        <v>0.80859899999999996</v>
      </c>
      <c r="O863" t="s">
        <v>20</v>
      </c>
      <c r="P863" t="s">
        <v>21</v>
      </c>
      <c r="Q863" t="s">
        <v>26</v>
      </c>
    </row>
    <row r="864" spans="1:17" x14ac:dyDescent="0.2">
      <c r="A864" t="s">
        <v>17</v>
      </c>
      <c r="B864">
        <v>30.255744</v>
      </c>
      <c r="C864">
        <v>1.6520840000000001</v>
      </c>
      <c r="D864">
        <v>73.575980999999999</v>
      </c>
      <c r="E864" t="s">
        <v>18</v>
      </c>
      <c r="F864" t="s">
        <v>18</v>
      </c>
      <c r="G864">
        <v>2</v>
      </c>
      <c r="H864">
        <v>3</v>
      </c>
      <c r="I864" t="s">
        <v>20</v>
      </c>
      <c r="J864" t="s">
        <v>19</v>
      </c>
      <c r="K864">
        <v>1</v>
      </c>
      <c r="L864" t="s">
        <v>19</v>
      </c>
      <c r="M864">
        <v>0</v>
      </c>
      <c r="N864">
        <v>1.8877000000000001E-2</v>
      </c>
      <c r="O864" t="s">
        <v>20</v>
      </c>
      <c r="P864" t="s">
        <v>28</v>
      </c>
      <c r="Q864" t="s">
        <v>26</v>
      </c>
    </row>
    <row r="865" spans="1:17" x14ac:dyDescent="0.2">
      <c r="A865" t="s">
        <v>17</v>
      </c>
      <c r="B865">
        <v>30.613586000000002</v>
      </c>
      <c r="C865">
        <v>1.6455109999999999</v>
      </c>
      <c r="D865">
        <v>69.168977999999996</v>
      </c>
      <c r="E865" t="s">
        <v>18</v>
      </c>
      <c r="F865" t="s">
        <v>18</v>
      </c>
      <c r="G865">
        <v>2.0004659999999999</v>
      </c>
      <c r="H865">
        <v>3</v>
      </c>
      <c r="I865" t="s">
        <v>20</v>
      </c>
      <c r="J865" t="s">
        <v>19</v>
      </c>
      <c r="K865">
        <v>1.131448</v>
      </c>
      <c r="L865" t="s">
        <v>19</v>
      </c>
      <c r="M865">
        <v>6.1365999999999997E-2</v>
      </c>
      <c r="N865">
        <v>0</v>
      </c>
      <c r="O865" t="s">
        <v>20</v>
      </c>
      <c r="P865" t="s">
        <v>28</v>
      </c>
      <c r="Q865" t="s">
        <v>26</v>
      </c>
    </row>
    <row r="866" spans="1:17" x14ac:dyDescent="0.2">
      <c r="A866" t="s">
        <v>23</v>
      </c>
      <c r="B866">
        <v>23.245408000000001</v>
      </c>
      <c r="C866">
        <v>1.7079679999999999</v>
      </c>
      <c r="D866">
        <v>75.383716000000007</v>
      </c>
      <c r="E866" t="s">
        <v>18</v>
      </c>
      <c r="F866" t="s">
        <v>18</v>
      </c>
      <c r="G866">
        <v>2.5621</v>
      </c>
      <c r="H866">
        <v>3.1050070000000001</v>
      </c>
      <c r="I866" t="s">
        <v>20</v>
      </c>
      <c r="J866" t="s">
        <v>19</v>
      </c>
      <c r="K866">
        <v>1.1724270000000001</v>
      </c>
      <c r="L866" t="s">
        <v>19</v>
      </c>
      <c r="M866">
        <v>0.184917</v>
      </c>
      <c r="N866">
        <v>0.92308199999999996</v>
      </c>
      <c r="O866" t="s">
        <v>20</v>
      </c>
      <c r="P866" t="s">
        <v>21</v>
      </c>
      <c r="Q866" t="s">
        <v>26</v>
      </c>
    </row>
    <row r="867" spans="1:17" x14ac:dyDescent="0.2">
      <c r="A867" t="s">
        <v>17</v>
      </c>
      <c r="B867">
        <v>18</v>
      </c>
      <c r="C867">
        <v>1.4563459999999999</v>
      </c>
      <c r="D867">
        <v>55.523480999999997</v>
      </c>
      <c r="E867" t="s">
        <v>19</v>
      </c>
      <c r="F867" t="s">
        <v>18</v>
      </c>
      <c r="G867">
        <v>2</v>
      </c>
      <c r="H867">
        <v>3</v>
      </c>
      <c r="I867" t="s">
        <v>20</v>
      </c>
      <c r="J867" t="s">
        <v>19</v>
      </c>
      <c r="K867">
        <v>1.0403420000000001</v>
      </c>
      <c r="L867" t="s">
        <v>18</v>
      </c>
      <c r="M867">
        <v>0.49737300000000001</v>
      </c>
      <c r="N867">
        <v>1.7833190000000001</v>
      </c>
      <c r="O867" t="s">
        <v>20</v>
      </c>
      <c r="P867" t="s">
        <v>21</v>
      </c>
      <c r="Q867" t="s">
        <v>26</v>
      </c>
    </row>
    <row r="868" spans="1:17" x14ac:dyDescent="0.2">
      <c r="A868" t="s">
        <v>17</v>
      </c>
      <c r="B868">
        <v>18</v>
      </c>
      <c r="C868">
        <v>1.498561</v>
      </c>
      <c r="D868">
        <v>55.376511999999998</v>
      </c>
      <c r="E868" t="s">
        <v>19</v>
      </c>
      <c r="F868" t="s">
        <v>18</v>
      </c>
      <c r="G868">
        <v>2</v>
      </c>
      <c r="H868">
        <v>3</v>
      </c>
      <c r="I868" t="s">
        <v>20</v>
      </c>
      <c r="J868" t="s">
        <v>19</v>
      </c>
      <c r="K868">
        <v>1.274718</v>
      </c>
      <c r="L868" t="s">
        <v>18</v>
      </c>
      <c r="M868">
        <v>0.12990199999999999</v>
      </c>
      <c r="N868">
        <v>0.97857400000000005</v>
      </c>
      <c r="O868" t="s">
        <v>20</v>
      </c>
      <c r="P868" t="s">
        <v>21</v>
      </c>
      <c r="Q868" t="s">
        <v>26</v>
      </c>
    </row>
    <row r="869" spans="1:17" x14ac:dyDescent="0.2">
      <c r="A869" t="s">
        <v>17</v>
      </c>
      <c r="B869">
        <v>16.950499000000001</v>
      </c>
      <c r="C869">
        <v>1.6035010000000001</v>
      </c>
      <c r="D869">
        <v>65</v>
      </c>
      <c r="E869" t="s">
        <v>18</v>
      </c>
      <c r="F869" t="s">
        <v>18</v>
      </c>
      <c r="G869">
        <v>2.96008</v>
      </c>
      <c r="H869">
        <v>1</v>
      </c>
      <c r="I869" t="s">
        <v>20</v>
      </c>
      <c r="J869" t="s">
        <v>19</v>
      </c>
      <c r="K869">
        <v>2</v>
      </c>
      <c r="L869" t="s">
        <v>18</v>
      </c>
      <c r="M869">
        <v>0.73603200000000002</v>
      </c>
      <c r="N869">
        <v>1.3440719999999999</v>
      </c>
      <c r="O869" t="s">
        <v>19</v>
      </c>
      <c r="P869" t="s">
        <v>21</v>
      </c>
      <c r="Q869" t="s">
        <v>26</v>
      </c>
    </row>
    <row r="870" spans="1:17" x14ac:dyDescent="0.2">
      <c r="A870" t="s">
        <v>17</v>
      </c>
      <c r="B870">
        <v>21.837057999999999</v>
      </c>
      <c r="C870">
        <v>1.5580449999999999</v>
      </c>
      <c r="D870">
        <v>63.597633000000002</v>
      </c>
      <c r="E870" t="s">
        <v>19</v>
      </c>
      <c r="F870" t="s">
        <v>18</v>
      </c>
      <c r="G870">
        <v>2.5391499999999998</v>
      </c>
      <c r="H870">
        <v>1.5909819999999999</v>
      </c>
      <c r="I870" t="s">
        <v>20</v>
      </c>
      <c r="J870" t="s">
        <v>19</v>
      </c>
      <c r="K870">
        <v>1.9778009999999999</v>
      </c>
      <c r="L870" t="s">
        <v>19</v>
      </c>
      <c r="M870">
        <v>1.264616</v>
      </c>
      <c r="N870">
        <v>0</v>
      </c>
      <c r="O870" t="s">
        <v>20</v>
      </c>
      <c r="P870" t="s">
        <v>21</v>
      </c>
      <c r="Q870" t="s">
        <v>26</v>
      </c>
    </row>
    <row r="871" spans="1:17" x14ac:dyDescent="0.2">
      <c r="A871" t="s">
        <v>17</v>
      </c>
      <c r="B871">
        <v>27</v>
      </c>
      <c r="C871">
        <v>1.55</v>
      </c>
      <c r="D871">
        <v>62.877347</v>
      </c>
      <c r="E871" t="s">
        <v>19</v>
      </c>
      <c r="F871" t="s">
        <v>18</v>
      </c>
      <c r="G871">
        <v>2.2441420000000001</v>
      </c>
      <c r="H871">
        <v>1.704828</v>
      </c>
      <c r="I871" t="s">
        <v>20</v>
      </c>
      <c r="J871" t="s">
        <v>19</v>
      </c>
      <c r="K871">
        <v>1</v>
      </c>
      <c r="L871" t="s">
        <v>19</v>
      </c>
      <c r="M871">
        <v>0.79292899999999999</v>
      </c>
      <c r="N871">
        <v>0.39546799999999999</v>
      </c>
      <c r="O871" t="s">
        <v>20</v>
      </c>
      <c r="P871" t="s">
        <v>21</v>
      </c>
      <c r="Q871" t="s">
        <v>26</v>
      </c>
    </row>
    <row r="872" spans="1:17" x14ac:dyDescent="0.2">
      <c r="A872" t="s">
        <v>17</v>
      </c>
      <c r="B872">
        <v>35.483601</v>
      </c>
      <c r="C872">
        <v>1.6475139999999999</v>
      </c>
      <c r="D872">
        <v>73.916920000000005</v>
      </c>
      <c r="E872" t="s">
        <v>18</v>
      </c>
      <c r="F872" t="s">
        <v>19</v>
      </c>
      <c r="G872">
        <v>3</v>
      </c>
      <c r="H872">
        <v>2.725012</v>
      </c>
      <c r="I872" t="s">
        <v>20</v>
      </c>
      <c r="J872" t="s">
        <v>19</v>
      </c>
      <c r="K872">
        <v>1.6224400000000001</v>
      </c>
      <c r="L872" t="s">
        <v>19</v>
      </c>
      <c r="M872">
        <v>0.90266100000000005</v>
      </c>
      <c r="N872">
        <v>0</v>
      </c>
      <c r="O872" t="s">
        <v>20</v>
      </c>
      <c r="P872" t="s">
        <v>28</v>
      </c>
      <c r="Q872" t="s">
        <v>26</v>
      </c>
    </row>
    <row r="873" spans="1:17" x14ac:dyDescent="0.2">
      <c r="A873" t="s">
        <v>23</v>
      </c>
      <c r="B873">
        <v>23.801435999999999</v>
      </c>
      <c r="C873">
        <v>1.8557790000000001</v>
      </c>
      <c r="D873">
        <v>86.098523</v>
      </c>
      <c r="E873" t="s">
        <v>18</v>
      </c>
      <c r="F873" t="s">
        <v>18</v>
      </c>
      <c r="G873">
        <v>2</v>
      </c>
      <c r="H873">
        <v>2.3723390000000002</v>
      </c>
      <c r="I873" t="s">
        <v>20</v>
      </c>
      <c r="J873" t="s">
        <v>19</v>
      </c>
      <c r="K873">
        <v>1.6757329999999999</v>
      </c>
      <c r="L873" t="s">
        <v>19</v>
      </c>
      <c r="M873">
        <v>1.066241</v>
      </c>
      <c r="N873">
        <v>1</v>
      </c>
      <c r="O873" t="s">
        <v>20</v>
      </c>
      <c r="P873" t="s">
        <v>28</v>
      </c>
      <c r="Q873" t="s">
        <v>26</v>
      </c>
    </row>
    <row r="874" spans="1:17" x14ac:dyDescent="0.2">
      <c r="A874" t="s">
        <v>23</v>
      </c>
      <c r="B874">
        <v>23.367211999999999</v>
      </c>
      <c r="C874">
        <v>1.8532230000000001</v>
      </c>
      <c r="D874">
        <v>87.083265999999995</v>
      </c>
      <c r="E874" t="s">
        <v>18</v>
      </c>
      <c r="F874" t="s">
        <v>18</v>
      </c>
      <c r="G874">
        <v>2</v>
      </c>
      <c r="H874">
        <v>1.0973120000000001</v>
      </c>
      <c r="I874" t="s">
        <v>20</v>
      </c>
      <c r="J874" t="s">
        <v>19</v>
      </c>
      <c r="K874">
        <v>1.328835</v>
      </c>
      <c r="L874" t="s">
        <v>19</v>
      </c>
      <c r="M874">
        <v>1.264257</v>
      </c>
      <c r="N874">
        <v>1</v>
      </c>
      <c r="O874" t="s">
        <v>20</v>
      </c>
      <c r="P874" t="s">
        <v>28</v>
      </c>
      <c r="Q874" t="s">
        <v>26</v>
      </c>
    </row>
    <row r="875" spans="1:17" x14ac:dyDescent="0.2">
      <c r="A875" t="s">
        <v>17</v>
      </c>
      <c r="B875">
        <v>40</v>
      </c>
      <c r="C875">
        <v>1.570811</v>
      </c>
      <c r="D875">
        <v>62.211571999999997</v>
      </c>
      <c r="E875" t="s">
        <v>18</v>
      </c>
      <c r="F875" t="s">
        <v>18</v>
      </c>
      <c r="G875">
        <v>2.253371</v>
      </c>
      <c r="H875">
        <v>3</v>
      </c>
      <c r="I875" t="s">
        <v>20</v>
      </c>
      <c r="J875" t="s">
        <v>19</v>
      </c>
      <c r="K875">
        <v>2.7569159999999999</v>
      </c>
      <c r="L875" t="s">
        <v>19</v>
      </c>
      <c r="M875">
        <v>1.0160419999999999</v>
      </c>
      <c r="N875">
        <v>0.21343699999999999</v>
      </c>
      <c r="O875" t="s">
        <v>20</v>
      </c>
      <c r="P875" t="s">
        <v>28</v>
      </c>
      <c r="Q875" t="s">
        <v>26</v>
      </c>
    </row>
    <row r="876" spans="1:17" x14ac:dyDescent="0.2">
      <c r="A876" t="s">
        <v>17</v>
      </c>
      <c r="B876">
        <v>16.380089999999999</v>
      </c>
      <c r="C876">
        <v>1.617124</v>
      </c>
      <c r="D876">
        <v>67.913561000000001</v>
      </c>
      <c r="E876" t="s">
        <v>18</v>
      </c>
      <c r="F876" t="s">
        <v>18</v>
      </c>
      <c r="G876">
        <v>2.851664</v>
      </c>
      <c r="H876">
        <v>1</v>
      </c>
      <c r="I876" t="s">
        <v>20</v>
      </c>
      <c r="J876" t="s">
        <v>19</v>
      </c>
      <c r="K876">
        <v>2</v>
      </c>
      <c r="L876" t="s">
        <v>19</v>
      </c>
      <c r="M876">
        <v>0.97792900000000005</v>
      </c>
      <c r="N876">
        <v>1.7653209999999999</v>
      </c>
      <c r="O876" t="s">
        <v>19</v>
      </c>
      <c r="P876" t="s">
        <v>21</v>
      </c>
      <c r="Q876" t="s">
        <v>26</v>
      </c>
    </row>
    <row r="877" spans="1:17" x14ac:dyDescent="0.2">
      <c r="A877" t="s">
        <v>17</v>
      </c>
      <c r="B877">
        <v>16.865984000000001</v>
      </c>
      <c r="C877">
        <v>1.644053</v>
      </c>
      <c r="D877">
        <v>67.439588999999998</v>
      </c>
      <c r="E877" t="s">
        <v>18</v>
      </c>
      <c r="F877" t="s">
        <v>18</v>
      </c>
      <c r="G877">
        <v>1.3141499999999999</v>
      </c>
      <c r="H877">
        <v>1.0681959999999999</v>
      </c>
      <c r="I877" t="s">
        <v>20</v>
      </c>
      <c r="J877" t="s">
        <v>19</v>
      </c>
      <c r="K877">
        <v>1.364957</v>
      </c>
      <c r="L877" t="s">
        <v>18</v>
      </c>
      <c r="M877">
        <v>0</v>
      </c>
      <c r="N877">
        <v>5.7925999999999998E-2</v>
      </c>
      <c r="O877" t="s">
        <v>19</v>
      </c>
      <c r="P877" t="s">
        <v>21</v>
      </c>
      <c r="Q877" t="s">
        <v>26</v>
      </c>
    </row>
    <row r="878" spans="1:17" x14ac:dyDescent="0.2">
      <c r="A878" t="s">
        <v>17</v>
      </c>
      <c r="B878">
        <v>16.093233999999999</v>
      </c>
      <c r="C878">
        <v>1.608914</v>
      </c>
      <c r="D878">
        <v>65</v>
      </c>
      <c r="E878" t="s">
        <v>18</v>
      </c>
      <c r="F878" t="s">
        <v>18</v>
      </c>
      <c r="G878">
        <v>1.3210280000000001</v>
      </c>
      <c r="H878">
        <v>1</v>
      </c>
      <c r="I878" t="s">
        <v>20</v>
      </c>
      <c r="J878" t="s">
        <v>19</v>
      </c>
      <c r="K878">
        <v>2</v>
      </c>
      <c r="L878" t="s">
        <v>18</v>
      </c>
      <c r="M878">
        <v>0.371452</v>
      </c>
      <c r="N878">
        <v>0.96560400000000002</v>
      </c>
      <c r="O878" t="s">
        <v>19</v>
      </c>
      <c r="P878" t="s">
        <v>21</v>
      </c>
      <c r="Q878" t="s">
        <v>26</v>
      </c>
    </row>
    <row r="879" spans="1:17" x14ac:dyDescent="0.2">
      <c r="A879" t="s">
        <v>17</v>
      </c>
      <c r="B879">
        <v>18</v>
      </c>
      <c r="C879">
        <v>1.6479710000000001</v>
      </c>
      <c r="D879">
        <v>68.818893000000003</v>
      </c>
      <c r="E879" t="s">
        <v>18</v>
      </c>
      <c r="F879" t="s">
        <v>18</v>
      </c>
      <c r="G879">
        <v>2</v>
      </c>
      <c r="H879">
        <v>1.4116850000000001</v>
      </c>
      <c r="I879" t="s">
        <v>20</v>
      </c>
      <c r="J879" t="s">
        <v>19</v>
      </c>
      <c r="K879">
        <v>1.859089</v>
      </c>
      <c r="L879" t="s">
        <v>19</v>
      </c>
      <c r="M879">
        <v>0</v>
      </c>
      <c r="N879">
        <v>1.306</v>
      </c>
      <c r="O879" t="s">
        <v>19</v>
      </c>
      <c r="P879" t="s">
        <v>21</v>
      </c>
      <c r="Q879" t="s">
        <v>26</v>
      </c>
    </row>
    <row r="880" spans="1:17" x14ac:dyDescent="0.2">
      <c r="A880" t="s">
        <v>17</v>
      </c>
      <c r="B880">
        <v>18.839189999999999</v>
      </c>
      <c r="C880">
        <v>1.6248309999999999</v>
      </c>
      <c r="D880">
        <v>69.975606999999997</v>
      </c>
      <c r="E880" t="s">
        <v>18</v>
      </c>
      <c r="F880" t="s">
        <v>18</v>
      </c>
      <c r="G880">
        <v>2.2539980000000002</v>
      </c>
      <c r="H880">
        <v>2.7523179999999998</v>
      </c>
      <c r="I880" t="s">
        <v>20</v>
      </c>
      <c r="J880" t="s">
        <v>19</v>
      </c>
      <c r="K880">
        <v>2.3283309999999999</v>
      </c>
      <c r="L880" t="s">
        <v>19</v>
      </c>
      <c r="M880">
        <v>0.81550900000000004</v>
      </c>
      <c r="N880">
        <v>2.4087999999999998E-2</v>
      </c>
      <c r="O880" t="s">
        <v>19</v>
      </c>
      <c r="P880" t="s">
        <v>21</v>
      </c>
      <c r="Q880" t="s">
        <v>26</v>
      </c>
    </row>
    <row r="881" spans="1:17" x14ac:dyDescent="0.2">
      <c r="A881" t="s">
        <v>17</v>
      </c>
      <c r="B881">
        <v>19.726521999999999</v>
      </c>
      <c r="C881">
        <v>1.508267</v>
      </c>
      <c r="D881">
        <v>61.104030000000002</v>
      </c>
      <c r="E881" t="s">
        <v>19</v>
      </c>
      <c r="F881" t="s">
        <v>18</v>
      </c>
      <c r="G881">
        <v>2.778079</v>
      </c>
      <c r="H881">
        <v>3</v>
      </c>
      <c r="I881" t="s">
        <v>20</v>
      </c>
      <c r="J881" t="s">
        <v>19</v>
      </c>
      <c r="K881">
        <v>1.6966909999999999</v>
      </c>
      <c r="L881" t="s">
        <v>18</v>
      </c>
      <c r="M881">
        <v>0.94223999999999997</v>
      </c>
      <c r="N881">
        <v>0.87992499999999996</v>
      </c>
      <c r="O881" t="s">
        <v>20</v>
      </c>
      <c r="P881" t="s">
        <v>21</v>
      </c>
      <c r="Q881" t="s">
        <v>26</v>
      </c>
    </row>
    <row r="882" spans="1:17" x14ac:dyDescent="0.2">
      <c r="A882" t="s">
        <v>17</v>
      </c>
      <c r="B882">
        <v>18.947102000000001</v>
      </c>
      <c r="C882">
        <v>1.5189170000000001</v>
      </c>
      <c r="D882">
        <v>60.267426999999998</v>
      </c>
      <c r="E882" t="s">
        <v>19</v>
      </c>
      <c r="F882" t="s">
        <v>18</v>
      </c>
      <c r="G882">
        <v>2.8380369999999999</v>
      </c>
      <c r="H882">
        <v>2.737571</v>
      </c>
      <c r="I882" t="s">
        <v>20</v>
      </c>
      <c r="J882" t="s">
        <v>19</v>
      </c>
      <c r="K882">
        <v>1.1444669999999999</v>
      </c>
      <c r="L882" t="s">
        <v>18</v>
      </c>
      <c r="M882">
        <v>0.75378199999999995</v>
      </c>
      <c r="N882">
        <v>1.2868440000000001</v>
      </c>
      <c r="O882" t="s">
        <v>20</v>
      </c>
      <c r="P882" t="s">
        <v>21</v>
      </c>
      <c r="Q882" t="s">
        <v>26</v>
      </c>
    </row>
    <row r="883" spans="1:17" x14ac:dyDescent="0.2">
      <c r="A883" t="s">
        <v>17</v>
      </c>
      <c r="B883">
        <v>17.781182999999999</v>
      </c>
      <c r="C883">
        <v>1.6</v>
      </c>
      <c r="D883">
        <v>65</v>
      </c>
      <c r="E883" t="s">
        <v>18</v>
      </c>
      <c r="F883" t="s">
        <v>18</v>
      </c>
      <c r="G883">
        <v>3</v>
      </c>
      <c r="H883">
        <v>2.9735040000000001</v>
      </c>
      <c r="I883" t="s">
        <v>20</v>
      </c>
      <c r="J883" t="s">
        <v>19</v>
      </c>
      <c r="K883">
        <v>2</v>
      </c>
      <c r="L883" t="s">
        <v>18</v>
      </c>
      <c r="M883">
        <v>0.178976</v>
      </c>
      <c r="N883">
        <v>0.166076</v>
      </c>
      <c r="O883" t="s">
        <v>20</v>
      </c>
      <c r="P883" t="s">
        <v>21</v>
      </c>
      <c r="Q883" t="s">
        <v>26</v>
      </c>
    </row>
    <row r="884" spans="1:17" x14ac:dyDescent="0.2">
      <c r="A884" t="s">
        <v>23</v>
      </c>
      <c r="B884">
        <v>33.100580999999998</v>
      </c>
      <c r="C884">
        <v>1.8387910000000001</v>
      </c>
      <c r="D884">
        <v>87.857849999999999</v>
      </c>
      <c r="E884" t="s">
        <v>19</v>
      </c>
      <c r="F884" t="s">
        <v>18</v>
      </c>
      <c r="G884">
        <v>2.8144529999999999</v>
      </c>
      <c r="H884">
        <v>2.6080549999999998</v>
      </c>
      <c r="I884" t="s">
        <v>20</v>
      </c>
      <c r="J884" t="s">
        <v>19</v>
      </c>
      <c r="K884">
        <v>1.8591599999999999</v>
      </c>
      <c r="L884" t="s">
        <v>19</v>
      </c>
      <c r="M884">
        <v>2</v>
      </c>
      <c r="N884">
        <v>0.51608399999999999</v>
      </c>
      <c r="O884" t="s">
        <v>19</v>
      </c>
      <c r="P884" t="s">
        <v>28</v>
      </c>
      <c r="Q884" t="s">
        <v>26</v>
      </c>
    </row>
    <row r="885" spans="1:17" x14ac:dyDescent="0.2">
      <c r="A885" t="s">
        <v>17</v>
      </c>
      <c r="B885">
        <v>33.251015000000002</v>
      </c>
      <c r="C885">
        <v>1.7303789999999999</v>
      </c>
      <c r="D885">
        <v>75.920518999999999</v>
      </c>
      <c r="E885" t="s">
        <v>18</v>
      </c>
      <c r="F885" t="s">
        <v>18</v>
      </c>
      <c r="G885">
        <v>2.013782</v>
      </c>
      <c r="H885">
        <v>2.6259420000000002</v>
      </c>
      <c r="I885" t="s">
        <v>20</v>
      </c>
      <c r="J885" t="s">
        <v>19</v>
      </c>
      <c r="K885">
        <v>1.0455859999999999</v>
      </c>
      <c r="L885" t="s">
        <v>19</v>
      </c>
      <c r="M885">
        <v>0.55330500000000005</v>
      </c>
      <c r="N885">
        <v>0.48021399999999997</v>
      </c>
      <c r="O885" t="s">
        <v>20</v>
      </c>
      <c r="P885" t="s">
        <v>28</v>
      </c>
      <c r="Q885" t="s">
        <v>26</v>
      </c>
    </row>
    <row r="886" spans="1:17" x14ac:dyDescent="0.2">
      <c r="A886" t="s">
        <v>17</v>
      </c>
      <c r="B886">
        <v>18.985119000000001</v>
      </c>
      <c r="C886">
        <v>1.759117</v>
      </c>
      <c r="D886">
        <v>80</v>
      </c>
      <c r="E886" t="s">
        <v>18</v>
      </c>
      <c r="F886" t="s">
        <v>18</v>
      </c>
      <c r="G886">
        <v>2</v>
      </c>
      <c r="H886">
        <v>1.411808</v>
      </c>
      <c r="I886" t="s">
        <v>20</v>
      </c>
      <c r="J886" t="s">
        <v>19</v>
      </c>
      <c r="K886">
        <v>2.6511939999999998</v>
      </c>
      <c r="L886" t="s">
        <v>19</v>
      </c>
      <c r="M886">
        <v>2.8784139999999998</v>
      </c>
      <c r="N886">
        <v>0.95384100000000005</v>
      </c>
      <c r="O886" t="s">
        <v>19</v>
      </c>
      <c r="P886" t="s">
        <v>21</v>
      </c>
      <c r="Q886" t="s">
        <v>26</v>
      </c>
    </row>
    <row r="887" spans="1:17" x14ac:dyDescent="0.2">
      <c r="A887" t="s">
        <v>17</v>
      </c>
      <c r="B887">
        <v>18.871917</v>
      </c>
      <c r="C887">
        <v>1.7552540000000001</v>
      </c>
      <c r="D887">
        <v>80</v>
      </c>
      <c r="E887" t="s">
        <v>18</v>
      </c>
      <c r="F887" t="s">
        <v>18</v>
      </c>
      <c r="G887">
        <v>2</v>
      </c>
      <c r="H887">
        <v>1.0952230000000001</v>
      </c>
      <c r="I887" t="s">
        <v>20</v>
      </c>
      <c r="J887" t="s">
        <v>19</v>
      </c>
      <c r="K887">
        <v>2.474132</v>
      </c>
      <c r="L887" t="s">
        <v>19</v>
      </c>
      <c r="M887">
        <v>2.8766959999999999</v>
      </c>
      <c r="N887">
        <v>0.79390000000000005</v>
      </c>
      <c r="O887" t="s">
        <v>19</v>
      </c>
      <c r="P887" t="s">
        <v>21</v>
      </c>
      <c r="Q887" t="s">
        <v>26</v>
      </c>
    </row>
    <row r="888" spans="1:17" x14ac:dyDescent="0.2">
      <c r="A888" t="s">
        <v>23</v>
      </c>
      <c r="B888">
        <v>19.478532999999999</v>
      </c>
      <c r="C888">
        <v>1.8040989999999999</v>
      </c>
      <c r="D888">
        <v>85.196279000000004</v>
      </c>
      <c r="E888" t="s">
        <v>18</v>
      </c>
      <c r="F888" t="s">
        <v>18</v>
      </c>
      <c r="G888">
        <v>2.4599760000000002</v>
      </c>
      <c r="H888">
        <v>3.3084600000000002</v>
      </c>
      <c r="I888" t="s">
        <v>20</v>
      </c>
      <c r="J888" t="s">
        <v>19</v>
      </c>
      <c r="K888">
        <v>2.0780110000000001</v>
      </c>
      <c r="L888" t="s">
        <v>19</v>
      </c>
      <c r="M888">
        <v>1.7796460000000001</v>
      </c>
      <c r="N888">
        <v>0.87177199999999999</v>
      </c>
      <c r="O888" t="s">
        <v>20</v>
      </c>
      <c r="P888" t="s">
        <v>21</v>
      </c>
      <c r="Q888" t="s">
        <v>26</v>
      </c>
    </row>
    <row r="889" spans="1:17" x14ac:dyDescent="0.2">
      <c r="A889" t="s">
        <v>23</v>
      </c>
      <c r="B889">
        <v>19.429722999999999</v>
      </c>
      <c r="C889">
        <v>1.8135669999999999</v>
      </c>
      <c r="D889">
        <v>86.144903999999997</v>
      </c>
      <c r="E889" t="s">
        <v>18</v>
      </c>
      <c r="F889" t="s">
        <v>18</v>
      </c>
      <c r="G889">
        <v>2.6431830000000001</v>
      </c>
      <c r="H889">
        <v>3.8214610000000002</v>
      </c>
      <c r="I889" t="s">
        <v>20</v>
      </c>
      <c r="J889" t="s">
        <v>19</v>
      </c>
      <c r="K889">
        <v>2.3971239999999998</v>
      </c>
      <c r="L889" t="s">
        <v>19</v>
      </c>
      <c r="M889">
        <v>2.044165</v>
      </c>
      <c r="N889">
        <v>0.471663</v>
      </c>
      <c r="O889" t="s">
        <v>20</v>
      </c>
      <c r="P889" t="s">
        <v>21</v>
      </c>
      <c r="Q889" t="s">
        <v>26</v>
      </c>
    </row>
    <row r="890" spans="1:17" x14ac:dyDescent="0.2">
      <c r="A890" t="s">
        <v>17</v>
      </c>
      <c r="B890">
        <v>20.979254000000001</v>
      </c>
      <c r="C890">
        <v>1.7565500000000001</v>
      </c>
      <c r="D890">
        <v>78.721695999999994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2.813234</v>
      </c>
      <c r="L890" t="s">
        <v>19</v>
      </c>
      <c r="M890">
        <v>0.22875300000000001</v>
      </c>
      <c r="N890">
        <v>2</v>
      </c>
      <c r="O890" t="s">
        <v>24</v>
      </c>
      <c r="P890" t="s">
        <v>21</v>
      </c>
      <c r="Q890" t="s">
        <v>26</v>
      </c>
    </row>
    <row r="891" spans="1:17" x14ac:dyDescent="0.2">
      <c r="A891" t="s">
        <v>17</v>
      </c>
      <c r="B891">
        <v>18.869150999999999</v>
      </c>
      <c r="C891">
        <v>1.7567740000000001</v>
      </c>
      <c r="D891">
        <v>79.989789000000002</v>
      </c>
      <c r="E891" t="s">
        <v>18</v>
      </c>
      <c r="F891" t="s">
        <v>18</v>
      </c>
      <c r="G891">
        <v>2</v>
      </c>
      <c r="H891">
        <v>2.658639</v>
      </c>
      <c r="I891" t="s">
        <v>20</v>
      </c>
      <c r="J891" t="s">
        <v>19</v>
      </c>
      <c r="K891">
        <v>2.781628</v>
      </c>
      <c r="L891" t="s">
        <v>19</v>
      </c>
      <c r="M891">
        <v>1.955992</v>
      </c>
      <c r="N891">
        <v>1.409198</v>
      </c>
      <c r="O891" t="s">
        <v>24</v>
      </c>
      <c r="P891" t="s">
        <v>21</v>
      </c>
      <c r="Q891" t="s">
        <v>26</v>
      </c>
    </row>
    <row r="892" spans="1:17" x14ac:dyDescent="0.2">
      <c r="A892" t="s">
        <v>17</v>
      </c>
      <c r="B892">
        <v>18.236087000000001</v>
      </c>
      <c r="C892">
        <v>1.62</v>
      </c>
      <c r="D892">
        <v>69.389899999999997</v>
      </c>
      <c r="E892" t="s">
        <v>18</v>
      </c>
      <c r="F892" t="s">
        <v>18</v>
      </c>
      <c r="G892">
        <v>2.2239900000000001</v>
      </c>
      <c r="H892">
        <v>1</v>
      </c>
      <c r="I892" t="s">
        <v>20</v>
      </c>
      <c r="J892" t="s">
        <v>19</v>
      </c>
      <c r="K892">
        <v>2.2031200000000002</v>
      </c>
      <c r="L892" t="s">
        <v>19</v>
      </c>
      <c r="M892">
        <v>0.104451</v>
      </c>
      <c r="N892">
        <v>1.899073</v>
      </c>
      <c r="O892" t="s">
        <v>19</v>
      </c>
      <c r="P892" t="s">
        <v>21</v>
      </c>
      <c r="Q892" t="s">
        <v>26</v>
      </c>
    </row>
    <row r="893" spans="1:17" x14ac:dyDescent="0.2">
      <c r="A893" t="s">
        <v>17</v>
      </c>
      <c r="B893">
        <v>20.901392999999999</v>
      </c>
      <c r="C893">
        <v>1.7095849999999999</v>
      </c>
      <c r="D893">
        <v>75</v>
      </c>
      <c r="E893" t="s">
        <v>18</v>
      </c>
      <c r="F893" t="s">
        <v>18</v>
      </c>
      <c r="G893">
        <v>2.1041050000000001</v>
      </c>
      <c r="H893">
        <v>3</v>
      </c>
      <c r="I893" t="s">
        <v>20</v>
      </c>
      <c r="J893" t="s">
        <v>19</v>
      </c>
      <c r="K893">
        <v>1.8710329999999999</v>
      </c>
      <c r="L893" t="s">
        <v>19</v>
      </c>
      <c r="M893">
        <v>1</v>
      </c>
      <c r="N893">
        <v>0</v>
      </c>
      <c r="O893" t="s">
        <v>20</v>
      </c>
      <c r="P893" t="s">
        <v>21</v>
      </c>
      <c r="Q893" t="s">
        <v>26</v>
      </c>
    </row>
    <row r="894" spans="1:17" x14ac:dyDescent="0.2">
      <c r="A894" t="s">
        <v>17</v>
      </c>
      <c r="B894">
        <v>17.085249999999998</v>
      </c>
      <c r="C894">
        <v>1.5356179999999999</v>
      </c>
      <c r="D894">
        <v>57.259124</v>
      </c>
      <c r="E894" t="s">
        <v>19</v>
      </c>
      <c r="F894" t="s">
        <v>18</v>
      </c>
      <c r="G894">
        <v>1.972545</v>
      </c>
      <c r="H894">
        <v>2.3396140000000001</v>
      </c>
      <c r="I894" t="s">
        <v>20</v>
      </c>
      <c r="J894" t="s">
        <v>19</v>
      </c>
      <c r="K894">
        <v>1.711074</v>
      </c>
      <c r="L894" t="s">
        <v>18</v>
      </c>
      <c r="M894">
        <v>9.5517000000000005E-2</v>
      </c>
      <c r="N894">
        <v>1.1910529999999999</v>
      </c>
      <c r="O894" t="s">
        <v>20</v>
      </c>
      <c r="P894" t="s">
        <v>21</v>
      </c>
      <c r="Q894" t="s">
        <v>26</v>
      </c>
    </row>
    <row r="895" spans="1:17" x14ac:dyDescent="0.2">
      <c r="A895" t="s">
        <v>23</v>
      </c>
      <c r="B895">
        <v>25.785924999999999</v>
      </c>
      <c r="C895">
        <v>1.818848</v>
      </c>
      <c r="D895">
        <v>87.032398000000001</v>
      </c>
      <c r="E895" t="s">
        <v>19</v>
      </c>
      <c r="F895" t="s">
        <v>18</v>
      </c>
      <c r="G895">
        <v>2.2864810000000002</v>
      </c>
      <c r="H895">
        <v>1.713762</v>
      </c>
      <c r="I895" t="s">
        <v>20</v>
      </c>
      <c r="J895" t="s">
        <v>19</v>
      </c>
      <c r="K895">
        <v>1.797161</v>
      </c>
      <c r="L895" t="s">
        <v>19</v>
      </c>
      <c r="M895">
        <v>1.658698</v>
      </c>
      <c r="N895">
        <v>0.92658099999999999</v>
      </c>
      <c r="O895" t="s">
        <v>19</v>
      </c>
      <c r="P895" t="s">
        <v>28</v>
      </c>
      <c r="Q895" t="s">
        <v>26</v>
      </c>
    </row>
    <row r="896" spans="1:17" x14ac:dyDescent="0.2">
      <c r="A896" t="s">
        <v>23</v>
      </c>
      <c r="B896">
        <v>26.787842000000001</v>
      </c>
      <c r="C896">
        <v>1.8176410000000001</v>
      </c>
      <c r="D896">
        <v>87.107316999999995</v>
      </c>
      <c r="E896" t="s">
        <v>19</v>
      </c>
      <c r="F896" t="s">
        <v>18</v>
      </c>
      <c r="G896">
        <v>2.9715880000000001</v>
      </c>
      <c r="H896">
        <v>2.743277</v>
      </c>
      <c r="I896" t="s">
        <v>20</v>
      </c>
      <c r="J896" t="s">
        <v>19</v>
      </c>
      <c r="K896">
        <v>1.3948830000000001</v>
      </c>
      <c r="L896" t="s">
        <v>19</v>
      </c>
      <c r="M896">
        <v>2</v>
      </c>
      <c r="N896">
        <v>0.47024300000000002</v>
      </c>
      <c r="O896" t="s">
        <v>19</v>
      </c>
      <c r="P896" t="s">
        <v>28</v>
      </c>
      <c r="Q896" t="s">
        <v>26</v>
      </c>
    </row>
    <row r="897" spans="1:17" x14ac:dyDescent="0.2">
      <c r="A897" t="s">
        <v>23</v>
      </c>
      <c r="B897">
        <v>21.037514000000002</v>
      </c>
      <c r="C897">
        <v>1.636592</v>
      </c>
      <c r="D897">
        <v>70</v>
      </c>
      <c r="E897" t="s">
        <v>19</v>
      </c>
      <c r="F897" t="s">
        <v>18</v>
      </c>
      <c r="G897">
        <v>2</v>
      </c>
      <c r="H897">
        <v>1</v>
      </c>
      <c r="I897" t="s">
        <v>19</v>
      </c>
      <c r="J897" t="s">
        <v>19</v>
      </c>
      <c r="K897">
        <v>2.8816769999999998</v>
      </c>
      <c r="L897" t="s">
        <v>19</v>
      </c>
      <c r="M897">
        <v>0.91569900000000004</v>
      </c>
      <c r="N897">
        <v>0</v>
      </c>
      <c r="O897" t="s">
        <v>20</v>
      </c>
      <c r="P897" t="s">
        <v>21</v>
      </c>
      <c r="Q897" t="s">
        <v>26</v>
      </c>
    </row>
    <row r="898" spans="1:17" x14ac:dyDescent="0.2">
      <c r="A898" t="s">
        <v>23</v>
      </c>
      <c r="B898">
        <v>21.008289999999999</v>
      </c>
      <c r="C898">
        <v>1.6214120000000001</v>
      </c>
      <c r="D898">
        <v>70</v>
      </c>
      <c r="E898" t="s">
        <v>19</v>
      </c>
      <c r="F898" t="s">
        <v>18</v>
      </c>
      <c r="G898">
        <v>2</v>
      </c>
      <c r="H898">
        <v>1</v>
      </c>
      <c r="I898" t="s">
        <v>19</v>
      </c>
      <c r="J898" t="s">
        <v>19</v>
      </c>
      <c r="K898">
        <v>2.7956509999999999</v>
      </c>
      <c r="L898" t="s">
        <v>19</v>
      </c>
      <c r="M898">
        <v>0.80872999999999995</v>
      </c>
      <c r="N898">
        <v>0</v>
      </c>
      <c r="O898" t="s">
        <v>20</v>
      </c>
      <c r="P898" t="s">
        <v>21</v>
      </c>
      <c r="Q898" t="s">
        <v>26</v>
      </c>
    </row>
    <row r="899" spans="1:17" x14ac:dyDescent="0.2">
      <c r="A899" t="s">
        <v>23</v>
      </c>
      <c r="B899">
        <v>26.703710000000001</v>
      </c>
      <c r="C899">
        <v>1.8028709999999999</v>
      </c>
      <c r="D899">
        <v>85.770013000000006</v>
      </c>
      <c r="E899" t="s">
        <v>18</v>
      </c>
      <c r="F899" t="s">
        <v>18</v>
      </c>
      <c r="G899">
        <v>2.8721209999999999</v>
      </c>
      <c r="H899">
        <v>3.0518040000000002</v>
      </c>
      <c r="I899" t="s">
        <v>20</v>
      </c>
      <c r="J899" t="s">
        <v>19</v>
      </c>
      <c r="K899">
        <v>2.1119129999999999</v>
      </c>
      <c r="L899" t="s">
        <v>19</v>
      </c>
      <c r="M899">
        <v>0.84370900000000004</v>
      </c>
      <c r="N899">
        <v>0.153559</v>
      </c>
      <c r="O899" t="s">
        <v>20</v>
      </c>
      <c r="P899" t="s">
        <v>28</v>
      </c>
      <c r="Q899" t="s">
        <v>26</v>
      </c>
    </row>
    <row r="900" spans="1:17" x14ac:dyDescent="0.2">
      <c r="A900" t="s">
        <v>23</v>
      </c>
      <c r="B900">
        <v>21.731497000000001</v>
      </c>
      <c r="C900">
        <v>1.6962010000000001</v>
      </c>
      <c r="D900">
        <v>75.399191000000002</v>
      </c>
      <c r="E900" t="s">
        <v>18</v>
      </c>
      <c r="F900" t="s">
        <v>18</v>
      </c>
      <c r="G900">
        <v>2.109162</v>
      </c>
      <c r="H900">
        <v>3.2451479999999999</v>
      </c>
      <c r="I900" t="s">
        <v>20</v>
      </c>
      <c r="J900" t="s">
        <v>19</v>
      </c>
      <c r="K900">
        <v>1.9717739999999999</v>
      </c>
      <c r="L900" t="s">
        <v>19</v>
      </c>
      <c r="M900">
        <v>0.98933499999999996</v>
      </c>
      <c r="N900">
        <v>0</v>
      </c>
      <c r="O900" t="s">
        <v>20</v>
      </c>
      <c r="P900" t="s">
        <v>21</v>
      </c>
      <c r="Q900" t="s">
        <v>26</v>
      </c>
    </row>
    <row r="901" spans="1:17" x14ac:dyDescent="0.2">
      <c r="A901" t="s">
        <v>23</v>
      </c>
      <c r="B901">
        <v>21.052893999999998</v>
      </c>
      <c r="C901">
        <v>1.6946330000000001</v>
      </c>
      <c r="D901">
        <v>75.052199999999999</v>
      </c>
      <c r="E901" t="s">
        <v>18</v>
      </c>
      <c r="F901" t="s">
        <v>18</v>
      </c>
      <c r="G901">
        <v>2.1788889999999999</v>
      </c>
      <c r="H901">
        <v>3.5637439999999998</v>
      </c>
      <c r="I901" t="s">
        <v>20</v>
      </c>
      <c r="J901" t="s">
        <v>19</v>
      </c>
      <c r="K901">
        <v>1.8539909999999999</v>
      </c>
      <c r="L901" t="s">
        <v>19</v>
      </c>
      <c r="M901">
        <v>0.99773100000000003</v>
      </c>
      <c r="N901">
        <v>0</v>
      </c>
      <c r="O901" t="s">
        <v>20</v>
      </c>
      <c r="P901" t="s">
        <v>21</v>
      </c>
      <c r="Q901" t="s">
        <v>26</v>
      </c>
    </row>
    <row r="902" spans="1:17" x14ac:dyDescent="0.2">
      <c r="A902" t="s">
        <v>17</v>
      </c>
      <c r="B902">
        <v>21</v>
      </c>
      <c r="C902">
        <v>1.6181479999999999</v>
      </c>
      <c r="D902">
        <v>68.981403</v>
      </c>
      <c r="E902" t="s">
        <v>18</v>
      </c>
      <c r="F902" t="s">
        <v>18</v>
      </c>
      <c r="G902">
        <v>1.142468</v>
      </c>
      <c r="H902">
        <v>3</v>
      </c>
      <c r="I902" t="s">
        <v>19</v>
      </c>
      <c r="J902" t="s">
        <v>19</v>
      </c>
      <c r="K902">
        <v>2.1977319999999998</v>
      </c>
      <c r="L902" t="s">
        <v>19</v>
      </c>
      <c r="M902">
        <v>0.82750599999999996</v>
      </c>
      <c r="N902">
        <v>0.57287699999999997</v>
      </c>
      <c r="O902" t="s">
        <v>20</v>
      </c>
      <c r="P902" t="s">
        <v>21</v>
      </c>
      <c r="Q902" t="s">
        <v>26</v>
      </c>
    </row>
    <row r="903" spans="1:17" x14ac:dyDescent="0.2">
      <c r="A903" t="s">
        <v>23</v>
      </c>
      <c r="B903">
        <v>19.241057999999999</v>
      </c>
      <c r="C903">
        <v>1.856811</v>
      </c>
      <c r="D903">
        <v>88.633616000000004</v>
      </c>
      <c r="E903" t="s">
        <v>18</v>
      </c>
      <c r="F903" t="s">
        <v>18</v>
      </c>
      <c r="G903">
        <v>2.047069</v>
      </c>
      <c r="H903">
        <v>3.8291010000000001</v>
      </c>
      <c r="I903" t="s">
        <v>20</v>
      </c>
      <c r="J903" t="s">
        <v>19</v>
      </c>
      <c r="K903">
        <v>1.641022</v>
      </c>
      <c r="L903" t="s">
        <v>19</v>
      </c>
      <c r="M903">
        <v>1.5548169999999999</v>
      </c>
      <c r="N903">
        <v>0.24821799999999999</v>
      </c>
      <c r="O903" t="s">
        <v>20</v>
      </c>
      <c r="P903" t="s">
        <v>21</v>
      </c>
      <c r="Q903" t="s">
        <v>26</v>
      </c>
    </row>
    <row r="904" spans="1:17" x14ac:dyDescent="0.2">
      <c r="A904" t="s">
        <v>17</v>
      </c>
      <c r="B904">
        <v>38.939447999999999</v>
      </c>
      <c r="C904">
        <v>1.738321</v>
      </c>
      <c r="D904">
        <v>86.934845999999993</v>
      </c>
      <c r="E904" t="s">
        <v>19</v>
      </c>
      <c r="F904" t="s">
        <v>18</v>
      </c>
      <c r="G904">
        <v>2.843709</v>
      </c>
      <c r="H904">
        <v>3.0585390000000001</v>
      </c>
      <c r="I904" t="s">
        <v>20</v>
      </c>
      <c r="J904" t="s">
        <v>19</v>
      </c>
      <c r="K904">
        <v>1.1300790000000001</v>
      </c>
      <c r="L904" t="s">
        <v>19</v>
      </c>
      <c r="M904">
        <v>2.8343729999999998</v>
      </c>
      <c r="N904">
        <v>4.4954000000000001E-2</v>
      </c>
      <c r="O904" t="s">
        <v>20</v>
      </c>
      <c r="P904" t="s">
        <v>28</v>
      </c>
      <c r="Q904" t="s">
        <v>26</v>
      </c>
    </row>
    <row r="905" spans="1:17" x14ac:dyDescent="0.2">
      <c r="A905" t="s">
        <v>17</v>
      </c>
      <c r="B905">
        <v>39.965474</v>
      </c>
      <c r="C905">
        <v>1.739293</v>
      </c>
      <c r="D905">
        <v>80.914382000000003</v>
      </c>
      <c r="E905" t="s">
        <v>19</v>
      </c>
      <c r="F905" t="s">
        <v>18</v>
      </c>
      <c r="G905">
        <v>2.4160439999999999</v>
      </c>
      <c r="H905">
        <v>3.196043</v>
      </c>
      <c r="I905" t="s">
        <v>20</v>
      </c>
      <c r="J905" t="s">
        <v>19</v>
      </c>
      <c r="K905">
        <v>1.352649</v>
      </c>
      <c r="L905" t="s">
        <v>19</v>
      </c>
      <c r="M905">
        <v>0.14862800000000001</v>
      </c>
      <c r="N905">
        <v>1.08266</v>
      </c>
      <c r="O905" t="s">
        <v>20</v>
      </c>
      <c r="P905" t="s">
        <v>28</v>
      </c>
      <c r="Q905" t="s">
        <v>26</v>
      </c>
    </row>
    <row r="906" spans="1:17" x14ac:dyDescent="0.2">
      <c r="A906" t="s">
        <v>23</v>
      </c>
      <c r="B906">
        <v>20.261925000000002</v>
      </c>
      <c r="C906">
        <v>1.8075380000000001</v>
      </c>
      <c r="D906">
        <v>85.316125</v>
      </c>
      <c r="E906" t="s">
        <v>18</v>
      </c>
      <c r="F906" t="s">
        <v>18</v>
      </c>
      <c r="G906">
        <v>2</v>
      </c>
      <c r="H906">
        <v>3</v>
      </c>
      <c r="I906" t="s">
        <v>20</v>
      </c>
      <c r="J906" t="s">
        <v>19</v>
      </c>
      <c r="K906">
        <v>1.968011</v>
      </c>
      <c r="L906" t="s">
        <v>19</v>
      </c>
      <c r="M906">
        <v>1.072662</v>
      </c>
      <c r="N906">
        <v>0.77675799999999995</v>
      </c>
      <c r="O906" t="s">
        <v>20</v>
      </c>
      <c r="P906" t="s">
        <v>21</v>
      </c>
      <c r="Q906" t="s">
        <v>26</v>
      </c>
    </row>
    <row r="907" spans="1:17" x14ac:dyDescent="0.2">
      <c r="A907" t="s">
        <v>23</v>
      </c>
      <c r="B907">
        <v>20.310939999999999</v>
      </c>
      <c r="C907">
        <v>1.8494250000000001</v>
      </c>
      <c r="D907">
        <v>85.228116</v>
      </c>
      <c r="E907" t="s">
        <v>18</v>
      </c>
      <c r="F907" t="s">
        <v>18</v>
      </c>
      <c r="G907">
        <v>2.146598</v>
      </c>
      <c r="H907">
        <v>3</v>
      </c>
      <c r="I907" t="s">
        <v>20</v>
      </c>
      <c r="J907" t="s">
        <v>19</v>
      </c>
      <c r="K907">
        <v>2.1001120000000002</v>
      </c>
      <c r="L907" t="s">
        <v>19</v>
      </c>
      <c r="M907">
        <v>1.17116</v>
      </c>
      <c r="N907">
        <v>0.83376099999999997</v>
      </c>
      <c r="O907" t="s">
        <v>20</v>
      </c>
      <c r="P907" t="s">
        <v>21</v>
      </c>
      <c r="Q907" t="s">
        <v>26</v>
      </c>
    </row>
    <row r="908" spans="1:17" x14ac:dyDescent="0.2">
      <c r="A908" t="s">
        <v>23</v>
      </c>
      <c r="B908">
        <v>21.420536999999999</v>
      </c>
      <c r="C908">
        <v>1.7124729999999999</v>
      </c>
      <c r="D908">
        <v>75</v>
      </c>
      <c r="E908" t="s">
        <v>18</v>
      </c>
      <c r="F908" t="s">
        <v>18</v>
      </c>
      <c r="G908">
        <v>2</v>
      </c>
      <c r="H908">
        <v>3</v>
      </c>
      <c r="I908" t="s">
        <v>20</v>
      </c>
      <c r="J908" t="s">
        <v>19</v>
      </c>
      <c r="K908">
        <v>1.3626419999999999</v>
      </c>
      <c r="L908" t="s">
        <v>19</v>
      </c>
      <c r="M908">
        <v>0.92126799999999998</v>
      </c>
      <c r="N908">
        <v>0.139013</v>
      </c>
      <c r="O908" t="s">
        <v>20</v>
      </c>
      <c r="P908" t="s">
        <v>21</v>
      </c>
      <c r="Q908" t="s">
        <v>26</v>
      </c>
    </row>
    <row r="909" spans="1:17" x14ac:dyDescent="0.2">
      <c r="A909" t="s">
        <v>17</v>
      </c>
      <c r="B909">
        <v>18.845517999999998</v>
      </c>
      <c r="C909">
        <v>1.753471</v>
      </c>
      <c r="D909">
        <v>80</v>
      </c>
      <c r="E909" t="s">
        <v>18</v>
      </c>
      <c r="F909" t="s">
        <v>18</v>
      </c>
      <c r="G909">
        <v>2</v>
      </c>
      <c r="H909">
        <v>1.391778</v>
      </c>
      <c r="I909" t="s">
        <v>20</v>
      </c>
      <c r="J909" t="s">
        <v>19</v>
      </c>
      <c r="K909">
        <v>2.6454800000000001</v>
      </c>
      <c r="L909" t="s">
        <v>19</v>
      </c>
      <c r="M909">
        <v>2.6850869999999998</v>
      </c>
      <c r="N909">
        <v>0.97553999999999996</v>
      </c>
      <c r="O909" t="s">
        <v>19</v>
      </c>
      <c r="P909" t="s">
        <v>21</v>
      </c>
      <c r="Q909" t="s">
        <v>26</v>
      </c>
    </row>
    <row r="910" spans="1:17" x14ac:dyDescent="0.2">
      <c r="A910" t="s">
        <v>23</v>
      </c>
      <c r="B910">
        <v>23.562135000000001</v>
      </c>
      <c r="C910">
        <v>1.7174320000000001</v>
      </c>
      <c r="D910">
        <v>75.371244000000004</v>
      </c>
      <c r="E910" t="s">
        <v>18</v>
      </c>
      <c r="F910" t="s">
        <v>18</v>
      </c>
      <c r="G910">
        <v>2</v>
      </c>
      <c r="H910">
        <v>3</v>
      </c>
      <c r="I910" t="s">
        <v>20</v>
      </c>
      <c r="J910" t="s">
        <v>19</v>
      </c>
      <c r="K910">
        <v>2</v>
      </c>
      <c r="L910" t="s">
        <v>19</v>
      </c>
      <c r="M910">
        <v>0.121585</v>
      </c>
      <c r="N910">
        <v>1.9672590000000001</v>
      </c>
      <c r="O910" t="s">
        <v>20</v>
      </c>
      <c r="P910" t="s">
        <v>21</v>
      </c>
      <c r="Q910" t="s">
        <v>26</v>
      </c>
    </row>
    <row r="911" spans="1:17" x14ac:dyDescent="0.2">
      <c r="A911" t="s">
        <v>23</v>
      </c>
      <c r="B911">
        <v>23.118327000000001</v>
      </c>
      <c r="C911">
        <v>1.677573</v>
      </c>
      <c r="D911">
        <v>75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>
        <v>0.33457900000000002</v>
      </c>
      <c r="N911">
        <v>1.905826</v>
      </c>
      <c r="O911" t="s">
        <v>20</v>
      </c>
      <c r="P911" t="s">
        <v>21</v>
      </c>
      <c r="Q911" t="s">
        <v>26</v>
      </c>
    </row>
    <row r="912" spans="1:17" x14ac:dyDescent="0.2">
      <c r="A912" t="s">
        <v>17</v>
      </c>
      <c r="B912">
        <v>33.732714000000001</v>
      </c>
      <c r="C912">
        <v>1.6797249999999999</v>
      </c>
      <c r="D912">
        <v>74.885221999999999</v>
      </c>
      <c r="E912" t="s">
        <v>18</v>
      </c>
      <c r="F912" t="s">
        <v>18</v>
      </c>
      <c r="G912">
        <v>3</v>
      </c>
      <c r="H912">
        <v>1.1371500000000001</v>
      </c>
      <c r="I912" t="s">
        <v>20</v>
      </c>
      <c r="J912" t="s">
        <v>19</v>
      </c>
      <c r="K912">
        <v>1.0006949999999999</v>
      </c>
      <c r="L912" t="s">
        <v>19</v>
      </c>
      <c r="M912">
        <v>0.26127400000000001</v>
      </c>
      <c r="N912">
        <v>0</v>
      </c>
      <c r="O912" t="s">
        <v>20</v>
      </c>
      <c r="P912" t="s">
        <v>28</v>
      </c>
      <c r="Q912" t="s">
        <v>26</v>
      </c>
    </row>
    <row r="913" spans="1:17" x14ac:dyDescent="0.2">
      <c r="A913" t="s">
        <v>17</v>
      </c>
      <c r="B913">
        <v>21.571287999999999</v>
      </c>
      <c r="C913">
        <v>1.6009139999999999</v>
      </c>
      <c r="D913">
        <v>68.058902000000003</v>
      </c>
      <c r="E913" t="s">
        <v>18</v>
      </c>
      <c r="F913" t="s">
        <v>18</v>
      </c>
      <c r="G913">
        <v>1.7668489999999999</v>
      </c>
      <c r="H913">
        <v>3.3225220000000002</v>
      </c>
      <c r="I913" t="s">
        <v>20</v>
      </c>
      <c r="J913" t="s">
        <v>19</v>
      </c>
      <c r="K913">
        <v>2.616285</v>
      </c>
      <c r="L913" t="s">
        <v>19</v>
      </c>
      <c r="M913">
        <v>0.94305799999999995</v>
      </c>
      <c r="N913">
        <v>0.25697700000000001</v>
      </c>
      <c r="O913" t="s">
        <v>20</v>
      </c>
      <c r="P913" t="s">
        <v>21</v>
      </c>
      <c r="Q913" t="s">
        <v>26</v>
      </c>
    </row>
    <row r="914" spans="1:17" x14ac:dyDescent="0.2">
      <c r="A914" t="s">
        <v>17</v>
      </c>
      <c r="B914">
        <v>21.165573999999999</v>
      </c>
      <c r="C914">
        <v>1.6177490000000001</v>
      </c>
      <c r="D914">
        <v>68.908135999999999</v>
      </c>
      <c r="E914" t="s">
        <v>18</v>
      </c>
      <c r="F914" t="s">
        <v>18</v>
      </c>
      <c r="G914">
        <v>1.188089</v>
      </c>
      <c r="H914">
        <v>3.269088</v>
      </c>
      <c r="I914" t="s">
        <v>20</v>
      </c>
      <c r="J914" t="s">
        <v>19</v>
      </c>
      <c r="K914">
        <v>2.0395349999999999</v>
      </c>
      <c r="L914" t="s">
        <v>19</v>
      </c>
      <c r="M914">
        <v>0.77968599999999999</v>
      </c>
      <c r="N914">
        <v>1.0431079999999999</v>
      </c>
      <c r="O914" t="s">
        <v>20</v>
      </c>
      <c r="P914" t="s">
        <v>21</v>
      </c>
      <c r="Q914" t="s">
        <v>26</v>
      </c>
    </row>
    <row r="915" spans="1:17" x14ac:dyDescent="0.2">
      <c r="A915" t="s">
        <v>23</v>
      </c>
      <c r="B915">
        <v>21</v>
      </c>
      <c r="C915">
        <v>1.610209</v>
      </c>
      <c r="D915">
        <v>68.865008000000003</v>
      </c>
      <c r="E915" t="s">
        <v>19</v>
      </c>
      <c r="F915" t="s">
        <v>18</v>
      </c>
      <c r="G915">
        <v>1.9101760000000001</v>
      </c>
      <c r="H915">
        <v>2.9381349999999999</v>
      </c>
      <c r="I915" t="s">
        <v>19</v>
      </c>
      <c r="J915" t="s">
        <v>19</v>
      </c>
      <c r="K915">
        <v>2.9430969999999999</v>
      </c>
      <c r="L915" t="s">
        <v>19</v>
      </c>
      <c r="M915">
        <v>0.99720200000000003</v>
      </c>
      <c r="N915">
        <v>0.207922</v>
      </c>
      <c r="O915" t="s">
        <v>20</v>
      </c>
      <c r="P915" t="s">
        <v>21</v>
      </c>
      <c r="Q915" t="s">
        <v>26</v>
      </c>
    </row>
    <row r="916" spans="1:17" x14ac:dyDescent="0.2">
      <c r="A916" t="s">
        <v>23</v>
      </c>
      <c r="B916">
        <v>21</v>
      </c>
      <c r="C916">
        <v>1.6125560000000001</v>
      </c>
      <c r="D916">
        <v>69.463458000000003</v>
      </c>
      <c r="E916" t="s">
        <v>19</v>
      </c>
      <c r="F916" t="s">
        <v>18</v>
      </c>
      <c r="G916">
        <v>2</v>
      </c>
      <c r="H916">
        <v>1.259628</v>
      </c>
      <c r="I916" t="s">
        <v>19</v>
      </c>
      <c r="J916" t="s">
        <v>19</v>
      </c>
      <c r="K916">
        <v>3</v>
      </c>
      <c r="L916" t="s">
        <v>19</v>
      </c>
      <c r="M916">
        <v>1</v>
      </c>
      <c r="N916">
        <v>0</v>
      </c>
      <c r="O916" t="s">
        <v>20</v>
      </c>
      <c r="P916" t="s">
        <v>21</v>
      </c>
      <c r="Q916" t="s">
        <v>26</v>
      </c>
    </row>
    <row r="917" spans="1:17" x14ac:dyDescent="0.2">
      <c r="A917" t="s">
        <v>17</v>
      </c>
      <c r="B917">
        <v>38.692264999999999</v>
      </c>
      <c r="C917">
        <v>1.5481780000000001</v>
      </c>
      <c r="D917">
        <v>62.341437999999997</v>
      </c>
      <c r="E917" t="s">
        <v>18</v>
      </c>
      <c r="F917" t="s">
        <v>18</v>
      </c>
      <c r="G917">
        <v>2.956671</v>
      </c>
      <c r="H917">
        <v>2.9654940000000001</v>
      </c>
      <c r="I917" t="s">
        <v>20</v>
      </c>
      <c r="J917" t="s">
        <v>19</v>
      </c>
      <c r="K917">
        <v>2.8681320000000001</v>
      </c>
      <c r="L917" t="s">
        <v>19</v>
      </c>
      <c r="M917">
        <v>0</v>
      </c>
      <c r="N917">
        <v>0.54925000000000002</v>
      </c>
      <c r="O917" t="s">
        <v>20</v>
      </c>
      <c r="P917" t="s">
        <v>28</v>
      </c>
      <c r="Q917" t="s">
        <v>26</v>
      </c>
    </row>
    <row r="918" spans="1:17" x14ac:dyDescent="0.2">
      <c r="A918" t="s">
        <v>17</v>
      </c>
      <c r="B918">
        <v>38.952866</v>
      </c>
      <c r="C918">
        <v>1.568441</v>
      </c>
      <c r="D918">
        <v>62.855072999999997</v>
      </c>
      <c r="E918" t="s">
        <v>18</v>
      </c>
      <c r="F918" t="s">
        <v>18</v>
      </c>
      <c r="G918">
        <v>2.002796</v>
      </c>
      <c r="H918">
        <v>3</v>
      </c>
      <c r="I918" t="s">
        <v>20</v>
      </c>
      <c r="J918" t="s">
        <v>19</v>
      </c>
      <c r="K918">
        <v>2.5267750000000002</v>
      </c>
      <c r="L918" t="s">
        <v>19</v>
      </c>
      <c r="M918">
        <v>0.27117400000000003</v>
      </c>
      <c r="N918">
        <v>0.80606900000000004</v>
      </c>
      <c r="O918" t="s">
        <v>20</v>
      </c>
      <c r="P918" t="s">
        <v>28</v>
      </c>
      <c r="Q918" t="s">
        <v>26</v>
      </c>
    </row>
    <row r="919" spans="1:17" x14ac:dyDescent="0.2">
      <c r="A919" t="s">
        <v>17</v>
      </c>
      <c r="B919">
        <v>36.631456</v>
      </c>
      <c r="C919">
        <v>1.532322</v>
      </c>
      <c r="D919">
        <v>62.417228000000001</v>
      </c>
      <c r="E919" t="s">
        <v>18</v>
      </c>
      <c r="F919" t="s">
        <v>18</v>
      </c>
      <c r="G919">
        <v>2.2886039999999999</v>
      </c>
      <c r="H919">
        <v>2.845307</v>
      </c>
      <c r="I919" t="s">
        <v>20</v>
      </c>
      <c r="J919" t="s">
        <v>19</v>
      </c>
      <c r="K919">
        <v>2.6381640000000002</v>
      </c>
      <c r="L919" t="s">
        <v>19</v>
      </c>
      <c r="M919">
        <v>0</v>
      </c>
      <c r="N919">
        <v>0.99074099999999998</v>
      </c>
      <c r="O919" t="s">
        <v>20</v>
      </c>
      <c r="P919" t="s">
        <v>28</v>
      </c>
      <c r="Q919" t="s">
        <v>26</v>
      </c>
    </row>
    <row r="920" spans="1:17" x14ac:dyDescent="0.2">
      <c r="A920" t="s">
        <v>17</v>
      </c>
      <c r="B920">
        <v>21.996117999999999</v>
      </c>
      <c r="C920">
        <v>1.730199</v>
      </c>
      <c r="D920">
        <v>78.997062</v>
      </c>
      <c r="E920" t="s">
        <v>18</v>
      </c>
      <c r="F920" t="s">
        <v>18</v>
      </c>
      <c r="G920">
        <v>2.2770769999999998</v>
      </c>
      <c r="H920">
        <v>1</v>
      </c>
      <c r="I920" t="s">
        <v>20</v>
      </c>
      <c r="J920" t="s">
        <v>19</v>
      </c>
      <c r="K920">
        <v>2</v>
      </c>
      <c r="L920" t="s">
        <v>19</v>
      </c>
      <c r="M920">
        <v>1.0617430000000001</v>
      </c>
      <c r="N920">
        <v>0</v>
      </c>
      <c r="O920" t="s">
        <v>20</v>
      </c>
      <c r="P920" t="s">
        <v>21</v>
      </c>
      <c r="Q920" t="s">
        <v>26</v>
      </c>
    </row>
    <row r="921" spans="1:17" x14ac:dyDescent="0.2">
      <c r="A921" t="s">
        <v>17</v>
      </c>
      <c r="B921">
        <v>21.951308999999998</v>
      </c>
      <c r="C921">
        <v>1.730167</v>
      </c>
      <c r="D921">
        <v>78.429311999999996</v>
      </c>
      <c r="E921" t="s">
        <v>18</v>
      </c>
      <c r="F921" t="s">
        <v>18</v>
      </c>
      <c r="G921">
        <v>2.138334</v>
      </c>
      <c r="H921">
        <v>1</v>
      </c>
      <c r="I921" t="s">
        <v>20</v>
      </c>
      <c r="J921" t="s">
        <v>19</v>
      </c>
      <c r="K921">
        <v>2</v>
      </c>
      <c r="L921" t="s">
        <v>19</v>
      </c>
      <c r="M921">
        <v>2.2690579999999998</v>
      </c>
      <c r="N921">
        <v>0</v>
      </c>
      <c r="O921" t="s">
        <v>20</v>
      </c>
      <c r="P921" t="s">
        <v>21</v>
      </c>
      <c r="Q921" t="s">
        <v>26</v>
      </c>
    </row>
    <row r="922" spans="1:17" x14ac:dyDescent="0.2">
      <c r="A922" t="s">
        <v>23</v>
      </c>
      <c r="B922">
        <v>22.018228000000001</v>
      </c>
      <c r="C922">
        <v>1.6273960000000001</v>
      </c>
      <c r="D922">
        <v>70</v>
      </c>
      <c r="E922" t="s">
        <v>19</v>
      </c>
      <c r="F922" t="s">
        <v>18</v>
      </c>
      <c r="G922">
        <v>2</v>
      </c>
      <c r="H922">
        <v>1</v>
      </c>
      <c r="I922" t="s">
        <v>19</v>
      </c>
      <c r="J922" t="s">
        <v>19</v>
      </c>
      <c r="K922">
        <v>2.9761769999999999</v>
      </c>
      <c r="L922" t="s">
        <v>19</v>
      </c>
      <c r="M922">
        <v>0.78011699999999995</v>
      </c>
      <c r="N922">
        <v>0</v>
      </c>
      <c r="O922" t="s">
        <v>20</v>
      </c>
      <c r="P922" t="s">
        <v>21</v>
      </c>
      <c r="Q922" t="s">
        <v>26</v>
      </c>
    </row>
    <row r="923" spans="1:17" x14ac:dyDescent="0.2">
      <c r="A923" t="s">
        <v>23</v>
      </c>
      <c r="B923">
        <v>21</v>
      </c>
      <c r="C923">
        <v>1.62</v>
      </c>
      <c r="D923">
        <v>70</v>
      </c>
      <c r="E923" t="s">
        <v>19</v>
      </c>
      <c r="F923" t="s">
        <v>18</v>
      </c>
      <c r="G923">
        <v>2</v>
      </c>
      <c r="H923">
        <v>1</v>
      </c>
      <c r="I923" t="s">
        <v>19</v>
      </c>
      <c r="J923" t="s">
        <v>19</v>
      </c>
      <c r="K923">
        <v>3</v>
      </c>
      <c r="L923" t="s">
        <v>19</v>
      </c>
      <c r="M923">
        <v>1</v>
      </c>
      <c r="N923">
        <v>0</v>
      </c>
      <c r="O923" t="s">
        <v>20</v>
      </c>
      <c r="P923" t="s">
        <v>21</v>
      </c>
      <c r="Q923" t="s">
        <v>26</v>
      </c>
    </row>
    <row r="924" spans="1:17" x14ac:dyDescent="0.2">
      <c r="A924" t="s">
        <v>23</v>
      </c>
      <c r="B924">
        <v>21</v>
      </c>
      <c r="C924">
        <v>1.62</v>
      </c>
      <c r="D924">
        <v>70</v>
      </c>
      <c r="E924" t="s">
        <v>19</v>
      </c>
      <c r="F924" t="s">
        <v>18</v>
      </c>
      <c r="G924">
        <v>2</v>
      </c>
      <c r="H924">
        <v>1</v>
      </c>
      <c r="I924" t="s">
        <v>19</v>
      </c>
      <c r="J924" t="s">
        <v>19</v>
      </c>
      <c r="K924">
        <v>3</v>
      </c>
      <c r="L924" t="s">
        <v>19</v>
      </c>
      <c r="M924">
        <v>1</v>
      </c>
      <c r="N924">
        <v>0</v>
      </c>
      <c r="O924" t="s">
        <v>20</v>
      </c>
      <c r="P924" t="s">
        <v>21</v>
      </c>
      <c r="Q924" t="s">
        <v>26</v>
      </c>
    </row>
    <row r="925" spans="1:17" x14ac:dyDescent="0.2">
      <c r="A925" t="s">
        <v>23</v>
      </c>
      <c r="B925">
        <v>21</v>
      </c>
      <c r="C925">
        <v>1.62</v>
      </c>
      <c r="D925">
        <v>70</v>
      </c>
      <c r="E925" t="s">
        <v>19</v>
      </c>
      <c r="F925" t="s">
        <v>18</v>
      </c>
      <c r="G925">
        <v>2</v>
      </c>
      <c r="H925">
        <v>1</v>
      </c>
      <c r="I925" t="s">
        <v>19</v>
      </c>
      <c r="J925" t="s">
        <v>19</v>
      </c>
      <c r="K925">
        <v>3</v>
      </c>
      <c r="L925" t="s">
        <v>19</v>
      </c>
      <c r="M925">
        <v>1</v>
      </c>
      <c r="N925">
        <v>0</v>
      </c>
      <c r="O925" t="s">
        <v>20</v>
      </c>
      <c r="P925" t="s">
        <v>21</v>
      </c>
      <c r="Q925" t="s">
        <v>26</v>
      </c>
    </row>
    <row r="926" spans="1:17" x14ac:dyDescent="0.2">
      <c r="A926" t="s">
        <v>17</v>
      </c>
      <c r="B926">
        <v>29.934464999999999</v>
      </c>
      <c r="C926">
        <v>1.638744</v>
      </c>
      <c r="D926">
        <v>69.242354000000006</v>
      </c>
      <c r="E926" t="s">
        <v>18</v>
      </c>
      <c r="F926" t="s">
        <v>18</v>
      </c>
      <c r="G926">
        <v>2.0296340000000002</v>
      </c>
      <c r="H926">
        <v>3</v>
      </c>
      <c r="I926" t="s">
        <v>20</v>
      </c>
      <c r="J926" t="s">
        <v>19</v>
      </c>
      <c r="K926">
        <v>1.827515</v>
      </c>
      <c r="L926" t="s">
        <v>19</v>
      </c>
      <c r="M926">
        <v>0.48020600000000002</v>
      </c>
      <c r="N926">
        <v>0</v>
      </c>
      <c r="O926" t="s">
        <v>20</v>
      </c>
      <c r="P926" t="s">
        <v>28</v>
      </c>
      <c r="Q926" t="s">
        <v>26</v>
      </c>
    </row>
    <row r="927" spans="1:17" x14ac:dyDescent="0.2">
      <c r="A927" t="s">
        <v>17</v>
      </c>
      <c r="B927">
        <v>31.166571999999999</v>
      </c>
      <c r="C927">
        <v>1.680858</v>
      </c>
      <c r="D927">
        <v>71.813379999999995</v>
      </c>
      <c r="E927" t="s">
        <v>18</v>
      </c>
      <c r="F927" t="s">
        <v>18</v>
      </c>
      <c r="G927">
        <v>2.048216</v>
      </c>
      <c r="H927">
        <v>3</v>
      </c>
      <c r="I927" t="s">
        <v>20</v>
      </c>
      <c r="J927" t="s">
        <v>19</v>
      </c>
      <c r="K927">
        <v>1.3058160000000001</v>
      </c>
      <c r="L927" t="s">
        <v>19</v>
      </c>
      <c r="M927">
        <v>0.17045199999999999</v>
      </c>
      <c r="N927">
        <v>0.276806</v>
      </c>
      <c r="O927" t="s">
        <v>20</v>
      </c>
      <c r="P927" t="s">
        <v>28</v>
      </c>
      <c r="Q927" t="s">
        <v>26</v>
      </c>
    </row>
    <row r="928" spans="1:17" x14ac:dyDescent="0.2">
      <c r="A928" t="s">
        <v>17</v>
      </c>
      <c r="B928">
        <v>20.534606</v>
      </c>
      <c r="C928">
        <v>1.758372</v>
      </c>
      <c r="D928">
        <v>79.469513000000006</v>
      </c>
      <c r="E928" t="s">
        <v>18</v>
      </c>
      <c r="F928" t="s">
        <v>18</v>
      </c>
      <c r="G928">
        <v>2.8557000000000001</v>
      </c>
      <c r="H928">
        <v>1</v>
      </c>
      <c r="I928" t="s">
        <v>20</v>
      </c>
      <c r="J928" t="s">
        <v>19</v>
      </c>
      <c r="K928">
        <v>2.6638609999999998</v>
      </c>
      <c r="L928" t="s">
        <v>19</v>
      </c>
      <c r="M928">
        <v>2.7627109999999999</v>
      </c>
      <c r="N928">
        <v>0.78333600000000003</v>
      </c>
      <c r="O928" t="s">
        <v>20</v>
      </c>
      <c r="P928" t="s">
        <v>21</v>
      </c>
      <c r="Q928" t="s">
        <v>26</v>
      </c>
    </row>
    <row r="929" spans="1:17" x14ac:dyDescent="0.2">
      <c r="A929" t="s">
        <v>23</v>
      </c>
      <c r="B929">
        <v>19.97166</v>
      </c>
      <c r="C929">
        <v>1.822573</v>
      </c>
      <c r="D929">
        <v>85.084363999999994</v>
      </c>
      <c r="E929" t="s">
        <v>18</v>
      </c>
      <c r="F929" t="s">
        <v>18</v>
      </c>
      <c r="G929">
        <v>2.9955989999999999</v>
      </c>
      <c r="H929">
        <v>3.0956630000000001</v>
      </c>
      <c r="I929" t="s">
        <v>20</v>
      </c>
      <c r="J929" t="s">
        <v>19</v>
      </c>
      <c r="K929">
        <v>2.5681569999999998</v>
      </c>
      <c r="L929" t="s">
        <v>19</v>
      </c>
      <c r="M929">
        <v>2.7242999999999999</v>
      </c>
      <c r="N929">
        <v>0.330457</v>
      </c>
      <c r="O929" t="s">
        <v>20</v>
      </c>
      <c r="P929" t="s">
        <v>21</v>
      </c>
      <c r="Q929" t="s">
        <v>26</v>
      </c>
    </row>
    <row r="930" spans="1:17" x14ac:dyDescent="0.2">
      <c r="A930" t="s">
        <v>23</v>
      </c>
      <c r="B930">
        <v>19.626999999999999</v>
      </c>
      <c r="C930">
        <v>1.8154090000000001</v>
      </c>
      <c r="D930">
        <v>85.302145999999993</v>
      </c>
      <c r="E930" t="s">
        <v>18</v>
      </c>
      <c r="F930" t="s">
        <v>18</v>
      </c>
      <c r="G930">
        <v>2.9871479999999999</v>
      </c>
      <c r="H930">
        <v>3.4834489999999998</v>
      </c>
      <c r="I930" t="s">
        <v>20</v>
      </c>
      <c r="J930" t="s">
        <v>19</v>
      </c>
      <c r="K930">
        <v>2.3592460000000002</v>
      </c>
      <c r="L930" t="s">
        <v>19</v>
      </c>
      <c r="M930">
        <v>2.0604149999999999</v>
      </c>
      <c r="N930">
        <v>0.59899899999999995</v>
      </c>
      <c r="O930" t="s">
        <v>20</v>
      </c>
      <c r="P930" t="s">
        <v>21</v>
      </c>
      <c r="Q930" t="s">
        <v>26</v>
      </c>
    </row>
    <row r="931" spans="1:17" x14ac:dyDescent="0.2">
      <c r="A931" t="s">
        <v>23</v>
      </c>
      <c r="B931">
        <v>21.929386999999998</v>
      </c>
      <c r="C931">
        <v>1.6980489999999999</v>
      </c>
      <c r="D931">
        <v>75</v>
      </c>
      <c r="E931" t="s">
        <v>18</v>
      </c>
      <c r="F931" t="s">
        <v>18</v>
      </c>
      <c r="G931">
        <v>2</v>
      </c>
      <c r="H931">
        <v>3</v>
      </c>
      <c r="I931" t="s">
        <v>20</v>
      </c>
      <c r="J931" t="s">
        <v>19</v>
      </c>
      <c r="K931">
        <v>2.7635730000000001</v>
      </c>
      <c r="L931" t="s">
        <v>19</v>
      </c>
      <c r="M931">
        <v>1.5027109999999999</v>
      </c>
      <c r="N931">
        <v>0.12787899999999999</v>
      </c>
      <c r="O931" t="s">
        <v>20</v>
      </c>
      <c r="P931" t="s">
        <v>21</v>
      </c>
      <c r="Q931" t="s">
        <v>26</v>
      </c>
    </row>
    <row r="932" spans="1:17" x14ac:dyDescent="0.2">
      <c r="A932" t="s">
        <v>17</v>
      </c>
      <c r="B932">
        <v>21.009436999999998</v>
      </c>
      <c r="C932">
        <v>1.6068100000000001</v>
      </c>
      <c r="D932">
        <v>67.773914000000005</v>
      </c>
      <c r="E932" t="s">
        <v>18</v>
      </c>
      <c r="F932" t="s">
        <v>18</v>
      </c>
      <c r="G932">
        <v>2</v>
      </c>
      <c r="H932">
        <v>3.1563089999999998</v>
      </c>
      <c r="I932" t="s">
        <v>19</v>
      </c>
      <c r="J932" t="s">
        <v>19</v>
      </c>
      <c r="K932">
        <v>3</v>
      </c>
      <c r="L932" t="s">
        <v>19</v>
      </c>
      <c r="M932">
        <v>1.179592</v>
      </c>
      <c r="N932">
        <v>8.6868000000000001E-2</v>
      </c>
      <c r="O932" t="s">
        <v>20</v>
      </c>
      <c r="P932" t="s">
        <v>21</v>
      </c>
      <c r="Q932" t="s">
        <v>26</v>
      </c>
    </row>
    <row r="933" spans="1:17" x14ac:dyDescent="0.2">
      <c r="A933" t="s">
        <v>17</v>
      </c>
      <c r="B933">
        <v>21.538225000000001</v>
      </c>
      <c r="C933">
        <v>1.6103270000000001</v>
      </c>
      <c r="D933">
        <v>67.999778000000006</v>
      </c>
      <c r="E933" t="s">
        <v>18</v>
      </c>
      <c r="F933" t="s">
        <v>18</v>
      </c>
      <c r="G933">
        <v>1.8879509999999999</v>
      </c>
      <c r="H933">
        <v>3.7283770000000001</v>
      </c>
      <c r="I933" t="s">
        <v>19</v>
      </c>
      <c r="J933" t="s">
        <v>19</v>
      </c>
      <c r="K933">
        <v>2.6821069999999998</v>
      </c>
      <c r="L933" t="s">
        <v>19</v>
      </c>
      <c r="M933">
        <v>1.123931</v>
      </c>
      <c r="N933">
        <v>0.49252800000000002</v>
      </c>
      <c r="O933" t="s">
        <v>20</v>
      </c>
      <c r="P933" t="s">
        <v>21</v>
      </c>
      <c r="Q933" t="s">
        <v>26</v>
      </c>
    </row>
    <row r="934" spans="1:17" x14ac:dyDescent="0.2">
      <c r="A934" t="s">
        <v>23</v>
      </c>
      <c r="B934">
        <v>22.828434999999999</v>
      </c>
      <c r="C934">
        <v>1.710415</v>
      </c>
      <c r="D934">
        <v>75.142858000000004</v>
      </c>
      <c r="E934" t="s">
        <v>18</v>
      </c>
      <c r="F934" t="s">
        <v>18</v>
      </c>
      <c r="G934">
        <v>2.7860079999999998</v>
      </c>
      <c r="H934">
        <v>3</v>
      </c>
      <c r="I934" t="s">
        <v>20</v>
      </c>
      <c r="J934" t="s">
        <v>19</v>
      </c>
      <c r="K934">
        <v>2.5261930000000001</v>
      </c>
      <c r="L934" t="s">
        <v>19</v>
      </c>
      <c r="M934">
        <v>0.925118</v>
      </c>
      <c r="N934">
        <v>2</v>
      </c>
      <c r="O934" t="s">
        <v>20</v>
      </c>
      <c r="P934" t="s">
        <v>21</v>
      </c>
      <c r="Q934" t="s">
        <v>26</v>
      </c>
    </row>
    <row r="935" spans="1:17" x14ac:dyDescent="0.2">
      <c r="A935" t="s">
        <v>23</v>
      </c>
      <c r="B935">
        <v>22.814657</v>
      </c>
      <c r="C935">
        <v>1.716289</v>
      </c>
      <c r="D935">
        <v>75.688433000000003</v>
      </c>
      <c r="E935" t="s">
        <v>18</v>
      </c>
      <c r="F935" t="s">
        <v>18</v>
      </c>
      <c r="G935">
        <v>2</v>
      </c>
      <c r="H935">
        <v>3</v>
      </c>
      <c r="I935" t="s">
        <v>20</v>
      </c>
      <c r="J935" t="s">
        <v>19</v>
      </c>
      <c r="K935">
        <v>2</v>
      </c>
      <c r="L935" t="s">
        <v>19</v>
      </c>
      <c r="M935">
        <v>9.2343999999999996E-2</v>
      </c>
      <c r="N935">
        <v>1.466496</v>
      </c>
      <c r="O935" t="s">
        <v>20</v>
      </c>
      <c r="P935" t="s">
        <v>21</v>
      </c>
      <c r="Q935" t="s">
        <v>26</v>
      </c>
    </row>
    <row r="936" spans="1:17" x14ac:dyDescent="0.2">
      <c r="A936" t="s">
        <v>23</v>
      </c>
      <c r="B936">
        <v>19.576682000000002</v>
      </c>
      <c r="C936">
        <v>1.8347150000000001</v>
      </c>
      <c r="D936">
        <v>89.429198999999997</v>
      </c>
      <c r="E936" t="s">
        <v>18</v>
      </c>
      <c r="F936" t="s">
        <v>18</v>
      </c>
      <c r="G936">
        <v>2.3423229999999999</v>
      </c>
      <c r="H936">
        <v>3.6088499999999999</v>
      </c>
      <c r="I936" t="s">
        <v>20</v>
      </c>
      <c r="J936" t="s">
        <v>19</v>
      </c>
      <c r="K936">
        <v>2.8788659999999999</v>
      </c>
      <c r="L936" t="s">
        <v>19</v>
      </c>
      <c r="M936">
        <v>2</v>
      </c>
      <c r="N936">
        <v>0.20832300000000001</v>
      </c>
      <c r="O936" t="s">
        <v>20</v>
      </c>
      <c r="P936" t="s">
        <v>21</v>
      </c>
      <c r="Q936" t="s">
        <v>26</v>
      </c>
    </row>
    <row r="937" spans="1:17" x14ac:dyDescent="0.2">
      <c r="A937" t="s">
        <v>17</v>
      </c>
      <c r="B937">
        <v>21.814653</v>
      </c>
      <c r="C937">
        <v>1.6118220000000001</v>
      </c>
      <c r="D937">
        <v>67.140366999999998</v>
      </c>
      <c r="E937" t="s">
        <v>18</v>
      </c>
      <c r="F937" t="s">
        <v>18</v>
      </c>
      <c r="G937">
        <v>1.874935</v>
      </c>
      <c r="H937">
        <v>3.3703620000000001</v>
      </c>
      <c r="I937" t="s">
        <v>20</v>
      </c>
      <c r="J937" t="s">
        <v>19</v>
      </c>
      <c r="K937">
        <v>2.558773</v>
      </c>
      <c r="L937" t="s">
        <v>19</v>
      </c>
      <c r="M937">
        <v>1.206121</v>
      </c>
      <c r="N937">
        <v>0.27102399999999999</v>
      </c>
      <c r="O937" t="s">
        <v>20</v>
      </c>
      <c r="P937" t="s">
        <v>21</v>
      </c>
      <c r="Q937" t="s">
        <v>26</v>
      </c>
    </row>
    <row r="938" spans="1:17" x14ac:dyDescent="0.2">
      <c r="A938" t="s">
        <v>17</v>
      </c>
      <c r="B938">
        <v>21.979769000000001</v>
      </c>
      <c r="C938">
        <v>1.6</v>
      </c>
      <c r="D938">
        <v>66.126964000000001</v>
      </c>
      <c r="E938" t="s">
        <v>18</v>
      </c>
      <c r="F938" t="s">
        <v>18</v>
      </c>
      <c r="G938">
        <v>2.2131349999999999</v>
      </c>
      <c r="H938">
        <v>3</v>
      </c>
      <c r="I938" t="s">
        <v>20</v>
      </c>
      <c r="J938" t="s">
        <v>19</v>
      </c>
      <c r="K938">
        <v>2.0467659999999999</v>
      </c>
      <c r="L938" t="s">
        <v>19</v>
      </c>
      <c r="M938">
        <v>2.1725460000000001</v>
      </c>
      <c r="N938">
        <v>0</v>
      </c>
      <c r="O938" t="s">
        <v>20</v>
      </c>
      <c r="P938" t="s">
        <v>21</v>
      </c>
      <c r="Q938" t="s">
        <v>26</v>
      </c>
    </row>
    <row r="939" spans="1:17" x14ac:dyDescent="0.2">
      <c r="A939" t="s">
        <v>17</v>
      </c>
      <c r="B939">
        <v>21</v>
      </c>
      <c r="C939">
        <v>1.7535780000000001</v>
      </c>
      <c r="D939">
        <v>77.979169999999996</v>
      </c>
      <c r="E939" t="s">
        <v>18</v>
      </c>
      <c r="F939" t="s">
        <v>18</v>
      </c>
      <c r="G939">
        <v>2.2735479999999999</v>
      </c>
      <c r="H939">
        <v>2.3900700000000001</v>
      </c>
      <c r="I939" t="s">
        <v>20</v>
      </c>
      <c r="J939" t="s">
        <v>19</v>
      </c>
      <c r="K939">
        <v>1.648404</v>
      </c>
      <c r="L939" t="s">
        <v>19</v>
      </c>
      <c r="M939">
        <v>0.87464299999999995</v>
      </c>
      <c r="N939">
        <v>1.1026959999999999</v>
      </c>
      <c r="O939" t="s">
        <v>20</v>
      </c>
      <c r="P939" t="s">
        <v>21</v>
      </c>
      <c r="Q939" t="s">
        <v>26</v>
      </c>
    </row>
    <row r="940" spans="1:17" x14ac:dyDescent="0.2">
      <c r="A940" t="s">
        <v>17</v>
      </c>
      <c r="B940">
        <v>21.028500000000001</v>
      </c>
      <c r="C940">
        <v>1.742364</v>
      </c>
      <c r="D940">
        <v>78.664618000000004</v>
      </c>
      <c r="E940" t="s">
        <v>18</v>
      </c>
      <c r="F940" t="s">
        <v>18</v>
      </c>
      <c r="G940">
        <v>2.7806989999999998</v>
      </c>
      <c r="H940">
        <v>1.101404</v>
      </c>
      <c r="I940" t="s">
        <v>20</v>
      </c>
      <c r="J940" t="s">
        <v>19</v>
      </c>
      <c r="K940">
        <v>1.579207</v>
      </c>
      <c r="L940" t="s">
        <v>19</v>
      </c>
      <c r="M940">
        <v>1.153775</v>
      </c>
      <c r="N940">
        <v>0</v>
      </c>
      <c r="O940" t="s">
        <v>20</v>
      </c>
      <c r="P940" t="s">
        <v>21</v>
      </c>
      <c r="Q940" t="s">
        <v>26</v>
      </c>
    </row>
    <row r="941" spans="1:17" x14ac:dyDescent="0.2">
      <c r="A941" t="s">
        <v>23</v>
      </c>
      <c r="B941">
        <v>18.721041</v>
      </c>
      <c r="C941">
        <v>1.7756259999999999</v>
      </c>
      <c r="D941">
        <v>80.113493000000005</v>
      </c>
      <c r="E941" t="s">
        <v>18</v>
      </c>
      <c r="F941" t="s">
        <v>18</v>
      </c>
      <c r="G941">
        <v>1.6875690000000001</v>
      </c>
      <c r="H941">
        <v>2.756405</v>
      </c>
      <c r="I941" t="s">
        <v>20</v>
      </c>
      <c r="J941" t="s">
        <v>19</v>
      </c>
      <c r="K941">
        <v>2.0791309999999998</v>
      </c>
      <c r="L941" t="s">
        <v>19</v>
      </c>
      <c r="M941">
        <v>2.931527</v>
      </c>
      <c r="N941">
        <v>0.68172999999999995</v>
      </c>
      <c r="O941" t="s">
        <v>19</v>
      </c>
      <c r="P941" t="s">
        <v>21</v>
      </c>
      <c r="Q941" t="s">
        <v>26</v>
      </c>
    </row>
    <row r="942" spans="1:17" x14ac:dyDescent="0.2">
      <c r="A942" t="s">
        <v>23</v>
      </c>
      <c r="B942">
        <v>21</v>
      </c>
      <c r="C942">
        <v>1.714253</v>
      </c>
      <c r="D942">
        <v>75</v>
      </c>
      <c r="E942" t="s">
        <v>18</v>
      </c>
      <c r="F942" t="s">
        <v>18</v>
      </c>
      <c r="G942">
        <v>2</v>
      </c>
      <c r="H942">
        <v>3</v>
      </c>
      <c r="I942" t="s">
        <v>20</v>
      </c>
      <c r="J942" t="s">
        <v>19</v>
      </c>
      <c r="K942">
        <v>1.0815969999999999</v>
      </c>
      <c r="L942" t="s">
        <v>19</v>
      </c>
      <c r="M942">
        <v>1</v>
      </c>
      <c r="N942">
        <v>0</v>
      </c>
      <c r="O942" t="s">
        <v>20</v>
      </c>
      <c r="P942" t="s">
        <v>21</v>
      </c>
      <c r="Q942" t="s">
        <v>26</v>
      </c>
    </row>
    <row r="943" spans="1:17" x14ac:dyDescent="0.2">
      <c r="A943" t="s">
        <v>23</v>
      </c>
      <c r="B943">
        <v>21</v>
      </c>
      <c r="C943">
        <v>1.6936279999999999</v>
      </c>
      <c r="D943">
        <v>75</v>
      </c>
      <c r="E943" t="s">
        <v>18</v>
      </c>
      <c r="F943" t="s">
        <v>18</v>
      </c>
      <c r="G943">
        <v>2</v>
      </c>
      <c r="H943">
        <v>3</v>
      </c>
      <c r="I943" t="s">
        <v>20</v>
      </c>
      <c r="J943" t="s">
        <v>19</v>
      </c>
      <c r="K943">
        <v>1.8330550000000001</v>
      </c>
      <c r="L943" t="s">
        <v>19</v>
      </c>
      <c r="M943">
        <v>1</v>
      </c>
      <c r="N943">
        <v>0</v>
      </c>
      <c r="O943" t="s">
        <v>20</v>
      </c>
      <c r="P943" t="s">
        <v>21</v>
      </c>
      <c r="Q943" t="s">
        <v>26</v>
      </c>
    </row>
    <row r="944" spans="1:17" x14ac:dyDescent="0.2">
      <c r="A944" t="s">
        <v>17</v>
      </c>
      <c r="B944">
        <v>29.463168</v>
      </c>
      <c r="C944">
        <v>1.6591720000000001</v>
      </c>
      <c r="D944">
        <v>71.170000999999999</v>
      </c>
      <c r="E944" t="s">
        <v>18</v>
      </c>
      <c r="F944" t="s">
        <v>18</v>
      </c>
      <c r="G944">
        <v>2</v>
      </c>
      <c r="H944">
        <v>3</v>
      </c>
      <c r="I944" t="s">
        <v>20</v>
      </c>
      <c r="J944" t="s">
        <v>19</v>
      </c>
      <c r="K944">
        <v>1.2816829999999999</v>
      </c>
      <c r="L944" t="s">
        <v>19</v>
      </c>
      <c r="M944">
        <v>1.609801</v>
      </c>
      <c r="N944">
        <v>0</v>
      </c>
      <c r="O944" t="s">
        <v>20</v>
      </c>
      <c r="P944" t="s">
        <v>28</v>
      </c>
      <c r="Q944" t="s">
        <v>26</v>
      </c>
    </row>
    <row r="945" spans="1:17" x14ac:dyDescent="0.2">
      <c r="A945" t="s">
        <v>23</v>
      </c>
      <c r="B945">
        <v>24.284860999999999</v>
      </c>
      <c r="C945">
        <v>1.7763469999999999</v>
      </c>
      <c r="D945">
        <v>82.329047000000003</v>
      </c>
      <c r="E945" t="s">
        <v>18</v>
      </c>
      <c r="F945" t="s">
        <v>18</v>
      </c>
      <c r="G945">
        <v>1.989905</v>
      </c>
      <c r="H945">
        <v>3.0548989999999998</v>
      </c>
      <c r="I945" t="s">
        <v>20</v>
      </c>
      <c r="J945" t="s">
        <v>19</v>
      </c>
      <c r="K945">
        <v>2.0809679999999999</v>
      </c>
      <c r="L945" t="s">
        <v>19</v>
      </c>
      <c r="M945">
        <v>1.1075429999999999</v>
      </c>
      <c r="N945">
        <v>0.93972599999999995</v>
      </c>
      <c r="O945" t="s">
        <v>19</v>
      </c>
      <c r="P945" t="s">
        <v>21</v>
      </c>
      <c r="Q945" t="s">
        <v>26</v>
      </c>
    </row>
    <row r="946" spans="1:17" x14ac:dyDescent="0.2">
      <c r="A946" t="s">
        <v>23</v>
      </c>
      <c r="B946">
        <v>26.288416999999999</v>
      </c>
      <c r="C946">
        <v>1.767806</v>
      </c>
      <c r="D946">
        <v>82.694688999999997</v>
      </c>
      <c r="E946" t="s">
        <v>18</v>
      </c>
      <c r="F946" t="s">
        <v>18</v>
      </c>
      <c r="G946">
        <v>1.9474050000000001</v>
      </c>
      <c r="H946">
        <v>3.1180129999999999</v>
      </c>
      <c r="I946" t="s">
        <v>20</v>
      </c>
      <c r="J946" t="s">
        <v>19</v>
      </c>
      <c r="K946">
        <v>2.1361590000000001</v>
      </c>
      <c r="L946" t="s">
        <v>19</v>
      </c>
      <c r="M946">
        <v>0.78396299999999997</v>
      </c>
      <c r="N946">
        <v>0.88868000000000003</v>
      </c>
      <c r="O946" t="s">
        <v>19</v>
      </c>
      <c r="P946" t="s">
        <v>21</v>
      </c>
      <c r="Q946" t="s">
        <v>26</v>
      </c>
    </row>
    <row r="947" spans="1:17" x14ac:dyDescent="0.2">
      <c r="A947" t="s">
        <v>23</v>
      </c>
      <c r="B947">
        <v>23.455324000000001</v>
      </c>
      <c r="C947">
        <v>1.7025159999999999</v>
      </c>
      <c r="D947">
        <v>75</v>
      </c>
      <c r="E947" t="s">
        <v>18</v>
      </c>
      <c r="F947" t="s">
        <v>18</v>
      </c>
      <c r="G947">
        <v>2.1625190000000001</v>
      </c>
      <c r="H947">
        <v>3</v>
      </c>
      <c r="I947" t="s">
        <v>20</v>
      </c>
      <c r="J947" t="s">
        <v>19</v>
      </c>
      <c r="K947">
        <v>2.152666</v>
      </c>
      <c r="L947" t="s">
        <v>19</v>
      </c>
      <c r="M947">
        <v>1.078074</v>
      </c>
      <c r="N947">
        <v>1.502839</v>
      </c>
      <c r="O947" t="s">
        <v>20</v>
      </c>
      <c r="P947" t="s">
        <v>21</v>
      </c>
      <c r="Q947" t="s">
        <v>26</v>
      </c>
    </row>
    <row r="948" spans="1:17" x14ac:dyDescent="0.2">
      <c r="A948" t="s">
        <v>23</v>
      </c>
      <c r="B948">
        <v>19.637203</v>
      </c>
      <c r="C948">
        <v>1.814182</v>
      </c>
      <c r="D948">
        <v>85.301029</v>
      </c>
      <c r="E948" t="s">
        <v>18</v>
      </c>
      <c r="F948" t="s">
        <v>18</v>
      </c>
      <c r="G948">
        <v>2.9239160000000002</v>
      </c>
      <c r="H948">
        <v>3.3358759999999998</v>
      </c>
      <c r="I948" t="s">
        <v>20</v>
      </c>
      <c r="J948" t="s">
        <v>19</v>
      </c>
      <c r="K948">
        <v>2.3724440000000002</v>
      </c>
      <c r="L948" t="s">
        <v>19</v>
      </c>
      <c r="M948">
        <v>1.305633</v>
      </c>
      <c r="N948">
        <v>0.31143599999999999</v>
      </c>
      <c r="O948" t="s">
        <v>20</v>
      </c>
      <c r="P948" t="s">
        <v>21</v>
      </c>
      <c r="Q948" t="s">
        <v>26</v>
      </c>
    </row>
    <row r="949" spans="1:17" x14ac:dyDescent="0.2">
      <c r="A949" t="s">
        <v>17</v>
      </c>
      <c r="B949">
        <v>22.239836</v>
      </c>
      <c r="C949">
        <v>1.5999399999999999</v>
      </c>
      <c r="D949">
        <v>65.423941999999997</v>
      </c>
      <c r="E949" t="s">
        <v>19</v>
      </c>
      <c r="F949" t="s">
        <v>18</v>
      </c>
      <c r="G949">
        <v>2.9944799999999998</v>
      </c>
      <c r="H949">
        <v>3</v>
      </c>
      <c r="I949" t="s">
        <v>20</v>
      </c>
      <c r="J949" t="s">
        <v>19</v>
      </c>
      <c r="K949">
        <v>1.7065680000000001</v>
      </c>
      <c r="L949" t="s">
        <v>19</v>
      </c>
      <c r="M949">
        <v>0.78421600000000002</v>
      </c>
      <c r="N949">
        <v>0.15096899999999999</v>
      </c>
      <c r="O949" t="s">
        <v>20</v>
      </c>
      <c r="P949" t="s">
        <v>21</v>
      </c>
      <c r="Q949" t="s">
        <v>26</v>
      </c>
    </row>
    <row r="950" spans="1:17" x14ac:dyDescent="0.2">
      <c r="A950" t="s">
        <v>17</v>
      </c>
      <c r="B950">
        <v>31.626380000000001</v>
      </c>
      <c r="C950">
        <v>1.666023</v>
      </c>
      <c r="D950">
        <v>72.906186000000005</v>
      </c>
      <c r="E950" t="s">
        <v>18</v>
      </c>
      <c r="F950" t="s">
        <v>18</v>
      </c>
      <c r="G950">
        <v>2</v>
      </c>
      <c r="H950">
        <v>3</v>
      </c>
      <c r="I950" t="s">
        <v>20</v>
      </c>
      <c r="J950" t="s">
        <v>19</v>
      </c>
      <c r="K950">
        <v>1</v>
      </c>
      <c r="L950" t="s">
        <v>19</v>
      </c>
      <c r="M950">
        <v>0</v>
      </c>
      <c r="N950">
        <v>1.301385</v>
      </c>
      <c r="O950" t="s">
        <v>20</v>
      </c>
      <c r="P950" t="s">
        <v>28</v>
      </c>
      <c r="Q950" t="s">
        <v>26</v>
      </c>
    </row>
    <row r="951" spans="1:17" x14ac:dyDescent="0.2">
      <c r="A951" t="s">
        <v>23</v>
      </c>
      <c r="B951">
        <v>23</v>
      </c>
      <c r="C951">
        <v>1.701584</v>
      </c>
      <c r="D951">
        <v>75.093569000000002</v>
      </c>
      <c r="E951" t="s">
        <v>18</v>
      </c>
      <c r="F951" t="s">
        <v>18</v>
      </c>
      <c r="G951">
        <v>3</v>
      </c>
      <c r="H951">
        <v>3.205009</v>
      </c>
      <c r="I951" t="s">
        <v>20</v>
      </c>
      <c r="J951" t="s">
        <v>19</v>
      </c>
      <c r="K951">
        <v>2.6434679999999999</v>
      </c>
      <c r="L951" t="s">
        <v>19</v>
      </c>
      <c r="M951">
        <v>0.99803900000000001</v>
      </c>
      <c r="N951">
        <v>1.898139</v>
      </c>
      <c r="O951" t="s">
        <v>20</v>
      </c>
      <c r="P951" t="s">
        <v>21</v>
      </c>
      <c r="Q951" t="s">
        <v>26</v>
      </c>
    </row>
    <row r="952" spans="1:17" x14ac:dyDescent="0.2">
      <c r="A952" t="s">
        <v>23</v>
      </c>
      <c r="B952">
        <v>22.874658</v>
      </c>
      <c r="C952">
        <v>1.7133430000000001</v>
      </c>
      <c r="D952">
        <v>75.828119000000001</v>
      </c>
      <c r="E952" t="s">
        <v>18</v>
      </c>
      <c r="F952" t="s">
        <v>18</v>
      </c>
      <c r="G952">
        <v>2.507841</v>
      </c>
      <c r="H952">
        <v>3.6481940000000002</v>
      </c>
      <c r="I952" t="s">
        <v>20</v>
      </c>
      <c r="J952" t="s">
        <v>19</v>
      </c>
      <c r="K952">
        <v>1.2797559999999999</v>
      </c>
      <c r="L952" t="s">
        <v>19</v>
      </c>
      <c r="M952">
        <v>0.132629</v>
      </c>
      <c r="N952">
        <v>1.8275300000000001</v>
      </c>
      <c r="O952" t="s">
        <v>20</v>
      </c>
      <c r="P952" t="s">
        <v>21</v>
      </c>
      <c r="Q952" t="s">
        <v>26</v>
      </c>
    </row>
    <row r="953" spans="1:17" x14ac:dyDescent="0.2">
      <c r="A953" t="s">
        <v>17</v>
      </c>
      <c r="B953">
        <v>17.420269000000001</v>
      </c>
      <c r="C953">
        <v>1.489409</v>
      </c>
      <c r="D953">
        <v>53.620604</v>
      </c>
      <c r="E953" t="s">
        <v>19</v>
      </c>
      <c r="F953" t="s">
        <v>18</v>
      </c>
      <c r="G953">
        <v>1.836554</v>
      </c>
      <c r="H953">
        <v>1.865238</v>
      </c>
      <c r="I953" t="s">
        <v>20</v>
      </c>
      <c r="J953" t="s">
        <v>19</v>
      </c>
      <c r="K953">
        <v>2</v>
      </c>
      <c r="L953" t="s">
        <v>18</v>
      </c>
      <c r="M953">
        <v>0.32020900000000002</v>
      </c>
      <c r="N953">
        <v>1.9695069999999999</v>
      </c>
      <c r="O953" t="s">
        <v>20</v>
      </c>
      <c r="P953" t="s">
        <v>21</v>
      </c>
      <c r="Q953" t="s">
        <v>26</v>
      </c>
    </row>
    <row r="954" spans="1:17" x14ac:dyDescent="0.2">
      <c r="A954" t="s">
        <v>17</v>
      </c>
      <c r="B954">
        <v>17.807828000000001</v>
      </c>
      <c r="C954">
        <v>1.5180670000000001</v>
      </c>
      <c r="D954">
        <v>55.822119000000001</v>
      </c>
      <c r="E954" t="s">
        <v>19</v>
      </c>
      <c r="F954" t="s">
        <v>18</v>
      </c>
      <c r="G954">
        <v>1.7732650000000001</v>
      </c>
      <c r="H954">
        <v>2.118153</v>
      </c>
      <c r="I954" t="s">
        <v>20</v>
      </c>
      <c r="J954" t="s">
        <v>19</v>
      </c>
      <c r="K954">
        <v>1.0752390000000001</v>
      </c>
      <c r="L954" t="s">
        <v>18</v>
      </c>
      <c r="M954">
        <v>8.5388000000000006E-2</v>
      </c>
      <c r="N954">
        <v>1.9151910000000001</v>
      </c>
      <c r="O954" t="s">
        <v>20</v>
      </c>
      <c r="P954" t="s">
        <v>21</v>
      </c>
      <c r="Q954" t="s">
        <v>26</v>
      </c>
    </row>
    <row r="955" spans="1:17" x14ac:dyDescent="0.2">
      <c r="A955" t="s">
        <v>17</v>
      </c>
      <c r="B955">
        <v>16.240576000000001</v>
      </c>
      <c r="C955">
        <v>1.616533</v>
      </c>
      <c r="D955">
        <v>65.062944999999999</v>
      </c>
      <c r="E955" t="s">
        <v>18</v>
      </c>
      <c r="F955" t="s">
        <v>18</v>
      </c>
      <c r="G955">
        <v>2.3881679999999998</v>
      </c>
      <c r="H955">
        <v>1</v>
      </c>
      <c r="I955" t="s">
        <v>20</v>
      </c>
      <c r="J955" t="s">
        <v>19</v>
      </c>
      <c r="K955">
        <v>1.438018</v>
      </c>
      <c r="L955" t="s">
        <v>18</v>
      </c>
      <c r="M955">
        <v>0.110887</v>
      </c>
      <c r="N955">
        <v>1.1658170000000001</v>
      </c>
      <c r="O955" t="s">
        <v>19</v>
      </c>
      <c r="P955" t="s">
        <v>21</v>
      </c>
      <c r="Q955" t="s">
        <v>26</v>
      </c>
    </row>
    <row r="956" spans="1:17" x14ac:dyDescent="0.2">
      <c r="A956" t="s">
        <v>17</v>
      </c>
      <c r="B956">
        <v>23.252457</v>
      </c>
      <c r="C956">
        <v>1.5896159999999999</v>
      </c>
      <c r="D956">
        <v>65.127324000000002</v>
      </c>
      <c r="E956" t="s">
        <v>19</v>
      </c>
      <c r="F956" t="s">
        <v>18</v>
      </c>
      <c r="G956">
        <v>2.286146</v>
      </c>
      <c r="H956">
        <v>2.9611130000000001</v>
      </c>
      <c r="I956" t="s">
        <v>20</v>
      </c>
      <c r="J956" t="s">
        <v>19</v>
      </c>
      <c r="K956">
        <v>2.6573030000000002</v>
      </c>
      <c r="L956" t="s">
        <v>19</v>
      </c>
      <c r="M956">
        <v>1.9110799999999999</v>
      </c>
      <c r="N956">
        <v>1.6182270000000001</v>
      </c>
      <c r="O956" t="s">
        <v>20</v>
      </c>
      <c r="P956" t="s">
        <v>21</v>
      </c>
      <c r="Q956" t="s">
        <v>26</v>
      </c>
    </row>
    <row r="957" spans="1:17" x14ac:dyDescent="0.2">
      <c r="A957" t="s">
        <v>17</v>
      </c>
      <c r="B957">
        <v>34.772902000000002</v>
      </c>
      <c r="C957">
        <v>1.6756120000000001</v>
      </c>
      <c r="D957">
        <v>73.501232999999999</v>
      </c>
      <c r="E957" t="s">
        <v>18</v>
      </c>
      <c r="F957" t="s">
        <v>18</v>
      </c>
      <c r="G957">
        <v>3</v>
      </c>
      <c r="H957">
        <v>2.4009429999999998</v>
      </c>
      <c r="I957" t="s">
        <v>20</v>
      </c>
      <c r="J957" t="s">
        <v>19</v>
      </c>
      <c r="K957">
        <v>1.5097339999999999</v>
      </c>
      <c r="L957" t="s">
        <v>19</v>
      </c>
      <c r="M957">
        <v>0.167125</v>
      </c>
      <c r="N957">
        <v>0</v>
      </c>
      <c r="O957" t="s">
        <v>20</v>
      </c>
      <c r="P957" t="s">
        <v>28</v>
      </c>
      <c r="Q957" t="s">
        <v>26</v>
      </c>
    </row>
    <row r="958" spans="1:17" x14ac:dyDescent="0.2">
      <c r="A958" t="s">
        <v>23</v>
      </c>
      <c r="B958">
        <v>22.766227000000001</v>
      </c>
      <c r="C958">
        <v>1.874061</v>
      </c>
      <c r="D958">
        <v>89.754301999999996</v>
      </c>
      <c r="E958" t="s">
        <v>18</v>
      </c>
      <c r="F958" t="s">
        <v>18</v>
      </c>
      <c r="G958">
        <v>2</v>
      </c>
      <c r="H958">
        <v>2.8700049999999999</v>
      </c>
      <c r="I958" t="s">
        <v>20</v>
      </c>
      <c r="J958" t="s">
        <v>19</v>
      </c>
      <c r="K958">
        <v>1.1503099999999999</v>
      </c>
      <c r="L958" t="s">
        <v>19</v>
      </c>
      <c r="M958">
        <v>0.41772399999999998</v>
      </c>
      <c r="N958">
        <v>1</v>
      </c>
      <c r="O958" t="s">
        <v>20</v>
      </c>
      <c r="P958" t="s">
        <v>28</v>
      </c>
      <c r="Q958" t="s">
        <v>26</v>
      </c>
    </row>
    <row r="959" spans="1:17" x14ac:dyDescent="0.2">
      <c r="A959" t="s">
        <v>17</v>
      </c>
      <c r="B959">
        <v>39.214514000000001</v>
      </c>
      <c r="C959">
        <v>1.580765</v>
      </c>
      <c r="D959">
        <v>62.631382000000002</v>
      </c>
      <c r="E959" t="s">
        <v>18</v>
      </c>
      <c r="F959" t="s">
        <v>18</v>
      </c>
      <c r="G959">
        <v>2.4871669999999999</v>
      </c>
      <c r="H959">
        <v>3</v>
      </c>
      <c r="I959" t="s">
        <v>20</v>
      </c>
      <c r="J959" t="s">
        <v>19</v>
      </c>
      <c r="K959">
        <v>2.3969770000000001</v>
      </c>
      <c r="L959" t="s">
        <v>19</v>
      </c>
      <c r="M959">
        <v>0.57706299999999999</v>
      </c>
      <c r="N959">
        <v>0.43507200000000001</v>
      </c>
      <c r="O959" t="s">
        <v>20</v>
      </c>
      <c r="P959" t="s">
        <v>28</v>
      </c>
      <c r="Q959" t="s">
        <v>26</v>
      </c>
    </row>
    <row r="960" spans="1:17" x14ac:dyDescent="0.2">
      <c r="A960" t="s">
        <v>23</v>
      </c>
      <c r="B960">
        <v>19.858972999999999</v>
      </c>
      <c r="C960">
        <v>1.62</v>
      </c>
      <c r="D960">
        <v>69.575315000000003</v>
      </c>
      <c r="E960" t="s">
        <v>19</v>
      </c>
      <c r="F960" t="s">
        <v>18</v>
      </c>
      <c r="G960">
        <v>2.1859380000000002</v>
      </c>
      <c r="H960">
        <v>1</v>
      </c>
      <c r="I960" t="s">
        <v>19</v>
      </c>
      <c r="J960" t="s">
        <v>19</v>
      </c>
      <c r="K960">
        <v>2.8135300000000001</v>
      </c>
      <c r="L960" t="s">
        <v>19</v>
      </c>
      <c r="M960">
        <v>1</v>
      </c>
      <c r="N960">
        <v>1.110222</v>
      </c>
      <c r="O960" t="s">
        <v>20</v>
      </c>
      <c r="P960" t="s">
        <v>21</v>
      </c>
      <c r="Q960" t="s">
        <v>26</v>
      </c>
    </row>
    <row r="961" spans="1:17" x14ac:dyDescent="0.2">
      <c r="A961" t="s">
        <v>17</v>
      </c>
      <c r="B961">
        <v>16.370009</v>
      </c>
      <c r="C961">
        <v>1.6139209999999999</v>
      </c>
      <c r="D961">
        <v>66.738769000000005</v>
      </c>
      <c r="E961" t="s">
        <v>18</v>
      </c>
      <c r="F961" t="s">
        <v>18</v>
      </c>
      <c r="G961">
        <v>2.2063990000000002</v>
      </c>
      <c r="H961">
        <v>1</v>
      </c>
      <c r="I961" t="s">
        <v>20</v>
      </c>
      <c r="J961" t="s">
        <v>19</v>
      </c>
      <c r="K961">
        <v>2</v>
      </c>
      <c r="L961" t="s">
        <v>18</v>
      </c>
      <c r="M961">
        <v>0.94893000000000005</v>
      </c>
      <c r="N961">
        <v>1.7724629999999999</v>
      </c>
      <c r="O961" t="s">
        <v>19</v>
      </c>
      <c r="P961" t="s">
        <v>21</v>
      </c>
      <c r="Q961" t="s">
        <v>26</v>
      </c>
    </row>
    <row r="962" spans="1:17" x14ac:dyDescent="0.2">
      <c r="A962" t="s">
        <v>17</v>
      </c>
      <c r="B962">
        <v>17.992716999999999</v>
      </c>
      <c r="C962">
        <v>1.6186830000000001</v>
      </c>
      <c r="D962">
        <v>67.193584999999999</v>
      </c>
      <c r="E962" t="s">
        <v>18</v>
      </c>
      <c r="F962" t="s">
        <v>18</v>
      </c>
      <c r="G962">
        <v>1.952987</v>
      </c>
      <c r="H962">
        <v>1</v>
      </c>
      <c r="I962" t="s">
        <v>20</v>
      </c>
      <c r="J962" t="s">
        <v>19</v>
      </c>
      <c r="K962">
        <v>1.334856</v>
      </c>
      <c r="L962" t="s">
        <v>18</v>
      </c>
      <c r="M962">
        <v>0.73227600000000004</v>
      </c>
      <c r="N962">
        <v>1.8902140000000001</v>
      </c>
      <c r="O962" t="s">
        <v>19</v>
      </c>
      <c r="P962" t="s">
        <v>21</v>
      </c>
      <c r="Q962" t="s">
        <v>26</v>
      </c>
    </row>
    <row r="963" spans="1:17" x14ac:dyDescent="0.2">
      <c r="A963" t="s">
        <v>23</v>
      </c>
      <c r="B963">
        <v>19.179932000000001</v>
      </c>
      <c r="C963">
        <v>1.637537</v>
      </c>
      <c r="D963">
        <v>70</v>
      </c>
      <c r="E963" t="s">
        <v>18</v>
      </c>
      <c r="F963" t="s">
        <v>18</v>
      </c>
      <c r="G963">
        <v>2</v>
      </c>
      <c r="H963">
        <v>1.030416</v>
      </c>
      <c r="I963" t="s">
        <v>20</v>
      </c>
      <c r="J963" t="s">
        <v>19</v>
      </c>
      <c r="K963">
        <v>2.118716</v>
      </c>
      <c r="L963" t="s">
        <v>19</v>
      </c>
      <c r="M963">
        <v>0.52925900000000003</v>
      </c>
      <c r="N963">
        <v>0</v>
      </c>
      <c r="O963" t="s">
        <v>19</v>
      </c>
      <c r="P963" t="s">
        <v>21</v>
      </c>
      <c r="Q963" t="s">
        <v>26</v>
      </c>
    </row>
    <row r="964" spans="1:17" x14ac:dyDescent="0.2">
      <c r="A964" t="s">
        <v>17</v>
      </c>
      <c r="B964">
        <v>19.621545000000001</v>
      </c>
      <c r="C964">
        <v>1.566524</v>
      </c>
      <c r="D964">
        <v>61.616</v>
      </c>
      <c r="E964" t="s">
        <v>19</v>
      </c>
      <c r="F964" t="s">
        <v>18</v>
      </c>
      <c r="G964">
        <v>2.908757</v>
      </c>
      <c r="H964">
        <v>2.6960510000000002</v>
      </c>
      <c r="I964" t="s">
        <v>20</v>
      </c>
      <c r="J964" t="s">
        <v>19</v>
      </c>
      <c r="K964">
        <v>1.622827</v>
      </c>
      <c r="L964" t="s">
        <v>18</v>
      </c>
      <c r="M964">
        <v>0.53995199999999999</v>
      </c>
      <c r="N964">
        <v>1.096E-3</v>
      </c>
      <c r="O964" t="s">
        <v>20</v>
      </c>
      <c r="P964" t="s">
        <v>21</v>
      </c>
      <c r="Q964" t="s">
        <v>26</v>
      </c>
    </row>
    <row r="965" spans="1:17" x14ac:dyDescent="0.2">
      <c r="A965" t="s">
        <v>17</v>
      </c>
      <c r="B965">
        <v>19.755797000000001</v>
      </c>
      <c r="C965">
        <v>1.5423279999999999</v>
      </c>
      <c r="D965">
        <v>63.856192999999998</v>
      </c>
      <c r="E965" t="s">
        <v>19</v>
      </c>
      <c r="F965" t="s">
        <v>18</v>
      </c>
      <c r="G965">
        <v>2.6287910000000001</v>
      </c>
      <c r="H965">
        <v>2.762883</v>
      </c>
      <c r="I965" t="s">
        <v>20</v>
      </c>
      <c r="J965" t="s">
        <v>19</v>
      </c>
      <c r="K965">
        <v>1.512035</v>
      </c>
      <c r="L965" t="s">
        <v>18</v>
      </c>
      <c r="M965">
        <v>0.30372199999999999</v>
      </c>
      <c r="N965">
        <v>3.2290000000000001E-3</v>
      </c>
      <c r="O965" t="s">
        <v>20</v>
      </c>
      <c r="P965" t="s">
        <v>21</v>
      </c>
      <c r="Q965" t="s">
        <v>26</v>
      </c>
    </row>
    <row r="966" spans="1:17" x14ac:dyDescent="0.2">
      <c r="A966" t="s">
        <v>17</v>
      </c>
      <c r="B966">
        <v>17.099015000000001</v>
      </c>
      <c r="C966">
        <v>1.6</v>
      </c>
      <c r="D966">
        <v>65</v>
      </c>
      <c r="E966" t="s">
        <v>18</v>
      </c>
      <c r="F966" t="s">
        <v>18</v>
      </c>
      <c r="G966">
        <v>3</v>
      </c>
      <c r="H966">
        <v>2.4013409999999999</v>
      </c>
      <c r="I966" t="s">
        <v>20</v>
      </c>
      <c r="J966" t="s">
        <v>19</v>
      </c>
      <c r="K966">
        <v>2</v>
      </c>
      <c r="L966" t="s">
        <v>18</v>
      </c>
      <c r="M966">
        <v>0.66389600000000004</v>
      </c>
      <c r="N966">
        <v>1.7537450000000001</v>
      </c>
      <c r="O966" t="s">
        <v>20</v>
      </c>
      <c r="P966" t="s">
        <v>21</v>
      </c>
      <c r="Q966" t="s">
        <v>26</v>
      </c>
    </row>
    <row r="967" spans="1:17" x14ac:dyDescent="0.2">
      <c r="A967" t="s">
        <v>17</v>
      </c>
      <c r="B967">
        <v>17.258130000000001</v>
      </c>
      <c r="C967">
        <v>1.6001840000000001</v>
      </c>
      <c r="D967">
        <v>65</v>
      </c>
      <c r="E967" t="s">
        <v>18</v>
      </c>
      <c r="F967" t="s">
        <v>18</v>
      </c>
      <c r="G967">
        <v>2.7496290000000001</v>
      </c>
      <c r="H967">
        <v>2.2986119999999999</v>
      </c>
      <c r="I967" t="s">
        <v>20</v>
      </c>
      <c r="J967" t="s">
        <v>19</v>
      </c>
      <c r="K967">
        <v>2</v>
      </c>
      <c r="L967" t="s">
        <v>18</v>
      </c>
      <c r="M967">
        <v>0.54751499999999997</v>
      </c>
      <c r="N967">
        <v>1.6194729999999999</v>
      </c>
      <c r="O967" t="s">
        <v>20</v>
      </c>
      <c r="P967" t="s">
        <v>21</v>
      </c>
      <c r="Q967" t="s">
        <v>26</v>
      </c>
    </row>
    <row r="968" spans="1:17" x14ac:dyDescent="0.2">
      <c r="A968" t="s">
        <v>23</v>
      </c>
      <c r="B968">
        <v>29.153907</v>
      </c>
      <c r="C968">
        <v>1.7736559999999999</v>
      </c>
      <c r="D968">
        <v>87.070233999999999</v>
      </c>
      <c r="E968" t="s">
        <v>19</v>
      </c>
      <c r="F968" t="s">
        <v>18</v>
      </c>
      <c r="G968">
        <v>1.5957460000000001</v>
      </c>
      <c r="H968">
        <v>3.618722</v>
      </c>
      <c r="I968" t="s">
        <v>20</v>
      </c>
      <c r="J968" t="s">
        <v>19</v>
      </c>
      <c r="K968">
        <v>1.274389</v>
      </c>
      <c r="L968" t="s">
        <v>19</v>
      </c>
      <c r="M968">
        <v>1.504003</v>
      </c>
      <c r="N968">
        <v>0.37006699999999998</v>
      </c>
      <c r="O968" t="s">
        <v>19</v>
      </c>
      <c r="P968" t="s">
        <v>28</v>
      </c>
      <c r="Q968" t="s">
        <v>26</v>
      </c>
    </row>
    <row r="969" spans="1:17" x14ac:dyDescent="0.2">
      <c r="A969" t="s">
        <v>17</v>
      </c>
      <c r="B969">
        <v>32.278869</v>
      </c>
      <c r="C969">
        <v>1.64602</v>
      </c>
      <c r="D969">
        <v>74.147442999999996</v>
      </c>
      <c r="E969" t="s">
        <v>18</v>
      </c>
      <c r="F969" t="s">
        <v>18</v>
      </c>
      <c r="G969">
        <v>2.8851779999999998</v>
      </c>
      <c r="H969">
        <v>2.5628950000000001</v>
      </c>
      <c r="I969" t="s">
        <v>20</v>
      </c>
      <c r="J969" t="s">
        <v>19</v>
      </c>
      <c r="K969">
        <v>1.0170060000000001</v>
      </c>
      <c r="L969" t="s">
        <v>19</v>
      </c>
      <c r="M969">
        <v>0.588673</v>
      </c>
      <c r="N969">
        <v>0.91629099999999997</v>
      </c>
      <c r="O969" t="s">
        <v>20</v>
      </c>
      <c r="P969" t="s">
        <v>28</v>
      </c>
      <c r="Q969" t="s">
        <v>26</v>
      </c>
    </row>
    <row r="970" spans="1:17" x14ac:dyDescent="0.2">
      <c r="A970" t="s">
        <v>17</v>
      </c>
      <c r="B970">
        <v>31.793937</v>
      </c>
      <c r="C970">
        <v>1.65015</v>
      </c>
      <c r="D970">
        <v>73.810727999999997</v>
      </c>
      <c r="E970" t="s">
        <v>18</v>
      </c>
      <c r="F970" t="s">
        <v>18</v>
      </c>
      <c r="G970">
        <v>2.3724940000000001</v>
      </c>
      <c r="H970">
        <v>2.8498480000000002</v>
      </c>
      <c r="I970" t="s">
        <v>20</v>
      </c>
      <c r="J970" t="s">
        <v>19</v>
      </c>
      <c r="K970">
        <v>1.028538</v>
      </c>
      <c r="L970" t="s">
        <v>19</v>
      </c>
      <c r="M970">
        <v>0.675983</v>
      </c>
      <c r="N970">
        <v>0.30302499999999999</v>
      </c>
      <c r="O970" t="s">
        <v>20</v>
      </c>
      <c r="P970" t="s">
        <v>28</v>
      </c>
      <c r="Q970" t="s">
        <v>26</v>
      </c>
    </row>
    <row r="971" spans="1:17" x14ac:dyDescent="0.2">
      <c r="A971" t="s">
        <v>23</v>
      </c>
      <c r="B971">
        <v>18.014333000000001</v>
      </c>
      <c r="C971">
        <v>1.7510289999999999</v>
      </c>
      <c r="D971">
        <v>80</v>
      </c>
      <c r="E971" t="s">
        <v>18</v>
      </c>
      <c r="F971" t="s">
        <v>18</v>
      </c>
      <c r="G971">
        <v>2</v>
      </c>
      <c r="H971">
        <v>2.8054359999999998</v>
      </c>
      <c r="I971" t="s">
        <v>20</v>
      </c>
      <c r="J971" t="s">
        <v>19</v>
      </c>
      <c r="K971">
        <v>2.122884</v>
      </c>
      <c r="L971" t="s">
        <v>19</v>
      </c>
      <c r="M971">
        <v>4.5650999999999997E-2</v>
      </c>
      <c r="N971">
        <v>1.7225000000000001E-2</v>
      </c>
      <c r="O971" t="s">
        <v>24</v>
      </c>
      <c r="P971" t="s">
        <v>21</v>
      </c>
      <c r="Q971" t="s">
        <v>26</v>
      </c>
    </row>
    <row r="972" spans="1:17" x14ac:dyDescent="0.2">
      <c r="A972" t="s">
        <v>23</v>
      </c>
      <c r="B972">
        <v>19.684999999999999</v>
      </c>
      <c r="C972">
        <v>1.838266</v>
      </c>
      <c r="D972">
        <v>89.496904999999998</v>
      </c>
      <c r="E972" t="s">
        <v>18</v>
      </c>
      <c r="F972" t="s">
        <v>18</v>
      </c>
      <c r="G972">
        <v>2.1536390000000001</v>
      </c>
      <c r="H972">
        <v>3.7151480000000001</v>
      </c>
      <c r="I972" t="s">
        <v>20</v>
      </c>
      <c r="J972" t="s">
        <v>19</v>
      </c>
      <c r="K972">
        <v>2.7033369999999999</v>
      </c>
      <c r="L972" t="s">
        <v>19</v>
      </c>
      <c r="M972">
        <v>2</v>
      </c>
      <c r="N972">
        <v>0.22609699999999999</v>
      </c>
      <c r="O972" t="s">
        <v>20</v>
      </c>
      <c r="P972" t="s">
        <v>21</v>
      </c>
      <c r="Q972" t="s">
        <v>26</v>
      </c>
    </row>
    <row r="973" spans="1:17" x14ac:dyDescent="0.2">
      <c r="A973" t="s">
        <v>23</v>
      </c>
      <c r="B973">
        <v>19.506388999999999</v>
      </c>
      <c r="C973">
        <v>1.824449</v>
      </c>
      <c r="D973">
        <v>87.656029000000004</v>
      </c>
      <c r="E973" t="s">
        <v>18</v>
      </c>
      <c r="F973" t="s">
        <v>18</v>
      </c>
      <c r="G973">
        <v>2.793561</v>
      </c>
      <c r="H973">
        <v>3.788602</v>
      </c>
      <c r="I973" t="s">
        <v>20</v>
      </c>
      <c r="J973" t="s">
        <v>19</v>
      </c>
      <c r="K973">
        <v>2.4290590000000001</v>
      </c>
      <c r="L973" t="s">
        <v>19</v>
      </c>
      <c r="M973">
        <v>2.0945420000000001</v>
      </c>
      <c r="N973">
        <v>0.39335799999999999</v>
      </c>
      <c r="O973" t="s">
        <v>20</v>
      </c>
      <c r="P973" t="s">
        <v>21</v>
      </c>
      <c r="Q973" t="s">
        <v>26</v>
      </c>
    </row>
    <row r="974" spans="1:17" x14ac:dyDescent="0.2">
      <c r="A974" t="s">
        <v>17</v>
      </c>
      <c r="B974">
        <v>19</v>
      </c>
      <c r="C974">
        <v>1.76</v>
      </c>
      <c r="D974">
        <v>79.349221</v>
      </c>
      <c r="E974" t="s">
        <v>18</v>
      </c>
      <c r="F974" t="s">
        <v>18</v>
      </c>
      <c r="G974">
        <v>2</v>
      </c>
      <c r="H974">
        <v>1.8938109999999999</v>
      </c>
      <c r="I974" t="s">
        <v>20</v>
      </c>
      <c r="J974" t="s">
        <v>19</v>
      </c>
      <c r="K974">
        <v>3</v>
      </c>
      <c r="L974" t="s">
        <v>19</v>
      </c>
      <c r="M974">
        <v>1.3762289999999999</v>
      </c>
      <c r="N974">
        <v>1.8013220000000001</v>
      </c>
      <c r="O974" t="s">
        <v>19</v>
      </c>
      <c r="P974" t="s">
        <v>21</v>
      </c>
      <c r="Q974" t="s">
        <v>26</v>
      </c>
    </row>
    <row r="975" spans="1:17" x14ac:dyDescent="0.2">
      <c r="A975" t="s">
        <v>17</v>
      </c>
      <c r="B975">
        <v>18</v>
      </c>
      <c r="C975">
        <v>1.622241</v>
      </c>
      <c r="D975">
        <v>68.250248999999997</v>
      </c>
      <c r="E975" t="s">
        <v>18</v>
      </c>
      <c r="F975" t="s">
        <v>18</v>
      </c>
      <c r="G975">
        <v>2</v>
      </c>
      <c r="H975">
        <v>1.010319</v>
      </c>
      <c r="I975" t="s">
        <v>20</v>
      </c>
      <c r="J975" t="s">
        <v>19</v>
      </c>
      <c r="K975">
        <v>1.319437</v>
      </c>
      <c r="L975" t="s">
        <v>19</v>
      </c>
      <c r="M975">
        <v>0</v>
      </c>
      <c r="N975">
        <v>1.6264559999999999</v>
      </c>
      <c r="O975" t="s">
        <v>19</v>
      </c>
      <c r="P975" t="s">
        <v>21</v>
      </c>
      <c r="Q975" t="s">
        <v>26</v>
      </c>
    </row>
    <row r="976" spans="1:17" x14ac:dyDescent="0.2">
      <c r="A976" t="s">
        <v>17</v>
      </c>
      <c r="B976">
        <v>18.003153000000001</v>
      </c>
      <c r="C976">
        <v>1.7299960000000001</v>
      </c>
      <c r="D976">
        <v>75.816863999999995</v>
      </c>
      <c r="E976" t="s">
        <v>18</v>
      </c>
      <c r="F976" t="s">
        <v>18</v>
      </c>
      <c r="G976">
        <v>2.9923289999999998</v>
      </c>
      <c r="H976">
        <v>3</v>
      </c>
      <c r="I976" t="s">
        <v>20</v>
      </c>
      <c r="J976" t="s">
        <v>19</v>
      </c>
      <c r="K976">
        <v>2.0049079999999999</v>
      </c>
      <c r="L976" t="s">
        <v>19</v>
      </c>
      <c r="M976">
        <v>1</v>
      </c>
      <c r="N976">
        <v>1.4050860000000001</v>
      </c>
      <c r="O976" t="s">
        <v>24</v>
      </c>
      <c r="P976" t="s">
        <v>21</v>
      </c>
      <c r="Q976" t="s">
        <v>26</v>
      </c>
    </row>
    <row r="977" spans="1:17" x14ac:dyDescent="0.2">
      <c r="A977" t="s">
        <v>17</v>
      </c>
      <c r="B977">
        <v>18.052394</v>
      </c>
      <c r="C977">
        <v>1.725233</v>
      </c>
      <c r="D977">
        <v>75.970712000000006</v>
      </c>
      <c r="E977" t="s">
        <v>18</v>
      </c>
      <c r="F977" t="s">
        <v>18</v>
      </c>
      <c r="G977">
        <v>2.9274089999999999</v>
      </c>
      <c r="H977">
        <v>3</v>
      </c>
      <c r="I977" t="s">
        <v>20</v>
      </c>
      <c r="J977" t="s">
        <v>19</v>
      </c>
      <c r="K977">
        <v>2.209991</v>
      </c>
      <c r="L977" t="s">
        <v>19</v>
      </c>
      <c r="M977">
        <v>1</v>
      </c>
      <c r="N977">
        <v>0.79721500000000001</v>
      </c>
      <c r="O977" t="s">
        <v>24</v>
      </c>
      <c r="P977" t="s">
        <v>21</v>
      </c>
      <c r="Q977" t="s">
        <v>26</v>
      </c>
    </row>
    <row r="978" spans="1:17" x14ac:dyDescent="0.2">
      <c r="A978" t="s">
        <v>17</v>
      </c>
      <c r="B978">
        <v>19.774317</v>
      </c>
      <c r="C978">
        <v>1.541039</v>
      </c>
      <c r="D978">
        <v>64.726947999999993</v>
      </c>
      <c r="E978" t="s">
        <v>19</v>
      </c>
      <c r="F978" t="s">
        <v>18</v>
      </c>
      <c r="G978">
        <v>2.706134</v>
      </c>
      <c r="H978">
        <v>2.6697660000000001</v>
      </c>
      <c r="I978" t="s">
        <v>20</v>
      </c>
      <c r="J978" t="s">
        <v>19</v>
      </c>
      <c r="K978">
        <v>1.9798480000000001</v>
      </c>
      <c r="L978" t="s">
        <v>18</v>
      </c>
      <c r="M978">
        <v>0.44523800000000002</v>
      </c>
      <c r="N978">
        <v>0.90883599999999998</v>
      </c>
      <c r="O978" t="s">
        <v>20</v>
      </c>
      <c r="P978" t="s">
        <v>21</v>
      </c>
      <c r="Q978" t="s">
        <v>26</v>
      </c>
    </row>
    <row r="979" spans="1:17" x14ac:dyDescent="0.2">
      <c r="A979" t="s">
        <v>23</v>
      </c>
      <c r="B979">
        <v>21.180346</v>
      </c>
      <c r="C979">
        <v>1.773766</v>
      </c>
      <c r="D979">
        <v>89.282820000000001</v>
      </c>
      <c r="E979" t="s">
        <v>18</v>
      </c>
      <c r="F979" t="s">
        <v>18</v>
      </c>
      <c r="G979">
        <v>2.0106839999999999</v>
      </c>
      <c r="H979">
        <v>1.322087</v>
      </c>
      <c r="I979" t="s">
        <v>20</v>
      </c>
      <c r="J979" t="s">
        <v>19</v>
      </c>
      <c r="K979">
        <v>2</v>
      </c>
      <c r="L979" t="s">
        <v>19</v>
      </c>
      <c r="M979">
        <v>0.54039700000000002</v>
      </c>
      <c r="N979">
        <v>0.97383399999999998</v>
      </c>
      <c r="O979" t="s">
        <v>20</v>
      </c>
      <c r="P979" t="s">
        <v>21</v>
      </c>
      <c r="Q979" t="s">
        <v>27</v>
      </c>
    </row>
    <row r="980" spans="1:17" x14ac:dyDescent="0.2">
      <c r="A980" t="s">
        <v>23</v>
      </c>
      <c r="B980">
        <v>21.793724000000001</v>
      </c>
      <c r="C980">
        <v>1.7546299999999999</v>
      </c>
      <c r="D980">
        <v>89.068226999999993</v>
      </c>
      <c r="E980" t="s">
        <v>18</v>
      </c>
      <c r="F980" t="s">
        <v>18</v>
      </c>
      <c r="G980">
        <v>2</v>
      </c>
      <c r="H980">
        <v>2.0415580000000002</v>
      </c>
      <c r="I980" t="s">
        <v>20</v>
      </c>
      <c r="J980" t="s">
        <v>19</v>
      </c>
      <c r="K980">
        <v>2.3872499999999999</v>
      </c>
      <c r="L980" t="s">
        <v>19</v>
      </c>
      <c r="M980">
        <v>0.813917</v>
      </c>
      <c r="N980">
        <v>0</v>
      </c>
      <c r="O980" t="s">
        <v>20</v>
      </c>
      <c r="P980" t="s">
        <v>21</v>
      </c>
      <c r="Q980" t="s">
        <v>27</v>
      </c>
    </row>
    <row r="981" spans="1:17" x14ac:dyDescent="0.2">
      <c r="A981" t="s">
        <v>23</v>
      </c>
      <c r="B981">
        <v>20.880161000000001</v>
      </c>
      <c r="C981">
        <v>1.6743269999999999</v>
      </c>
      <c r="D981">
        <v>80</v>
      </c>
      <c r="E981" t="s">
        <v>18</v>
      </c>
      <c r="F981" t="s">
        <v>18</v>
      </c>
      <c r="G981">
        <v>2</v>
      </c>
      <c r="H981">
        <v>3</v>
      </c>
      <c r="I981" t="s">
        <v>20</v>
      </c>
      <c r="J981" t="s">
        <v>19</v>
      </c>
      <c r="K981">
        <v>2</v>
      </c>
      <c r="L981" t="s">
        <v>19</v>
      </c>
      <c r="M981">
        <v>1.66639</v>
      </c>
      <c r="N981">
        <v>1.4432119999999999</v>
      </c>
      <c r="O981" t="s">
        <v>19</v>
      </c>
      <c r="P981" t="s">
        <v>21</v>
      </c>
      <c r="Q981" t="s">
        <v>27</v>
      </c>
    </row>
    <row r="982" spans="1:17" x14ac:dyDescent="0.2">
      <c r="A982" t="s">
        <v>23</v>
      </c>
      <c r="B982">
        <v>21.183540000000001</v>
      </c>
      <c r="C982">
        <v>1.72</v>
      </c>
      <c r="D982">
        <v>80.555875</v>
      </c>
      <c r="E982" t="s">
        <v>18</v>
      </c>
      <c r="F982" t="s">
        <v>18</v>
      </c>
      <c r="G982">
        <v>2</v>
      </c>
      <c r="H982">
        <v>2.4684210000000002</v>
      </c>
      <c r="I982" t="s">
        <v>20</v>
      </c>
      <c r="J982" t="s">
        <v>19</v>
      </c>
      <c r="K982">
        <v>2</v>
      </c>
      <c r="L982" t="s">
        <v>19</v>
      </c>
      <c r="M982">
        <v>2</v>
      </c>
      <c r="N982">
        <v>1</v>
      </c>
      <c r="O982" t="s">
        <v>19</v>
      </c>
      <c r="P982" t="s">
        <v>21</v>
      </c>
      <c r="Q982" t="s">
        <v>27</v>
      </c>
    </row>
    <row r="983" spans="1:17" x14ac:dyDescent="0.2">
      <c r="A983" t="s">
        <v>23</v>
      </c>
      <c r="B983">
        <v>32.774487999999998</v>
      </c>
      <c r="C983">
        <v>1.913241</v>
      </c>
      <c r="D983">
        <v>101.48205400000001</v>
      </c>
      <c r="E983" t="s">
        <v>18</v>
      </c>
      <c r="F983" t="s">
        <v>18</v>
      </c>
      <c r="G983">
        <v>2</v>
      </c>
      <c r="H983">
        <v>2.1109369999999998</v>
      </c>
      <c r="I983" t="s">
        <v>20</v>
      </c>
      <c r="J983" t="s">
        <v>19</v>
      </c>
      <c r="K983">
        <v>2.1756319999999998</v>
      </c>
      <c r="L983" t="s">
        <v>19</v>
      </c>
      <c r="M983">
        <v>1</v>
      </c>
      <c r="N983">
        <v>0</v>
      </c>
      <c r="O983" t="s">
        <v>20</v>
      </c>
      <c r="P983" t="s">
        <v>25</v>
      </c>
      <c r="Q983" t="s">
        <v>27</v>
      </c>
    </row>
    <row r="984" spans="1:17" x14ac:dyDescent="0.2">
      <c r="A984" t="s">
        <v>23</v>
      </c>
      <c r="B984">
        <v>31.327608999999999</v>
      </c>
      <c r="C984">
        <v>1.737984</v>
      </c>
      <c r="D984">
        <v>82.523112999999995</v>
      </c>
      <c r="E984" t="s">
        <v>18</v>
      </c>
      <c r="F984" t="s">
        <v>18</v>
      </c>
      <c r="G984">
        <v>2.300408</v>
      </c>
      <c r="H984">
        <v>3.0710280000000001</v>
      </c>
      <c r="I984" t="s">
        <v>20</v>
      </c>
      <c r="J984" t="s">
        <v>19</v>
      </c>
      <c r="K984">
        <v>1.7389589999999999</v>
      </c>
      <c r="L984" t="s">
        <v>19</v>
      </c>
      <c r="M984">
        <v>9.0147000000000005E-2</v>
      </c>
      <c r="N984">
        <v>0</v>
      </c>
      <c r="O984" t="s">
        <v>20</v>
      </c>
      <c r="P984" t="s">
        <v>28</v>
      </c>
      <c r="Q984" t="s">
        <v>27</v>
      </c>
    </row>
    <row r="985" spans="1:17" x14ac:dyDescent="0.2">
      <c r="A985" t="s">
        <v>23</v>
      </c>
      <c r="B985">
        <v>29.956198000000001</v>
      </c>
      <c r="C985">
        <v>1.7036880000000001</v>
      </c>
      <c r="D985">
        <v>82.207977999999997</v>
      </c>
      <c r="E985" t="s">
        <v>18</v>
      </c>
      <c r="F985" t="s">
        <v>18</v>
      </c>
      <c r="G985">
        <v>2.1196429999999999</v>
      </c>
      <c r="H985">
        <v>3.2929560000000002</v>
      </c>
      <c r="I985" t="s">
        <v>20</v>
      </c>
      <c r="J985" t="s">
        <v>19</v>
      </c>
      <c r="K985">
        <v>1.7233719999999999</v>
      </c>
      <c r="L985" t="s">
        <v>19</v>
      </c>
      <c r="M985">
        <v>0</v>
      </c>
      <c r="N985">
        <v>0.98710200000000003</v>
      </c>
      <c r="O985" t="s">
        <v>20</v>
      </c>
      <c r="P985" t="s">
        <v>28</v>
      </c>
      <c r="Q985" t="s">
        <v>27</v>
      </c>
    </row>
    <row r="986" spans="1:17" x14ac:dyDescent="0.2">
      <c r="A986" t="s">
        <v>23</v>
      </c>
      <c r="B986">
        <v>21.403421000000002</v>
      </c>
      <c r="C986">
        <v>1.7163079999999999</v>
      </c>
      <c r="D986">
        <v>80</v>
      </c>
      <c r="E986" t="s">
        <v>18</v>
      </c>
      <c r="F986" t="s">
        <v>18</v>
      </c>
      <c r="G986">
        <v>2</v>
      </c>
      <c r="H986">
        <v>3</v>
      </c>
      <c r="I986" t="s">
        <v>20</v>
      </c>
      <c r="J986" t="s">
        <v>19</v>
      </c>
      <c r="K986">
        <v>2</v>
      </c>
      <c r="L986" t="s">
        <v>19</v>
      </c>
      <c r="M986">
        <v>2.9365510000000001</v>
      </c>
      <c r="N986">
        <v>1.40913</v>
      </c>
      <c r="O986" t="s">
        <v>19</v>
      </c>
      <c r="P986" t="s">
        <v>21</v>
      </c>
      <c r="Q986" t="s">
        <v>27</v>
      </c>
    </row>
    <row r="987" spans="1:17" x14ac:dyDescent="0.2">
      <c r="A987" t="s">
        <v>23</v>
      </c>
      <c r="B987">
        <v>22.591439000000001</v>
      </c>
      <c r="C987">
        <v>1.65</v>
      </c>
      <c r="D987">
        <v>80</v>
      </c>
      <c r="E987" t="s">
        <v>18</v>
      </c>
      <c r="F987" t="s">
        <v>18</v>
      </c>
      <c r="G987">
        <v>2</v>
      </c>
      <c r="H987">
        <v>3</v>
      </c>
      <c r="I987" t="s">
        <v>20</v>
      </c>
      <c r="J987" t="s">
        <v>19</v>
      </c>
      <c r="K987">
        <v>2</v>
      </c>
      <c r="L987" t="s">
        <v>19</v>
      </c>
      <c r="M987">
        <v>0.45107799999999998</v>
      </c>
      <c r="N987">
        <v>2</v>
      </c>
      <c r="O987" t="s">
        <v>19</v>
      </c>
      <c r="P987" t="s">
        <v>21</v>
      </c>
      <c r="Q987" t="s">
        <v>27</v>
      </c>
    </row>
    <row r="988" spans="1:17" x14ac:dyDescent="0.2">
      <c r="A988" t="s">
        <v>17</v>
      </c>
      <c r="B988">
        <v>28.583943999999999</v>
      </c>
      <c r="C988">
        <v>1.57856</v>
      </c>
      <c r="D988">
        <v>65.522744000000003</v>
      </c>
      <c r="E988" t="s">
        <v>18</v>
      </c>
      <c r="F988" t="s">
        <v>19</v>
      </c>
      <c r="G988">
        <v>2</v>
      </c>
      <c r="H988">
        <v>2.2836729999999998</v>
      </c>
      <c r="I988" t="s">
        <v>20</v>
      </c>
      <c r="J988" t="s">
        <v>19</v>
      </c>
      <c r="K988">
        <v>1.9706220000000001</v>
      </c>
      <c r="L988" t="s">
        <v>19</v>
      </c>
      <c r="M988">
        <v>1.8632580000000001</v>
      </c>
      <c r="N988">
        <v>1.5817030000000001</v>
      </c>
      <c r="O988" t="s">
        <v>20</v>
      </c>
      <c r="P988" t="s">
        <v>21</v>
      </c>
      <c r="Q988" t="s">
        <v>27</v>
      </c>
    </row>
    <row r="989" spans="1:17" x14ac:dyDescent="0.2">
      <c r="A989" t="s">
        <v>23</v>
      </c>
      <c r="B989">
        <v>38.825189000000002</v>
      </c>
      <c r="C989">
        <v>1.7808459999999999</v>
      </c>
      <c r="D989">
        <v>85.687751000000006</v>
      </c>
      <c r="E989" t="s">
        <v>18</v>
      </c>
      <c r="F989" t="s">
        <v>18</v>
      </c>
      <c r="G989">
        <v>2.9019240000000002</v>
      </c>
      <c r="H989">
        <v>1.1249769999999999</v>
      </c>
      <c r="I989" t="s">
        <v>20</v>
      </c>
      <c r="J989" t="s">
        <v>19</v>
      </c>
      <c r="K989">
        <v>2.7638199999999999</v>
      </c>
      <c r="L989" t="s">
        <v>19</v>
      </c>
      <c r="M989">
        <v>0.85540000000000005</v>
      </c>
      <c r="N989">
        <v>0.99918300000000004</v>
      </c>
      <c r="O989" t="s">
        <v>20</v>
      </c>
      <c r="P989" t="s">
        <v>28</v>
      </c>
      <c r="Q989" t="s">
        <v>27</v>
      </c>
    </row>
    <row r="990" spans="1:17" x14ac:dyDescent="0.2">
      <c r="A990" t="s">
        <v>23</v>
      </c>
      <c r="B990">
        <v>35.217173000000003</v>
      </c>
      <c r="C990">
        <v>1.8231679999999999</v>
      </c>
      <c r="D990">
        <v>91.630257</v>
      </c>
      <c r="E990" t="s">
        <v>18</v>
      </c>
      <c r="F990" t="s">
        <v>18</v>
      </c>
      <c r="G990">
        <v>2</v>
      </c>
      <c r="H990">
        <v>2.9948000000000001</v>
      </c>
      <c r="I990" t="s">
        <v>20</v>
      </c>
      <c r="J990" t="s">
        <v>19</v>
      </c>
      <c r="K990">
        <v>1.2909790000000001</v>
      </c>
      <c r="L990" t="s">
        <v>19</v>
      </c>
      <c r="M990">
        <v>0.87599000000000005</v>
      </c>
      <c r="N990">
        <v>0.85404999999999998</v>
      </c>
      <c r="O990" t="s">
        <v>20</v>
      </c>
      <c r="P990" t="s">
        <v>28</v>
      </c>
      <c r="Q990" t="s">
        <v>27</v>
      </c>
    </row>
    <row r="991" spans="1:17" x14ac:dyDescent="0.2">
      <c r="A991" t="s">
        <v>17</v>
      </c>
      <c r="B991">
        <v>20.392665000000001</v>
      </c>
      <c r="C991">
        <v>1.525234</v>
      </c>
      <c r="D991">
        <v>65.220248999999995</v>
      </c>
      <c r="E991" t="s">
        <v>18</v>
      </c>
      <c r="F991" t="s">
        <v>19</v>
      </c>
      <c r="G991">
        <v>2.451009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2.1772429999999998</v>
      </c>
      <c r="N991">
        <v>1.323877</v>
      </c>
      <c r="O991" t="s">
        <v>19</v>
      </c>
      <c r="P991" t="s">
        <v>21</v>
      </c>
      <c r="Q991" t="s">
        <v>27</v>
      </c>
    </row>
    <row r="992" spans="1:17" x14ac:dyDescent="0.2">
      <c r="A992" t="s">
        <v>17</v>
      </c>
      <c r="B992">
        <v>22.154854</v>
      </c>
      <c r="C992">
        <v>1.4816819999999999</v>
      </c>
      <c r="D992">
        <v>61.373868000000002</v>
      </c>
      <c r="E992" t="s">
        <v>18</v>
      </c>
      <c r="F992" t="s">
        <v>19</v>
      </c>
      <c r="G992">
        <v>2</v>
      </c>
      <c r="H992">
        <v>2.9832969999999999</v>
      </c>
      <c r="I992" t="s">
        <v>20</v>
      </c>
      <c r="J992" t="s">
        <v>19</v>
      </c>
      <c r="K992">
        <v>1.4536260000000001</v>
      </c>
      <c r="L992" t="s">
        <v>19</v>
      </c>
      <c r="M992">
        <v>0.32895999999999997</v>
      </c>
      <c r="N992">
        <v>0.50939599999999996</v>
      </c>
      <c r="O992" t="s">
        <v>19</v>
      </c>
      <c r="P992" t="s">
        <v>21</v>
      </c>
      <c r="Q992" t="s">
        <v>27</v>
      </c>
    </row>
    <row r="993" spans="1:17" x14ac:dyDescent="0.2">
      <c r="A993" t="s">
        <v>23</v>
      </c>
      <c r="B993">
        <v>19.108796000000002</v>
      </c>
      <c r="C993">
        <v>1.768578</v>
      </c>
      <c r="D993">
        <v>87.803310999999994</v>
      </c>
      <c r="E993" t="s">
        <v>18</v>
      </c>
      <c r="F993" t="s">
        <v>18</v>
      </c>
      <c r="G993">
        <v>2.7546460000000002</v>
      </c>
      <c r="H993">
        <v>3</v>
      </c>
      <c r="I993" t="s">
        <v>20</v>
      </c>
      <c r="J993" t="s">
        <v>19</v>
      </c>
      <c r="K993">
        <v>2.957821</v>
      </c>
      <c r="L993" t="s">
        <v>19</v>
      </c>
      <c r="M993">
        <v>2.2427540000000001</v>
      </c>
      <c r="N993">
        <v>0.786609</v>
      </c>
      <c r="O993" t="s">
        <v>20</v>
      </c>
      <c r="P993" t="s">
        <v>21</v>
      </c>
      <c r="Q993" t="s">
        <v>27</v>
      </c>
    </row>
    <row r="994" spans="1:17" x14ac:dyDescent="0.2">
      <c r="A994" t="s">
        <v>17</v>
      </c>
      <c r="B994">
        <v>20.70768</v>
      </c>
      <c r="C994">
        <v>1.5698780000000001</v>
      </c>
      <c r="D994">
        <v>69.743323000000004</v>
      </c>
      <c r="E994" t="s">
        <v>18</v>
      </c>
      <c r="F994" t="s">
        <v>19</v>
      </c>
      <c r="G994">
        <v>2.4176350000000002</v>
      </c>
      <c r="H994">
        <v>3</v>
      </c>
      <c r="I994" t="s">
        <v>20</v>
      </c>
      <c r="J994" t="s">
        <v>19</v>
      </c>
      <c r="K994">
        <v>1.9376739999999999</v>
      </c>
      <c r="L994" t="s">
        <v>19</v>
      </c>
      <c r="M994">
        <v>1.417035</v>
      </c>
      <c r="N994">
        <v>1</v>
      </c>
      <c r="O994" t="s">
        <v>19</v>
      </c>
      <c r="P994" t="s">
        <v>21</v>
      </c>
      <c r="Q994" t="s">
        <v>27</v>
      </c>
    </row>
    <row r="995" spans="1:17" x14ac:dyDescent="0.2">
      <c r="A995" t="s">
        <v>17</v>
      </c>
      <c r="B995">
        <v>20.634694</v>
      </c>
      <c r="C995">
        <v>1.5681879999999999</v>
      </c>
      <c r="D995">
        <v>67.904022999999995</v>
      </c>
      <c r="E995" t="s">
        <v>18</v>
      </c>
      <c r="F995" t="s">
        <v>19</v>
      </c>
      <c r="G995">
        <v>2.5127190000000001</v>
      </c>
      <c r="H995">
        <v>3</v>
      </c>
      <c r="I995" t="s">
        <v>20</v>
      </c>
      <c r="J995" t="s">
        <v>19</v>
      </c>
      <c r="K995">
        <v>1.1311690000000001</v>
      </c>
      <c r="L995" t="s">
        <v>19</v>
      </c>
      <c r="M995">
        <v>9.5389000000000002E-2</v>
      </c>
      <c r="N995">
        <v>1</v>
      </c>
      <c r="O995" t="s">
        <v>19</v>
      </c>
      <c r="P995" t="s">
        <v>21</v>
      </c>
      <c r="Q995" t="s">
        <v>27</v>
      </c>
    </row>
    <row r="996" spans="1:17" x14ac:dyDescent="0.2">
      <c r="A996" t="s">
        <v>23</v>
      </c>
      <c r="B996">
        <v>22.052152</v>
      </c>
      <c r="C996">
        <v>1.792527</v>
      </c>
      <c r="D996">
        <v>89.994415000000004</v>
      </c>
      <c r="E996" t="s">
        <v>18</v>
      </c>
      <c r="F996" t="s">
        <v>18</v>
      </c>
      <c r="G996">
        <v>1.771693</v>
      </c>
      <c r="H996">
        <v>1.8902129999999999</v>
      </c>
      <c r="I996" t="s">
        <v>20</v>
      </c>
      <c r="J996" t="s">
        <v>19</v>
      </c>
      <c r="K996">
        <v>2</v>
      </c>
      <c r="L996" t="s">
        <v>19</v>
      </c>
      <c r="M996">
        <v>0</v>
      </c>
      <c r="N996">
        <v>1.36595</v>
      </c>
      <c r="O996" t="s">
        <v>20</v>
      </c>
      <c r="P996" t="s">
        <v>21</v>
      </c>
      <c r="Q996" t="s">
        <v>27</v>
      </c>
    </row>
    <row r="997" spans="1:17" x14ac:dyDescent="0.2">
      <c r="A997" t="s">
        <v>23</v>
      </c>
      <c r="B997">
        <v>22.869778</v>
      </c>
      <c r="C997">
        <v>1.7953110000000001</v>
      </c>
      <c r="D997">
        <v>89.868784000000005</v>
      </c>
      <c r="E997" t="s">
        <v>18</v>
      </c>
      <c r="F997" t="s">
        <v>18</v>
      </c>
      <c r="G997">
        <v>1.57223</v>
      </c>
      <c r="H997">
        <v>1.8880669999999999</v>
      </c>
      <c r="I997" t="s">
        <v>20</v>
      </c>
      <c r="J997" t="s">
        <v>19</v>
      </c>
      <c r="K997">
        <v>2</v>
      </c>
      <c r="L997" t="s">
        <v>19</v>
      </c>
      <c r="M997">
        <v>0</v>
      </c>
      <c r="N997">
        <v>0.55249800000000004</v>
      </c>
      <c r="O997" t="s">
        <v>20</v>
      </c>
      <c r="P997" t="s">
        <v>21</v>
      </c>
      <c r="Q997" t="s">
        <v>27</v>
      </c>
    </row>
    <row r="998" spans="1:17" x14ac:dyDescent="0.2">
      <c r="A998" t="s">
        <v>17</v>
      </c>
      <c r="B998">
        <v>22.909991999999999</v>
      </c>
      <c r="C998">
        <v>1.7000379999999999</v>
      </c>
      <c r="D998">
        <v>80</v>
      </c>
      <c r="E998" t="s">
        <v>18</v>
      </c>
      <c r="F998" t="s">
        <v>18</v>
      </c>
      <c r="G998">
        <v>2</v>
      </c>
      <c r="H998">
        <v>3</v>
      </c>
      <c r="I998" t="s">
        <v>20</v>
      </c>
      <c r="J998" t="s">
        <v>19</v>
      </c>
      <c r="K998">
        <v>2</v>
      </c>
      <c r="L998" t="s">
        <v>19</v>
      </c>
      <c r="M998">
        <v>0.97311400000000003</v>
      </c>
      <c r="N998">
        <v>1.5402979999999999</v>
      </c>
      <c r="O998" t="s">
        <v>19</v>
      </c>
      <c r="P998" t="s">
        <v>21</v>
      </c>
      <c r="Q998" t="s">
        <v>27</v>
      </c>
    </row>
    <row r="999" spans="1:17" x14ac:dyDescent="0.2">
      <c r="A999" t="s">
        <v>17</v>
      </c>
      <c r="B999">
        <v>23</v>
      </c>
      <c r="C999">
        <v>1.668649</v>
      </c>
      <c r="D999">
        <v>80.458342999999999</v>
      </c>
      <c r="E999" t="s">
        <v>18</v>
      </c>
      <c r="F999" t="s">
        <v>18</v>
      </c>
      <c r="G999">
        <v>2</v>
      </c>
      <c r="H999">
        <v>2.256119</v>
      </c>
      <c r="I999" t="s">
        <v>20</v>
      </c>
      <c r="J999" t="s">
        <v>19</v>
      </c>
      <c r="K999">
        <v>1.142873</v>
      </c>
      <c r="L999" t="s">
        <v>19</v>
      </c>
      <c r="M999">
        <v>0.80707600000000002</v>
      </c>
      <c r="N999">
        <v>1.6112709999999999</v>
      </c>
      <c r="O999" t="s">
        <v>19</v>
      </c>
      <c r="P999" t="s">
        <v>21</v>
      </c>
      <c r="Q999" t="s">
        <v>27</v>
      </c>
    </row>
    <row r="1000" spans="1:17" x14ac:dyDescent="0.2">
      <c r="A1000" t="s">
        <v>23</v>
      </c>
      <c r="B1000">
        <v>24.679807</v>
      </c>
      <c r="C1000">
        <v>1.7</v>
      </c>
      <c r="D1000">
        <v>84.687554000000006</v>
      </c>
      <c r="E1000" t="s">
        <v>18</v>
      </c>
      <c r="F1000" t="s">
        <v>18</v>
      </c>
      <c r="G1000">
        <v>2</v>
      </c>
      <c r="H1000">
        <v>3</v>
      </c>
      <c r="I1000" t="s">
        <v>20</v>
      </c>
      <c r="J1000" t="s">
        <v>19</v>
      </c>
      <c r="K1000">
        <v>2.0204240000000002</v>
      </c>
      <c r="L1000" t="s">
        <v>19</v>
      </c>
      <c r="M1000">
        <v>0</v>
      </c>
      <c r="N1000">
        <v>1</v>
      </c>
      <c r="O1000" t="s">
        <v>20</v>
      </c>
      <c r="P1000" t="s">
        <v>21</v>
      </c>
      <c r="Q1000" t="s">
        <v>27</v>
      </c>
    </row>
    <row r="1001" spans="1:17" x14ac:dyDescent="0.2">
      <c r="A1001" t="s">
        <v>23</v>
      </c>
      <c r="B1001">
        <v>23.884212000000002</v>
      </c>
      <c r="C1001">
        <v>1.7138249999999999</v>
      </c>
      <c r="D1001">
        <v>83.952967999999998</v>
      </c>
      <c r="E1001" t="s">
        <v>18</v>
      </c>
      <c r="F1001" t="s">
        <v>18</v>
      </c>
      <c r="G1001">
        <v>2</v>
      </c>
      <c r="H1001">
        <v>2.6648000000000001</v>
      </c>
      <c r="I1001" t="s">
        <v>20</v>
      </c>
      <c r="J1001" t="s">
        <v>19</v>
      </c>
      <c r="K1001">
        <v>1.810738</v>
      </c>
      <c r="L1001" t="s">
        <v>19</v>
      </c>
      <c r="M1001">
        <v>0.80989</v>
      </c>
      <c r="N1001">
        <v>1</v>
      </c>
      <c r="O1001" t="s">
        <v>20</v>
      </c>
      <c r="P1001" t="s">
        <v>21</v>
      </c>
      <c r="Q1001" t="s">
        <v>27</v>
      </c>
    </row>
    <row r="1002" spans="1:17" x14ac:dyDescent="0.2">
      <c r="A1002" t="s">
        <v>17</v>
      </c>
      <c r="B1002">
        <v>25.461410999999998</v>
      </c>
      <c r="C1002">
        <v>1.7</v>
      </c>
      <c r="D1002">
        <v>78.055967999999993</v>
      </c>
      <c r="E1002" t="s">
        <v>18</v>
      </c>
      <c r="F1002" t="s">
        <v>18</v>
      </c>
      <c r="G1002">
        <v>2.661556</v>
      </c>
      <c r="H1002">
        <v>3</v>
      </c>
      <c r="I1002" t="s">
        <v>20</v>
      </c>
      <c r="J1002" t="s">
        <v>19</v>
      </c>
      <c r="K1002">
        <v>3</v>
      </c>
      <c r="L1002" t="s">
        <v>19</v>
      </c>
      <c r="M1002">
        <v>0.55181000000000002</v>
      </c>
      <c r="N1002">
        <v>0.65878300000000001</v>
      </c>
      <c r="O1002" t="s">
        <v>20</v>
      </c>
      <c r="P1002" t="s">
        <v>21</v>
      </c>
      <c r="Q1002" t="s">
        <v>27</v>
      </c>
    </row>
    <row r="1003" spans="1:17" x14ac:dyDescent="0.2">
      <c r="A1003" t="s">
        <v>23</v>
      </c>
      <c r="B1003">
        <v>31.333798000000002</v>
      </c>
      <c r="C1003">
        <v>1.8353809999999999</v>
      </c>
      <c r="D1003">
        <v>91.059595000000002</v>
      </c>
      <c r="E1003" t="s">
        <v>18</v>
      </c>
      <c r="F1003" t="s">
        <v>18</v>
      </c>
      <c r="G1003">
        <v>2</v>
      </c>
      <c r="H1003">
        <v>3</v>
      </c>
      <c r="I1003" t="s">
        <v>20</v>
      </c>
      <c r="J1003" t="s">
        <v>19</v>
      </c>
      <c r="K1003">
        <v>1.1842299999999999</v>
      </c>
      <c r="L1003" t="s">
        <v>19</v>
      </c>
      <c r="M1003">
        <v>0.155579</v>
      </c>
      <c r="N1003">
        <v>0.45340399999999997</v>
      </c>
      <c r="O1003" t="s">
        <v>20</v>
      </c>
      <c r="P1003" t="s">
        <v>21</v>
      </c>
      <c r="Q1003" t="s">
        <v>27</v>
      </c>
    </row>
    <row r="1004" spans="1:17" x14ac:dyDescent="0.2">
      <c r="A1004" t="s">
        <v>23</v>
      </c>
      <c r="B1004">
        <v>24.108711</v>
      </c>
      <c r="C1004">
        <v>1.7</v>
      </c>
      <c r="D1004">
        <v>80.761409</v>
      </c>
      <c r="E1004" t="s">
        <v>18</v>
      </c>
      <c r="F1004" t="s">
        <v>18</v>
      </c>
      <c r="G1004">
        <v>2</v>
      </c>
      <c r="H1004">
        <v>3</v>
      </c>
      <c r="I1004" t="s">
        <v>20</v>
      </c>
      <c r="J1004" t="s">
        <v>19</v>
      </c>
      <c r="K1004">
        <v>2.8794019999999998</v>
      </c>
      <c r="L1004" t="s">
        <v>19</v>
      </c>
      <c r="M1004">
        <v>0</v>
      </c>
      <c r="N1004">
        <v>0.322405</v>
      </c>
      <c r="O1004" t="s">
        <v>20</v>
      </c>
      <c r="P1004" t="s">
        <v>21</v>
      </c>
      <c r="Q1004" t="s">
        <v>27</v>
      </c>
    </row>
    <row r="1005" spans="1:17" x14ac:dyDescent="0.2">
      <c r="A1005" t="s">
        <v>17</v>
      </c>
      <c r="B1005">
        <v>28.830558</v>
      </c>
      <c r="C1005">
        <v>1.7</v>
      </c>
      <c r="D1005">
        <v>78</v>
      </c>
      <c r="E1005" t="s">
        <v>18</v>
      </c>
      <c r="F1005" t="s">
        <v>18</v>
      </c>
      <c r="G1005">
        <v>3</v>
      </c>
      <c r="H1005">
        <v>3</v>
      </c>
      <c r="I1005" t="s">
        <v>20</v>
      </c>
      <c r="J1005" t="s">
        <v>19</v>
      </c>
      <c r="K1005">
        <v>1.6999709999999999</v>
      </c>
      <c r="L1005" t="s">
        <v>19</v>
      </c>
      <c r="M1005">
        <v>1.727114</v>
      </c>
      <c r="N1005">
        <v>1</v>
      </c>
      <c r="O1005" t="s">
        <v>24</v>
      </c>
      <c r="P1005" t="s">
        <v>28</v>
      </c>
      <c r="Q1005" t="s">
        <v>27</v>
      </c>
    </row>
    <row r="1006" spans="1:17" x14ac:dyDescent="0.2">
      <c r="A1006" t="s">
        <v>23</v>
      </c>
      <c r="B1006">
        <v>17.570088999999999</v>
      </c>
      <c r="C1006">
        <v>1.7</v>
      </c>
      <c r="D1006">
        <v>83.199033999999997</v>
      </c>
      <c r="E1006" t="s">
        <v>18</v>
      </c>
      <c r="F1006" t="s">
        <v>19</v>
      </c>
      <c r="G1006">
        <v>2.0973730000000002</v>
      </c>
      <c r="H1006">
        <v>2.5470860000000002</v>
      </c>
      <c r="I1006" t="s">
        <v>20</v>
      </c>
      <c r="J1006" t="s">
        <v>19</v>
      </c>
      <c r="K1006">
        <v>1.538626</v>
      </c>
      <c r="L1006" t="s">
        <v>19</v>
      </c>
      <c r="M1006">
        <v>1</v>
      </c>
      <c r="N1006">
        <v>0.76189799999999996</v>
      </c>
      <c r="O1006" t="s">
        <v>19</v>
      </c>
      <c r="P1006" t="s">
        <v>21</v>
      </c>
      <c r="Q1006" t="s">
        <v>27</v>
      </c>
    </row>
    <row r="1007" spans="1:17" x14ac:dyDescent="0.2">
      <c r="A1007" t="s">
        <v>17</v>
      </c>
      <c r="B1007">
        <v>19.027574000000001</v>
      </c>
      <c r="C1007">
        <v>1.659877</v>
      </c>
      <c r="D1007">
        <v>77.272651999999994</v>
      </c>
      <c r="E1007" t="s">
        <v>18</v>
      </c>
      <c r="F1007" t="s">
        <v>18</v>
      </c>
      <c r="G1007">
        <v>2.061461</v>
      </c>
      <c r="H1007">
        <v>2.8122829999999999</v>
      </c>
      <c r="I1007" t="s">
        <v>20</v>
      </c>
      <c r="J1007" t="s">
        <v>19</v>
      </c>
      <c r="K1007">
        <v>3</v>
      </c>
      <c r="L1007" t="s">
        <v>19</v>
      </c>
      <c r="M1007">
        <v>0.36244100000000001</v>
      </c>
      <c r="N1007">
        <v>0.78519000000000005</v>
      </c>
      <c r="O1007" t="s">
        <v>20</v>
      </c>
      <c r="P1007" t="s">
        <v>21</v>
      </c>
      <c r="Q1007" t="s">
        <v>27</v>
      </c>
    </row>
    <row r="1008" spans="1:17" x14ac:dyDescent="0.2">
      <c r="A1008" t="s">
        <v>23</v>
      </c>
      <c r="B1008">
        <v>25.632446999999999</v>
      </c>
      <c r="C1008">
        <v>1.836943</v>
      </c>
      <c r="D1008">
        <v>96.192661999999999</v>
      </c>
      <c r="E1008" t="s">
        <v>18</v>
      </c>
      <c r="F1008" t="s">
        <v>18</v>
      </c>
      <c r="G1008">
        <v>1.3177289999999999</v>
      </c>
      <c r="H1008">
        <v>2.2786520000000001</v>
      </c>
      <c r="I1008" t="s">
        <v>20</v>
      </c>
      <c r="J1008" t="s">
        <v>19</v>
      </c>
      <c r="K1008">
        <v>2</v>
      </c>
      <c r="L1008" t="s">
        <v>19</v>
      </c>
      <c r="M1008">
        <v>1.80674</v>
      </c>
      <c r="N1008">
        <v>1.93977</v>
      </c>
      <c r="O1008" t="s">
        <v>20</v>
      </c>
      <c r="P1008" t="s">
        <v>21</v>
      </c>
      <c r="Q1008" t="s">
        <v>27</v>
      </c>
    </row>
    <row r="1009" spans="1:17" x14ac:dyDescent="0.2">
      <c r="A1009" t="s">
        <v>23</v>
      </c>
      <c r="B1009">
        <v>22.94313</v>
      </c>
      <c r="C1009">
        <v>1.8196140000000001</v>
      </c>
      <c r="D1009">
        <v>93.086419000000006</v>
      </c>
      <c r="E1009" t="s">
        <v>18</v>
      </c>
      <c r="F1009" t="s">
        <v>18</v>
      </c>
      <c r="G1009">
        <v>1.8822350000000001</v>
      </c>
      <c r="H1009">
        <v>1.240046</v>
      </c>
      <c r="I1009" t="s">
        <v>20</v>
      </c>
      <c r="J1009" t="s">
        <v>19</v>
      </c>
      <c r="K1009">
        <v>2</v>
      </c>
      <c r="L1009" t="s">
        <v>19</v>
      </c>
      <c r="M1009">
        <v>0</v>
      </c>
      <c r="N1009">
        <v>1.541493</v>
      </c>
      <c r="O1009" t="s">
        <v>20</v>
      </c>
      <c r="P1009" t="s">
        <v>21</v>
      </c>
      <c r="Q1009" t="s">
        <v>27</v>
      </c>
    </row>
    <row r="1010" spans="1:17" x14ac:dyDescent="0.2">
      <c r="A1010" t="s">
        <v>23</v>
      </c>
      <c r="B1010">
        <v>23.285553</v>
      </c>
      <c r="C1010">
        <v>1.7177750000000001</v>
      </c>
      <c r="D1010">
        <v>85.312639000000004</v>
      </c>
      <c r="E1010" t="s">
        <v>18</v>
      </c>
      <c r="F1010" t="s">
        <v>18</v>
      </c>
      <c r="G1010">
        <v>2.9515910000000001</v>
      </c>
      <c r="H1010">
        <v>3</v>
      </c>
      <c r="I1010" t="s">
        <v>20</v>
      </c>
      <c r="J1010" t="s">
        <v>19</v>
      </c>
      <c r="K1010">
        <v>2.9715569999999998</v>
      </c>
      <c r="L1010" t="s">
        <v>19</v>
      </c>
      <c r="M1010">
        <v>0</v>
      </c>
      <c r="N1010">
        <v>0.94719200000000003</v>
      </c>
      <c r="O1010" t="s">
        <v>20</v>
      </c>
      <c r="P1010" t="s">
        <v>21</v>
      </c>
      <c r="Q1010" t="s">
        <v>27</v>
      </c>
    </row>
    <row r="1011" spans="1:17" x14ac:dyDescent="0.2">
      <c r="A1011" t="s">
        <v>23</v>
      </c>
      <c r="B1011">
        <v>23</v>
      </c>
      <c r="C1011">
        <v>1.7918670000000001</v>
      </c>
      <c r="D1011">
        <v>90</v>
      </c>
      <c r="E1011" t="s">
        <v>18</v>
      </c>
      <c r="F1011" t="s">
        <v>18</v>
      </c>
      <c r="G1011">
        <v>2.0678169999999998</v>
      </c>
      <c r="H1011">
        <v>3</v>
      </c>
      <c r="I1011" t="s">
        <v>20</v>
      </c>
      <c r="J1011" t="s">
        <v>19</v>
      </c>
      <c r="K1011">
        <v>1.082084</v>
      </c>
      <c r="L1011" t="s">
        <v>19</v>
      </c>
      <c r="M1011">
        <v>0</v>
      </c>
      <c r="N1011">
        <v>1.922364</v>
      </c>
      <c r="O1011" t="s">
        <v>20</v>
      </c>
      <c r="P1011" t="s">
        <v>21</v>
      </c>
      <c r="Q1011" t="s">
        <v>27</v>
      </c>
    </row>
    <row r="1012" spans="1:17" x14ac:dyDescent="0.2">
      <c r="A1012" t="s">
        <v>17</v>
      </c>
      <c r="B1012">
        <v>25.192910000000001</v>
      </c>
      <c r="C1012">
        <v>1.7</v>
      </c>
      <c r="D1012">
        <v>80.749656999999999</v>
      </c>
      <c r="E1012" t="s">
        <v>18</v>
      </c>
      <c r="F1012" t="s">
        <v>18</v>
      </c>
      <c r="G1012">
        <v>2.5452699999999999</v>
      </c>
      <c r="H1012">
        <v>3</v>
      </c>
      <c r="I1012" t="s">
        <v>20</v>
      </c>
      <c r="J1012" t="s">
        <v>19</v>
      </c>
      <c r="K1012">
        <v>2.2695639999999999</v>
      </c>
      <c r="L1012" t="s">
        <v>19</v>
      </c>
      <c r="M1012">
        <v>0.50312199999999996</v>
      </c>
      <c r="N1012">
        <v>1</v>
      </c>
      <c r="O1012" t="s">
        <v>24</v>
      </c>
      <c r="P1012" t="s">
        <v>21</v>
      </c>
      <c r="Q1012" t="s">
        <v>27</v>
      </c>
    </row>
    <row r="1013" spans="1:17" x14ac:dyDescent="0.2">
      <c r="A1013" t="s">
        <v>23</v>
      </c>
      <c r="B1013">
        <v>34.389906000000003</v>
      </c>
      <c r="C1013">
        <v>1.6810799999999999</v>
      </c>
      <c r="D1013">
        <v>83.568034999999995</v>
      </c>
      <c r="E1013" t="s">
        <v>18</v>
      </c>
      <c r="F1013" t="s">
        <v>18</v>
      </c>
      <c r="G1013">
        <v>2</v>
      </c>
      <c r="H1013">
        <v>1.660768</v>
      </c>
      <c r="I1013" t="s">
        <v>20</v>
      </c>
      <c r="J1013" t="s">
        <v>19</v>
      </c>
      <c r="K1013">
        <v>2.482294</v>
      </c>
      <c r="L1013" t="s">
        <v>19</v>
      </c>
      <c r="M1013">
        <v>0.89120500000000002</v>
      </c>
      <c r="N1013">
        <v>0</v>
      </c>
      <c r="O1013" t="s">
        <v>19</v>
      </c>
      <c r="P1013" t="s">
        <v>28</v>
      </c>
      <c r="Q1013" t="s">
        <v>27</v>
      </c>
    </row>
    <row r="1014" spans="1:17" x14ac:dyDescent="0.2">
      <c r="A1014" t="s">
        <v>17</v>
      </c>
      <c r="B1014">
        <v>26.595893</v>
      </c>
      <c r="C1014">
        <v>1.6607559999999999</v>
      </c>
      <c r="D1014">
        <v>78.574786000000003</v>
      </c>
      <c r="E1014" t="s">
        <v>18</v>
      </c>
      <c r="F1014" t="s">
        <v>18</v>
      </c>
      <c r="G1014">
        <v>2</v>
      </c>
      <c r="H1014">
        <v>2.5976080000000001</v>
      </c>
      <c r="I1014" t="s">
        <v>20</v>
      </c>
      <c r="J1014" t="s">
        <v>19</v>
      </c>
      <c r="K1014">
        <v>2</v>
      </c>
      <c r="L1014" t="s">
        <v>19</v>
      </c>
      <c r="M1014">
        <v>0</v>
      </c>
      <c r="N1014">
        <v>0.43419799999999997</v>
      </c>
      <c r="O1014" t="s">
        <v>24</v>
      </c>
      <c r="P1014" t="s">
        <v>21</v>
      </c>
      <c r="Q1014" t="s">
        <v>27</v>
      </c>
    </row>
    <row r="1015" spans="1:17" x14ac:dyDescent="0.2">
      <c r="A1015" t="s">
        <v>23</v>
      </c>
      <c r="B1015">
        <v>55.246250000000003</v>
      </c>
      <c r="C1015">
        <v>1.769269</v>
      </c>
      <c r="D1015">
        <v>80.491338999999996</v>
      </c>
      <c r="E1015" t="s">
        <v>19</v>
      </c>
      <c r="F1015" t="s">
        <v>18</v>
      </c>
      <c r="G1015">
        <v>2</v>
      </c>
      <c r="H1015">
        <v>3</v>
      </c>
      <c r="I1015" t="s">
        <v>20</v>
      </c>
      <c r="J1015" t="s">
        <v>19</v>
      </c>
      <c r="K1015">
        <v>2</v>
      </c>
      <c r="L1015" t="s">
        <v>19</v>
      </c>
      <c r="M1015">
        <v>1</v>
      </c>
      <c r="N1015">
        <v>0</v>
      </c>
      <c r="O1015" t="s">
        <v>19</v>
      </c>
      <c r="P1015" t="s">
        <v>28</v>
      </c>
      <c r="Q1015" t="s">
        <v>27</v>
      </c>
    </row>
    <row r="1016" spans="1:17" x14ac:dyDescent="0.2">
      <c r="A1016" t="s">
        <v>23</v>
      </c>
      <c r="B1016">
        <v>34.543562999999999</v>
      </c>
      <c r="C1016">
        <v>1.765188</v>
      </c>
      <c r="D1016">
        <v>85</v>
      </c>
      <c r="E1016" t="s">
        <v>18</v>
      </c>
      <c r="F1016" t="s">
        <v>18</v>
      </c>
      <c r="G1016">
        <v>2.6942810000000001</v>
      </c>
      <c r="H1016">
        <v>3</v>
      </c>
      <c r="I1016" t="s">
        <v>20</v>
      </c>
      <c r="J1016" t="s">
        <v>19</v>
      </c>
      <c r="K1016">
        <v>2.6538309999999998</v>
      </c>
      <c r="L1016" t="s">
        <v>19</v>
      </c>
      <c r="M1016">
        <v>1.9658199999999999</v>
      </c>
      <c r="N1016">
        <v>0.89118900000000001</v>
      </c>
      <c r="O1016" t="s">
        <v>19</v>
      </c>
      <c r="P1016" t="s">
        <v>28</v>
      </c>
      <c r="Q1016" t="s">
        <v>27</v>
      </c>
    </row>
    <row r="1017" spans="1:17" x14ac:dyDescent="0.2">
      <c r="A1017" t="s">
        <v>23</v>
      </c>
      <c r="B1017">
        <v>21.808159</v>
      </c>
      <c r="C1017">
        <v>1.65</v>
      </c>
      <c r="D1017">
        <v>80</v>
      </c>
      <c r="E1017" t="s">
        <v>18</v>
      </c>
      <c r="F1017" t="s">
        <v>18</v>
      </c>
      <c r="G1017">
        <v>2</v>
      </c>
      <c r="H1017">
        <v>3</v>
      </c>
      <c r="I1017" t="s">
        <v>20</v>
      </c>
      <c r="J1017" t="s">
        <v>19</v>
      </c>
      <c r="K1017">
        <v>2</v>
      </c>
      <c r="L1017" t="s">
        <v>19</v>
      </c>
      <c r="M1017">
        <v>0.82660900000000004</v>
      </c>
      <c r="N1017">
        <v>2</v>
      </c>
      <c r="O1017" t="s">
        <v>19</v>
      </c>
      <c r="P1017" t="s">
        <v>21</v>
      </c>
      <c r="Q1017" t="s">
        <v>27</v>
      </c>
    </row>
    <row r="1018" spans="1:17" x14ac:dyDescent="0.2">
      <c r="A1018" t="s">
        <v>23</v>
      </c>
      <c r="B1018">
        <v>18.118276999999999</v>
      </c>
      <c r="C1018">
        <v>1.654757</v>
      </c>
      <c r="D1018">
        <v>80</v>
      </c>
      <c r="E1018" t="s">
        <v>18</v>
      </c>
      <c r="F1018" t="s">
        <v>18</v>
      </c>
      <c r="G1018">
        <v>2.821977</v>
      </c>
      <c r="H1018">
        <v>2.044035</v>
      </c>
      <c r="I1018" t="s">
        <v>20</v>
      </c>
      <c r="J1018" t="s">
        <v>19</v>
      </c>
      <c r="K1018">
        <v>1.954968</v>
      </c>
      <c r="L1018" t="s">
        <v>19</v>
      </c>
      <c r="M1018">
        <v>1</v>
      </c>
      <c r="N1018">
        <v>0.85453599999999996</v>
      </c>
      <c r="O1018" t="s">
        <v>19</v>
      </c>
      <c r="P1018" t="s">
        <v>21</v>
      </c>
      <c r="Q1018" t="s">
        <v>27</v>
      </c>
    </row>
    <row r="1019" spans="1:17" x14ac:dyDescent="0.2">
      <c r="A1019" t="s">
        <v>17</v>
      </c>
      <c r="B1019">
        <v>42.189022999999999</v>
      </c>
      <c r="C1019">
        <v>1.6477679999999999</v>
      </c>
      <c r="D1019">
        <v>79.165306000000001</v>
      </c>
      <c r="E1019" t="s">
        <v>18</v>
      </c>
      <c r="F1019" t="s">
        <v>18</v>
      </c>
      <c r="G1019">
        <v>2</v>
      </c>
      <c r="H1019">
        <v>3</v>
      </c>
      <c r="I1019" t="s">
        <v>20</v>
      </c>
      <c r="J1019" t="s">
        <v>19</v>
      </c>
      <c r="K1019">
        <v>1</v>
      </c>
      <c r="L1019" t="s">
        <v>19</v>
      </c>
      <c r="M1019">
        <v>0</v>
      </c>
      <c r="N1019">
        <v>1.4818899999999999</v>
      </c>
      <c r="O1019" t="s">
        <v>19</v>
      </c>
      <c r="P1019" t="s">
        <v>28</v>
      </c>
      <c r="Q1019" t="s">
        <v>27</v>
      </c>
    </row>
    <row r="1020" spans="1:17" x14ac:dyDescent="0.2">
      <c r="A1020" t="s">
        <v>23</v>
      </c>
      <c r="B1020">
        <v>22</v>
      </c>
      <c r="C1020">
        <v>1.691303</v>
      </c>
      <c r="D1020">
        <v>80.539000000000001</v>
      </c>
      <c r="E1020" t="s">
        <v>18</v>
      </c>
      <c r="F1020" t="s">
        <v>18</v>
      </c>
      <c r="G1020">
        <v>2</v>
      </c>
      <c r="H1020">
        <v>2.038373</v>
      </c>
      <c r="I1020" t="s">
        <v>20</v>
      </c>
      <c r="J1020" t="s">
        <v>19</v>
      </c>
      <c r="K1020">
        <v>2</v>
      </c>
      <c r="L1020" t="s">
        <v>19</v>
      </c>
      <c r="M1020">
        <v>2.70825</v>
      </c>
      <c r="N1020">
        <v>1.5065759999999999</v>
      </c>
      <c r="O1020" t="s">
        <v>20</v>
      </c>
      <c r="P1020" t="s">
        <v>21</v>
      </c>
      <c r="Q1020" t="s">
        <v>27</v>
      </c>
    </row>
    <row r="1021" spans="1:17" x14ac:dyDescent="0.2">
      <c r="A1021" t="s">
        <v>17</v>
      </c>
      <c r="B1021">
        <v>28.770852000000001</v>
      </c>
      <c r="C1021">
        <v>1.532897</v>
      </c>
      <c r="D1021">
        <v>65.031879000000004</v>
      </c>
      <c r="E1021" t="s">
        <v>18</v>
      </c>
      <c r="F1021" t="s">
        <v>19</v>
      </c>
      <c r="G1021">
        <v>2</v>
      </c>
      <c r="H1021">
        <v>1</v>
      </c>
      <c r="I1021" t="s">
        <v>20</v>
      </c>
      <c r="J1021" t="s">
        <v>19</v>
      </c>
      <c r="K1021">
        <v>1</v>
      </c>
      <c r="L1021" t="s">
        <v>19</v>
      </c>
      <c r="M1021">
        <v>0.26217099999999999</v>
      </c>
      <c r="N1021">
        <v>0</v>
      </c>
      <c r="O1021" t="s">
        <v>19</v>
      </c>
      <c r="P1021" t="s">
        <v>21</v>
      </c>
      <c r="Q1021" t="s">
        <v>27</v>
      </c>
    </row>
    <row r="1022" spans="1:17" x14ac:dyDescent="0.2">
      <c r="A1022" t="s">
        <v>17</v>
      </c>
      <c r="B1022">
        <v>25.483381000000001</v>
      </c>
      <c r="C1022">
        <v>1.565288</v>
      </c>
      <c r="D1022">
        <v>64.848626999999993</v>
      </c>
      <c r="E1022" t="s">
        <v>18</v>
      </c>
      <c r="F1022" t="s">
        <v>19</v>
      </c>
      <c r="G1022">
        <v>2</v>
      </c>
      <c r="H1022">
        <v>1</v>
      </c>
      <c r="I1022" t="s">
        <v>20</v>
      </c>
      <c r="J1022" t="s">
        <v>19</v>
      </c>
      <c r="K1022">
        <v>1</v>
      </c>
      <c r="L1022" t="s">
        <v>19</v>
      </c>
      <c r="M1022">
        <v>0.74063299999999999</v>
      </c>
      <c r="N1022">
        <v>0</v>
      </c>
      <c r="O1022" t="s">
        <v>19</v>
      </c>
      <c r="P1022" t="s">
        <v>21</v>
      </c>
      <c r="Q1022" t="s">
        <v>27</v>
      </c>
    </row>
    <row r="1023" spans="1:17" x14ac:dyDescent="0.2">
      <c r="A1023" t="s">
        <v>17</v>
      </c>
      <c r="B1023">
        <v>21.67315</v>
      </c>
      <c r="C1023">
        <v>1.5</v>
      </c>
      <c r="D1023">
        <v>63.652329999999999</v>
      </c>
      <c r="E1023" t="s">
        <v>18</v>
      </c>
      <c r="F1023" t="s">
        <v>19</v>
      </c>
      <c r="G1023">
        <v>2</v>
      </c>
      <c r="H1023">
        <v>1.474836</v>
      </c>
      <c r="I1023" t="s">
        <v>20</v>
      </c>
      <c r="J1023" t="s">
        <v>19</v>
      </c>
      <c r="K1023">
        <v>2</v>
      </c>
      <c r="L1023" t="s">
        <v>19</v>
      </c>
      <c r="M1023">
        <v>0.27483800000000003</v>
      </c>
      <c r="N1023">
        <v>0.61390199999999995</v>
      </c>
      <c r="O1023" t="s">
        <v>19</v>
      </c>
      <c r="P1023" t="s">
        <v>21</v>
      </c>
      <c r="Q1023" t="s">
        <v>27</v>
      </c>
    </row>
    <row r="1024" spans="1:17" x14ac:dyDescent="0.2">
      <c r="A1024" t="s">
        <v>17</v>
      </c>
      <c r="B1024">
        <v>23.469538</v>
      </c>
      <c r="C1024">
        <v>1.5071060000000001</v>
      </c>
      <c r="D1024">
        <v>64.814109000000002</v>
      </c>
      <c r="E1024" t="s">
        <v>18</v>
      </c>
      <c r="F1024" t="s">
        <v>19</v>
      </c>
      <c r="G1024">
        <v>2.252472</v>
      </c>
      <c r="H1024">
        <v>3.9866519999999999</v>
      </c>
      <c r="I1024" t="s">
        <v>20</v>
      </c>
      <c r="J1024" t="s">
        <v>19</v>
      </c>
      <c r="K1024">
        <v>2</v>
      </c>
      <c r="L1024" t="s">
        <v>19</v>
      </c>
      <c r="M1024">
        <v>0.93428599999999995</v>
      </c>
      <c r="N1024">
        <v>0.89062600000000003</v>
      </c>
      <c r="O1024" t="s">
        <v>19</v>
      </c>
      <c r="P1024" t="s">
        <v>21</v>
      </c>
      <c r="Q1024" t="s">
        <v>27</v>
      </c>
    </row>
    <row r="1025" spans="1:17" x14ac:dyDescent="0.2">
      <c r="A1025" t="s">
        <v>23</v>
      </c>
      <c r="B1025">
        <v>23</v>
      </c>
      <c r="C1025">
        <v>1.7007399999999999</v>
      </c>
      <c r="D1025">
        <v>81.322969999999998</v>
      </c>
      <c r="E1025" t="s">
        <v>18</v>
      </c>
      <c r="F1025" t="s">
        <v>18</v>
      </c>
      <c r="G1025">
        <v>2</v>
      </c>
      <c r="H1025">
        <v>2.7206419999999998</v>
      </c>
      <c r="I1025" t="s">
        <v>20</v>
      </c>
      <c r="J1025" t="s">
        <v>19</v>
      </c>
      <c r="K1025">
        <v>1.5197000000000001</v>
      </c>
      <c r="L1025" t="s">
        <v>19</v>
      </c>
      <c r="M1025">
        <v>0.27937499999999998</v>
      </c>
      <c r="N1025">
        <v>1.0434349999999999</v>
      </c>
      <c r="O1025" t="s">
        <v>20</v>
      </c>
      <c r="P1025" t="s">
        <v>21</v>
      </c>
      <c r="Q1025" t="s">
        <v>27</v>
      </c>
    </row>
    <row r="1026" spans="1:17" x14ac:dyDescent="0.2">
      <c r="A1026" t="s">
        <v>23</v>
      </c>
      <c r="B1026">
        <v>23</v>
      </c>
      <c r="C1026">
        <v>1.7151179999999999</v>
      </c>
      <c r="D1026">
        <v>81.650778000000003</v>
      </c>
      <c r="E1026" t="s">
        <v>18</v>
      </c>
      <c r="F1026" t="s">
        <v>18</v>
      </c>
      <c r="G1026">
        <v>2</v>
      </c>
      <c r="H1026">
        <v>1.9767440000000001</v>
      </c>
      <c r="I1026" t="s">
        <v>20</v>
      </c>
      <c r="J1026" t="s">
        <v>19</v>
      </c>
      <c r="K1026">
        <v>1.628997</v>
      </c>
      <c r="L1026" t="s">
        <v>19</v>
      </c>
      <c r="M1026">
        <v>0.88058400000000003</v>
      </c>
      <c r="N1026">
        <v>1.127675</v>
      </c>
      <c r="O1026" t="s">
        <v>20</v>
      </c>
      <c r="P1026" t="s">
        <v>21</v>
      </c>
      <c r="Q1026" t="s">
        <v>27</v>
      </c>
    </row>
    <row r="1027" spans="1:17" x14ac:dyDescent="0.2">
      <c r="A1027" t="s">
        <v>17</v>
      </c>
      <c r="B1027">
        <v>38.464537999999997</v>
      </c>
      <c r="C1027">
        <v>1.696423</v>
      </c>
      <c r="D1027">
        <v>78.967918999999995</v>
      </c>
      <c r="E1027" t="s">
        <v>18</v>
      </c>
      <c r="F1027" t="s">
        <v>18</v>
      </c>
      <c r="G1027">
        <v>3</v>
      </c>
      <c r="H1027">
        <v>3</v>
      </c>
      <c r="I1027" t="s">
        <v>20</v>
      </c>
      <c r="J1027" t="s">
        <v>19</v>
      </c>
      <c r="K1027">
        <v>2.9816039999999999</v>
      </c>
      <c r="L1027" t="s">
        <v>19</v>
      </c>
      <c r="M1027">
        <v>0</v>
      </c>
      <c r="N1027">
        <v>0</v>
      </c>
      <c r="O1027" t="s">
        <v>19</v>
      </c>
      <c r="P1027" t="s">
        <v>28</v>
      </c>
      <c r="Q1027" t="s">
        <v>27</v>
      </c>
    </row>
    <row r="1028" spans="1:17" x14ac:dyDescent="0.2">
      <c r="A1028" t="s">
        <v>17</v>
      </c>
      <c r="B1028">
        <v>37.496175000000001</v>
      </c>
      <c r="C1028">
        <v>1.6530879999999999</v>
      </c>
      <c r="D1028">
        <v>80</v>
      </c>
      <c r="E1028" t="s">
        <v>18</v>
      </c>
      <c r="F1028" t="s">
        <v>18</v>
      </c>
      <c r="G1028">
        <v>2.0337450000000001</v>
      </c>
      <c r="H1028">
        <v>3</v>
      </c>
      <c r="I1028" t="s">
        <v>20</v>
      </c>
      <c r="J1028" t="s">
        <v>19</v>
      </c>
      <c r="K1028">
        <v>1.517225</v>
      </c>
      <c r="L1028" t="s">
        <v>19</v>
      </c>
      <c r="M1028">
        <v>0</v>
      </c>
      <c r="N1028">
        <v>1.5178970000000001</v>
      </c>
      <c r="O1028" t="s">
        <v>19</v>
      </c>
      <c r="P1028" t="s">
        <v>28</v>
      </c>
      <c r="Q1028" t="s">
        <v>27</v>
      </c>
    </row>
    <row r="1029" spans="1:17" x14ac:dyDescent="0.2">
      <c r="A1029" t="s">
        <v>17</v>
      </c>
      <c r="B1029">
        <v>33.690238999999998</v>
      </c>
      <c r="C1029">
        <v>1.6818420000000001</v>
      </c>
      <c r="D1029">
        <v>77.426464999999993</v>
      </c>
      <c r="E1029" t="s">
        <v>18</v>
      </c>
      <c r="F1029" t="s">
        <v>18</v>
      </c>
      <c r="G1029">
        <v>3</v>
      </c>
      <c r="H1029">
        <v>2.6797240000000002</v>
      </c>
      <c r="I1029" t="s">
        <v>20</v>
      </c>
      <c r="J1029" t="s">
        <v>19</v>
      </c>
      <c r="K1029">
        <v>1.9997370000000001</v>
      </c>
      <c r="L1029" t="s">
        <v>19</v>
      </c>
      <c r="M1029">
        <v>1.747347</v>
      </c>
      <c r="N1029">
        <v>0.68177299999999996</v>
      </c>
      <c r="O1029" t="s">
        <v>19</v>
      </c>
      <c r="P1029" t="s">
        <v>28</v>
      </c>
      <c r="Q1029" t="s">
        <v>27</v>
      </c>
    </row>
    <row r="1030" spans="1:17" x14ac:dyDescent="0.2">
      <c r="A1030" t="s">
        <v>17</v>
      </c>
      <c r="B1030">
        <v>34.369686000000002</v>
      </c>
      <c r="C1030">
        <v>1.6522019999999999</v>
      </c>
      <c r="D1030">
        <v>77.133219999999994</v>
      </c>
      <c r="E1030" t="s">
        <v>18</v>
      </c>
      <c r="F1030" t="s">
        <v>18</v>
      </c>
      <c r="G1030">
        <v>2.5951279999999999</v>
      </c>
      <c r="H1030">
        <v>1.619796</v>
      </c>
      <c r="I1030" t="s">
        <v>20</v>
      </c>
      <c r="J1030" t="s">
        <v>19</v>
      </c>
      <c r="K1030">
        <v>1.6422509999999999</v>
      </c>
      <c r="L1030" t="s">
        <v>19</v>
      </c>
      <c r="M1030">
        <v>0.66283099999999995</v>
      </c>
      <c r="N1030">
        <v>0.99926800000000005</v>
      </c>
      <c r="O1030" t="s">
        <v>19</v>
      </c>
      <c r="P1030" t="s">
        <v>28</v>
      </c>
      <c r="Q1030" t="s">
        <v>27</v>
      </c>
    </row>
    <row r="1031" spans="1:17" x14ac:dyDescent="0.2">
      <c r="A1031" t="s">
        <v>23</v>
      </c>
      <c r="B1031">
        <v>31.426573000000001</v>
      </c>
      <c r="C1031">
        <v>1.8486830000000001</v>
      </c>
      <c r="D1031">
        <v>99</v>
      </c>
      <c r="E1031" t="s">
        <v>18</v>
      </c>
      <c r="F1031" t="s">
        <v>18</v>
      </c>
      <c r="G1031">
        <v>2.7592859999999999</v>
      </c>
      <c r="H1031">
        <v>2.5925699999999998</v>
      </c>
      <c r="I1031" t="s">
        <v>20</v>
      </c>
      <c r="J1031" t="s">
        <v>19</v>
      </c>
      <c r="K1031">
        <v>2.549617</v>
      </c>
      <c r="L1031" t="s">
        <v>19</v>
      </c>
      <c r="M1031">
        <v>1.427233</v>
      </c>
      <c r="N1031">
        <v>0.51939500000000005</v>
      </c>
      <c r="O1031" t="s">
        <v>20</v>
      </c>
      <c r="P1031" t="s">
        <v>28</v>
      </c>
      <c r="Q1031" t="s">
        <v>27</v>
      </c>
    </row>
    <row r="1032" spans="1:17" x14ac:dyDescent="0.2">
      <c r="A1032" t="s">
        <v>23</v>
      </c>
      <c r="B1032">
        <v>34.288249</v>
      </c>
      <c r="C1032">
        <v>1.8356779999999999</v>
      </c>
      <c r="D1032">
        <v>96.018510000000006</v>
      </c>
      <c r="E1032" t="s">
        <v>18</v>
      </c>
      <c r="F1032" t="s">
        <v>18</v>
      </c>
      <c r="G1032">
        <v>2</v>
      </c>
      <c r="H1032">
        <v>1.546665</v>
      </c>
      <c r="I1032" t="s">
        <v>20</v>
      </c>
      <c r="J1032" t="s">
        <v>19</v>
      </c>
      <c r="K1032">
        <v>3</v>
      </c>
      <c r="L1032" t="s">
        <v>19</v>
      </c>
      <c r="M1032">
        <v>1</v>
      </c>
      <c r="N1032">
        <v>0</v>
      </c>
      <c r="O1032" t="s">
        <v>20</v>
      </c>
      <c r="P1032" t="s">
        <v>28</v>
      </c>
      <c r="Q1032" t="s">
        <v>27</v>
      </c>
    </row>
    <row r="1033" spans="1:17" x14ac:dyDescent="0.2">
      <c r="A1033" t="s">
        <v>17</v>
      </c>
      <c r="B1033">
        <v>18.863875</v>
      </c>
      <c r="C1033">
        <v>1.5600290000000001</v>
      </c>
      <c r="D1033">
        <v>71.728069000000005</v>
      </c>
      <c r="E1033" t="s">
        <v>18</v>
      </c>
      <c r="F1033" t="s">
        <v>19</v>
      </c>
      <c r="G1033">
        <v>3</v>
      </c>
      <c r="H1033">
        <v>3.3399139999999998</v>
      </c>
      <c r="I1033" t="s">
        <v>20</v>
      </c>
      <c r="J1033" t="s">
        <v>19</v>
      </c>
      <c r="K1033">
        <v>2</v>
      </c>
      <c r="L1033" t="s">
        <v>19</v>
      </c>
      <c r="M1033">
        <v>1</v>
      </c>
      <c r="N1033">
        <v>1</v>
      </c>
      <c r="O1033" t="s">
        <v>20</v>
      </c>
      <c r="P1033" t="s">
        <v>21</v>
      </c>
      <c r="Q1033" t="s">
        <v>27</v>
      </c>
    </row>
    <row r="1034" spans="1:17" x14ac:dyDescent="0.2">
      <c r="A1034" t="s">
        <v>17</v>
      </c>
      <c r="B1034">
        <v>18.951143999999999</v>
      </c>
      <c r="C1034">
        <v>1.621048</v>
      </c>
      <c r="D1034">
        <v>72.105856000000003</v>
      </c>
      <c r="E1034" t="s">
        <v>18</v>
      </c>
      <c r="F1034" t="s">
        <v>19</v>
      </c>
      <c r="G1034">
        <v>3</v>
      </c>
      <c r="H1034">
        <v>3.8848609999999999</v>
      </c>
      <c r="I1034" t="s">
        <v>20</v>
      </c>
      <c r="J1034" t="s">
        <v>19</v>
      </c>
      <c r="K1034">
        <v>2</v>
      </c>
      <c r="L1034" t="s">
        <v>19</v>
      </c>
      <c r="M1034">
        <v>1</v>
      </c>
      <c r="N1034">
        <v>1</v>
      </c>
      <c r="O1034" t="s">
        <v>20</v>
      </c>
      <c r="P1034" t="s">
        <v>21</v>
      </c>
      <c r="Q1034" t="s">
        <v>27</v>
      </c>
    </row>
    <row r="1035" spans="1:17" x14ac:dyDescent="0.2">
      <c r="A1035" t="s">
        <v>23</v>
      </c>
      <c r="B1035">
        <v>19.671876000000001</v>
      </c>
      <c r="C1035">
        <v>1.6994739999999999</v>
      </c>
      <c r="D1035">
        <v>78</v>
      </c>
      <c r="E1035" t="s">
        <v>18</v>
      </c>
      <c r="F1035" t="s">
        <v>19</v>
      </c>
      <c r="G1035">
        <v>1.9250640000000001</v>
      </c>
      <c r="H1035">
        <v>2.358298</v>
      </c>
      <c r="I1035" t="s">
        <v>20</v>
      </c>
      <c r="J1035" t="s">
        <v>19</v>
      </c>
      <c r="K1035">
        <v>2.7740429999999998</v>
      </c>
      <c r="L1035" t="s">
        <v>19</v>
      </c>
      <c r="M1035">
        <v>0</v>
      </c>
      <c r="N1035">
        <v>0.13356599999999999</v>
      </c>
      <c r="O1035" t="s">
        <v>19</v>
      </c>
      <c r="P1035" t="s">
        <v>21</v>
      </c>
      <c r="Q1035" t="s">
        <v>27</v>
      </c>
    </row>
    <row r="1036" spans="1:17" x14ac:dyDescent="0.2">
      <c r="A1036" t="s">
        <v>23</v>
      </c>
      <c r="B1036">
        <v>50.832559000000003</v>
      </c>
      <c r="C1036">
        <v>1.745528</v>
      </c>
      <c r="D1036">
        <v>82.130728000000005</v>
      </c>
      <c r="E1036" t="s">
        <v>18</v>
      </c>
      <c r="F1036" t="s">
        <v>18</v>
      </c>
      <c r="G1036">
        <v>2</v>
      </c>
      <c r="H1036">
        <v>3</v>
      </c>
      <c r="I1036" t="s">
        <v>20</v>
      </c>
      <c r="J1036" t="s">
        <v>19</v>
      </c>
      <c r="K1036">
        <v>1.774778</v>
      </c>
      <c r="L1036" t="s">
        <v>19</v>
      </c>
      <c r="M1036">
        <v>0.94326600000000005</v>
      </c>
      <c r="N1036">
        <v>0</v>
      </c>
      <c r="O1036" t="s">
        <v>19</v>
      </c>
      <c r="P1036" t="s">
        <v>28</v>
      </c>
      <c r="Q1036" t="s">
        <v>27</v>
      </c>
    </row>
    <row r="1037" spans="1:17" x14ac:dyDescent="0.2">
      <c r="A1037" t="s">
        <v>23</v>
      </c>
      <c r="B1037">
        <v>17.971574</v>
      </c>
      <c r="C1037">
        <v>1.7203790000000001</v>
      </c>
      <c r="D1037">
        <v>85</v>
      </c>
      <c r="E1037" t="s">
        <v>18</v>
      </c>
      <c r="F1037" t="s">
        <v>18</v>
      </c>
      <c r="G1037">
        <v>2</v>
      </c>
      <c r="H1037">
        <v>3</v>
      </c>
      <c r="I1037" t="s">
        <v>20</v>
      </c>
      <c r="J1037" t="s">
        <v>19</v>
      </c>
      <c r="K1037">
        <v>2.8024979999999999</v>
      </c>
      <c r="L1037" t="s">
        <v>19</v>
      </c>
      <c r="M1037">
        <v>1</v>
      </c>
      <c r="N1037">
        <v>0.41758000000000001</v>
      </c>
      <c r="O1037" t="s">
        <v>20</v>
      </c>
      <c r="P1037" t="s">
        <v>21</v>
      </c>
      <c r="Q1037" t="s">
        <v>27</v>
      </c>
    </row>
    <row r="1038" spans="1:17" x14ac:dyDescent="0.2">
      <c r="A1038" t="s">
        <v>23</v>
      </c>
      <c r="B1038">
        <v>18</v>
      </c>
      <c r="C1038">
        <v>1.7587870000000001</v>
      </c>
      <c r="D1038">
        <v>85.050557999999995</v>
      </c>
      <c r="E1038" t="s">
        <v>18</v>
      </c>
      <c r="F1038" t="s">
        <v>18</v>
      </c>
      <c r="G1038">
        <v>2.846981</v>
      </c>
      <c r="H1038">
        <v>3</v>
      </c>
      <c r="I1038" t="s">
        <v>20</v>
      </c>
      <c r="J1038" t="s">
        <v>19</v>
      </c>
      <c r="K1038">
        <v>2.8778100000000002</v>
      </c>
      <c r="L1038" t="s">
        <v>19</v>
      </c>
      <c r="M1038">
        <v>1</v>
      </c>
      <c r="N1038">
        <v>0.42908099999999999</v>
      </c>
      <c r="O1038" t="s">
        <v>20</v>
      </c>
      <c r="P1038" t="s">
        <v>21</v>
      </c>
      <c r="Q1038" t="s">
        <v>27</v>
      </c>
    </row>
    <row r="1039" spans="1:17" x14ac:dyDescent="0.2">
      <c r="A1039" t="s">
        <v>23</v>
      </c>
      <c r="B1039">
        <v>18.701765999999999</v>
      </c>
      <c r="C1039">
        <v>1.7049080000000001</v>
      </c>
      <c r="D1039">
        <v>81.384224000000003</v>
      </c>
      <c r="E1039" t="s">
        <v>18</v>
      </c>
      <c r="F1039" t="s">
        <v>18</v>
      </c>
      <c r="G1039">
        <v>2.6506289999999999</v>
      </c>
      <c r="H1039">
        <v>1</v>
      </c>
      <c r="I1039" t="s">
        <v>20</v>
      </c>
      <c r="J1039" t="s">
        <v>19</v>
      </c>
      <c r="K1039">
        <v>1.708083</v>
      </c>
      <c r="L1039" t="s">
        <v>19</v>
      </c>
      <c r="M1039">
        <v>1.8760509999999999</v>
      </c>
      <c r="N1039">
        <v>0.93879100000000004</v>
      </c>
      <c r="O1039" t="s">
        <v>20</v>
      </c>
      <c r="P1039" t="s">
        <v>21</v>
      </c>
      <c r="Q1039" t="s">
        <v>27</v>
      </c>
    </row>
    <row r="1040" spans="1:17" x14ac:dyDescent="0.2">
      <c r="A1040" t="s">
        <v>17</v>
      </c>
      <c r="B1040">
        <v>34.389679000000001</v>
      </c>
      <c r="C1040">
        <v>1.691322</v>
      </c>
      <c r="D1040">
        <v>77.561601999999993</v>
      </c>
      <c r="E1040" t="s">
        <v>18</v>
      </c>
      <c r="F1040" t="s">
        <v>18</v>
      </c>
      <c r="G1040">
        <v>3</v>
      </c>
      <c r="H1040">
        <v>1.802305</v>
      </c>
      <c r="I1040" t="s">
        <v>20</v>
      </c>
      <c r="J1040" t="s">
        <v>19</v>
      </c>
      <c r="K1040">
        <v>2</v>
      </c>
      <c r="L1040" t="s">
        <v>19</v>
      </c>
      <c r="M1040">
        <v>0.39087699999999997</v>
      </c>
      <c r="N1040">
        <v>0</v>
      </c>
      <c r="O1040" t="s">
        <v>19</v>
      </c>
      <c r="P1040" t="s">
        <v>28</v>
      </c>
      <c r="Q1040" t="s">
        <v>27</v>
      </c>
    </row>
    <row r="1041" spans="1:17" x14ac:dyDescent="0.2">
      <c r="A1041" t="s">
        <v>23</v>
      </c>
      <c r="B1041">
        <v>17.178483</v>
      </c>
      <c r="C1041">
        <v>1.7862899999999999</v>
      </c>
      <c r="D1041">
        <v>95.277392000000006</v>
      </c>
      <c r="E1041" t="s">
        <v>18</v>
      </c>
      <c r="F1041" t="s">
        <v>18</v>
      </c>
      <c r="G1041">
        <v>2</v>
      </c>
      <c r="H1041">
        <v>3</v>
      </c>
      <c r="I1041" t="s">
        <v>20</v>
      </c>
      <c r="J1041" t="s">
        <v>19</v>
      </c>
      <c r="K1041">
        <v>3</v>
      </c>
      <c r="L1041" t="s">
        <v>19</v>
      </c>
      <c r="M1041">
        <v>1.0723180000000001</v>
      </c>
      <c r="N1041">
        <v>0.65190400000000004</v>
      </c>
      <c r="O1041" t="s">
        <v>20</v>
      </c>
      <c r="P1041" t="s">
        <v>21</v>
      </c>
      <c r="Q1041" t="s">
        <v>27</v>
      </c>
    </row>
    <row r="1042" spans="1:17" x14ac:dyDescent="0.2">
      <c r="A1042" t="s">
        <v>23</v>
      </c>
      <c r="B1042">
        <v>33.081600000000002</v>
      </c>
      <c r="C1042">
        <v>1.7056169999999999</v>
      </c>
      <c r="D1042">
        <v>83.016968000000006</v>
      </c>
      <c r="E1042" t="s">
        <v>18</v>
      </c>
      <c r="F1042" t="s">
        <v>18</v>
      </c>
      <c r="G1042">
        <v>2</v>
      </c>
      <c r="H1042">
        <v>2.7976000000000001</v>
      </c>
      <c r="I1042" t="s">
        <v>20</v>
      </c>
      <c r="J1042" t="s">
        <v>19</v>
      </c>
      <c r="K1042">
        <v>2.9916710000000002</v>
      </c>
      <c r="L1042" t="s">
        <v>19</v>
      </c>
      <c r="M1042">
        <v>2.1487379999999998</v>
      </c>
      <c r="N1042">
        <v>0</v>
      </c>
      <c r="O1042" t="s">
        <v>19</v>
      </c>
      <c r="P1042" t="s">
        <v>28</v>
      </c>
      <c r="Q1042" t="s">
        <v>27</v>
      </c>
    </row>
    <row r="1043" spans="1:17" x14ac:dyDescent="0.2">
      <c r="A1043" t="s">
        <v>23</v>
      </c>
      <c r="B1043">
        <v>33.270448000000002</v>
      </c>
      <c r="C1043">
        <v>1.733439</v>
      </c>
      <c r="D1043">
        <v>84.753829999999994</v>
      </c>
      <c r="E1043" t="s">
        <v>18</v>
      </c>
      <c r="F1043" t="s">
        <v>18</v>
      </c>
      <c r="G1043">
        <v>2.6315650000000002</v>
      </c>
      <c r="H1043">
        <v>2.627173</v>
      </c>
      <c r="I1043" t="s">
        <v>20</v>
      </c>
      <c r="J1043" t="s">
        <v>19</v>
      </c>
      <c r="K1043">
        <v>2.253422</v>
      </c>
      <c r="L1043" t="s">
        <v>19</v>
      </c>
      <c r="M1043">
        <v>2.6907559999999999</v>
      </c>
      <c r="N1043">
        <v>0.84577400000000003</v>
      </c>
      <c r="O1043" t="s">
        <v>19</v>
      </c>
      <c r="P1043" t="s">
        <v>28</v>
      </c>
      <c r="Q1043" t="s">
        <v>27</v>
      </c>
    </row>
    <row r="1044" spans="1:17" x14ac:dyDescent="0.2">
      <c r="A1044" t="s">
        <v>17</v>
      </c>
      <c r="B1044">
        <v>36.310291999999997</v>
      </c>
      <c r="C1044">
        <v>1.701397</v>
      </c>
      <c r="D1044">
        <v>83</v>
      </c>
      <c r="E1044" t="s">
        <v>18</v>
      </c>
      <c r="F1044" t="s">
        <v>18</v>
      </c>
      <c r="G1044">
        <v>2</v>
      </c>
      <c r="H1044">
        <v>1</v>
      </c>
      <c r="I1044" t="s">
        <v>20</v>
      </c>
      <c r="J1044" t="s">
        <v>19</v>
      </c>
      <c r="K1044">
        <v>2</v>
      </c>
      <c r="L1044" t="s">
        <v>19</v>
      </c>
      <c r="M1044">
        <v>1.472172</v>
      </c>
      <c r="N1044">
        <v>0</v>
      </c>
      <c r="O1044" t="s">
        <v>19</v>
      </c>
      <c r="P1044" t="s">
        <v>28</v>
      </c>
      <c r="Q1044" t="s">
        <v>27</v>
      </c>
    </row>
    <row r="1045" spans="1:17" x14ac:dyDescent="0.2">
      <c r="A1045" t="s">
        <v>17</v>
      </c>
      <c r="B1045">
        <v>20</v>
      </c>
      <c r="C1045">
        <v>1.6252359999999999</v>
      </c>
      <c r="D1045">
        <v>74.433362000000002</v>
      </c>
      <c r="E1045" t="s">
        <v>18</v>
      </c>
      <c r="F1045" t="s">
        <v>19</v>
      </c>
      <c r="G1045">
        <v>2.5223990000000001</v>
      </c>
      <c r="H1045">
        <v>1.0328870000000001</v>
      </c>
      <c r="I1045" t="s">
        <v>20</v>
      </c>
      <c r="J1045" t="s">
        <v>19</v>
      </c>
      <c r="K1045">
        <v>2.397653</v>
      </c>
      <c r="L1045" t="s">
        <v>19</v>
      </c>
      <c r="M1045">
        <v>2.3586990000000001</v>
      </c>
      <c r="N1045">
        <v>0.44008700000000001</v>
      </c>
      <c r="O1045" t="s">
        <v>20</v>
      </c>
      <c r="P1045" t="s">
        <v>21</v>
      </c>
      <c r="Q1045" t="s">
        <v>27</v>
      </c>
    </row>
    <row r="1046" spans="1:17" x14ac:dyDescent="0.2">
      <c r="A1046" t="s">
        <v>17</v>
      </c>
      <c r="B1046">
        <v>18.549437000000001</v>
      </c>
      <c r="C1046">
        <v>1.545196</v>
      </c>
      <c r="D1046">
        <v>72.467861999999997</v>
      </c>
      <c r="E1046" t="s">
        <v>18</v>
      </c>
      <c r="F1046" t="s">
        <v>19</v>
      </c>
      <c r="G1046">
        <v>3</v>
      </c>
      <c r="H1046">
        <v>3.0148079999999999</v>
      </c>
      <c r="I1046" t="s">
        <v>20</v>
      </c>
      <c r="J1046" t="s">
        <v>19</v>
      </c>
      <c r="K1046">
        <v>2</v>
      </c>
      <c r="L1046" t="s">
        <v>19</v>
      </c>
      <c r="M1046">
        <v>1.9975290000000001</v>
      </c>
      <c r="N1046">
        <v>1</v>
      </c>
      <c r="O1046" t="s">
        <v>20</v>
      </c>
      <c r="P1046" t="s">
        <v>21</v>
      </c>
      <c r="Q1046" t="s">
        <v>27</v>
      </c>
    </row>
    <row r="1047" spans="1:17" x14ac:dyDescent="0.2">
      <c r="A1047" t="s">
        <v>23</v>
      </c>
      <c r="B1047">
        <v>34.243146000000003</v>
      </c>
      <c r="C1047">
        <v>1.843172</v>
      </c>
      <c r="D1047">
        <v>92.695509999999999</v>
      </c>
      <c r="E1047" t="s">
        <v>18</v>
      </c>
      <c r="F1047" t="s">
        <v>18</v>
      </c>
      <c r="G1047">
        <v>2</v>
      </c>
      <c r="H1047">
        <v>2.2717339999999999</v>
      </c>
      <c r="I1047" t="s">
        <v>20</v>
      </c>
      <c r="J1047" t="s">
        <v>19</v>
      </c>
      <c r="K1047">
        <v>2.6290429999999998</v>
      </c>
      <c r="L1047" t="s">
        <v>19</v>
      </c>
      <c r="M1047">
        <v>1</v>
      </c>
      <c r="N1047">
        <v>7.5823000000000002E-2</v>
      </c>
      <c r="O1047" t="s">
        <v>20</v>
      </c>
      <c r="P1047" t="s">
        <v>28</v>
      </c>
      <c r="Q1047" t="s">
        <v>27</v>
      </c>
    </row>
    <row r="1048" spans="1:17" x14ac:dyDescent="0.2">
      <c r="A1048" t="s">
        <v>23</v>
      </c>
      <c r="B1048">
        <v>23.320119999999999</v>
      </c>
      <c r="C1048">
        <v>1.705813</v>
      </c>
      <c r="D1048">
        <v>82.011961999999997</v>
      </c>
      <c r="E1048" t="s">
        <v>18</v>
      </c>
      <c r="F1048" t="s">
        <v>18</v>
      </c>
      <c r="G1048">
        <v>2.7844709999999999</v>
      </c>
      <c r="H1048">
        <v>2.1225450000000001</v>
      </c>
      <c r="I1048" t="s">
        <v>20</v>
      </c>
      <c r="J1048" t="s">
        <v>19</v>
      </c>
      <c r="K1048">
        <v>2.9841530000000001</v>
      </c>
      <c r="L1048" t="s">
        <v>19</v>
      </c>
      <c r="M1048">
        <v>2.164472</v>
      </c>
      <c r="N1048">
        <v>0.20397799999999999</v>
      </c>
      <c r="O1048" t="s">
        <v>20</v>
      </c>
      <c r="P1048" t="s">
        <v>21</v>
      </c>
      <c r="Q1048" t="s">
        <v>27</v>
      </c>
    </row>
    <row r="1049" spans="1:17" x14ac:dyDescent="0.2">
      <c r="A1049" t="s">
        <v>23</v>
      </c>
      <c r="B1049">
        <v>19.703095000000001</v>
      </c>
      <c r="C1049">
        <v>1.7041409999999999</v>
      </c>
      <c r="D1049">
        <v>78.790936000000002</v>
      </c>
      <c r="E1049" t="s">
        <v>18</v>
      </c>
      <c r="F1049" t="s">
        <v>19</v>
      </c>
      <c r="G1049">
        <v>1.6505050000000001</v>
      </c>
      <c r="H1049">
        <v>3</v>
      </c>
      <c r="I1049" t="s">
        <v>20</v>
      </c>
      <c r="J1049" t="s">
        <v>19</v>
      </c>
      <c r="K1049">
        <v>2</v>
      </c>
      <c r="L1049" t="s">
        <v>19</v>
      </c>
      <c r="M1049">
        <v>1.73234</v>
      </c>
      <c r="N1049">
        <v>1</v>
      </c>
      <c r="O1049" t="s">
        <v>20</v>
      </c>
      <c r="P1049" t="s">
        <v>21</v>
      </c>
      <c r="Q1049" t="s">
        <v>27</v>
      </c>
    </row>
    <row r="1050" spans="1:17" x14ac:dyDescent="0.2">
      <c r="A1050" t="s">
        <v>23</v>
      </c>
      <c r="B1050">
        <v>19.223258999999999</v>
      </c>
      <c r="C1050">
        <v>1.7060820000000001</v>
      </c>
      <c r="D1050">
        <v>78.073527999999996</v>
      </c>
      <c r="E1050" t="s">
        <v>18</v>
      </c>
      <c r="F1050" t="s">
        <v>19</v>
      </c>
      <c r="G1050">
        <v>1.961347</v>
      </c>
      <c r="H1050">
        <v>3</v>
      </c>
      <c r="I1050" t="s">
        <v>20</v>
      </c>
      <c r="J1050" t="s">
        <v>19</v>
      </c>
      <c r="K1050">
        <v>2</v>
      </c>
      <c r="L1050" t="s">
        <v>19</v>
      </c>
      <c r="M1050">
        <v>1.6554880000000001</v>
      </c>
      <c r="N1050">
        <v>1</v>
      </c>
      <c r="O1050" t="s">
        <v>20</v>
      </c>
      <c r="P1050" t="s">
        <v>21</v>
      </c>
      <c r="Q1050" t="s">
        <v>27</v>
      </c>
    </row>
    <row r="1051" spans="1:17" x14ac:dyDescent="0.2">
      <c r="A1051" t="s">
        <v>23</v>
      </c>
      <c r="B1051">
        <v>29.695602999999998</v>
      </c>
      <c r="C1051">
        <v>1.842943</v>
      </c>
      <c r="D1051">
        <v>93.798055000000005</v>
      </c>
      <c r="E1051" t="s">
        <v>18</v>
      </c>
      <c r="F1051" t="s">
        <v>18</v>
      </c>
      <c r="G1051">
        <v>2.1339549999999998</v>
      </c>
      <c r="H1051">
        <v>2.9027660000000002</v>
      </c>
      <c r="I1051" t="s">
        <v>20</v>
      </c>
      <c r="J1051" t="s">
        <v>19</v>
      </c>
      <c r="K1051">
        <v>1.7534639999999999</v>
      </c>
      <c r="L1051" t="s">
        <v>19</v>
      </c>
      <c r="M1051">
        <v>1.7299869999999999</v>
      </c>
      <c r="N1051">
        <v>1</v>
      </c>
      <c r="O1051" t="s">
        <v>20</v>
      </c>
      <c r="P1051" t="s">
        <v>21</v>
      </c>
      <c r="Q1051" t="s">
        <v>27</v>
      </c>
    </row>
    <row r="1052" spans="1:17" x14ac:dyDescent="0.2">
      <c r="A1052" t="s">
        <v>23</v>
      </c>
      <c r="B1052">
        <v>27</v>
      </c>
      <c r="C1052">
        <v>1.880992</v>
      </c>
      <c r="D1052">
        <v>99.623778000000001</v>
      </c>
      <c r="E1052" t="s">
        <v>18</v>
      </c>
      <c r="F1052" t="s">
        <v>18</v>
      </c>
      <c r="G1052">
        <v>2.6845279999999998</v>
      </c>
      <c r="H1052">
        <v>1</v>
      </c>
      <c r="I1052" t="s">
        <v>20</v>
      </c>
      <c r="J1052" t="s">
        <v>19</v>
      </c>
      <c r="K1052">
        <v>1.0566800000000001</v>
      </c>
      <c r="L1052" t="s">
        <v>19</v>
      </c>
      <c r="M1052">
        <v>1.5161469999999999</v>
      </c>
      <c r="N1052">
        <v>8.4005999999999997E-2</v>
      </c>
      <c r="O1052" t="s">
        <v>20</v>
      </c>
      <c r="P1052" t="s">
        <v>21</v>
      </c>
      <c r="Q1052" t="s">
        <v>27</v>
      </c>
    </row>
    <row r="1053" spans="1:17" x14ac:dyDescent="0.2">
      <c r="A1053" t="s">
        <v>23</v>
      </c>
      <c r="B1053">
        <v>21.027661999999999</v>
      </c>
      <c r="C1053">
        <v>1.726774</v>
      </c>
      <c r="D1053">
        <v>82.853748999999993</v>
      </c>
      <c r="E1053" t="s">
        <v>18</v>
      </c>
      <c r="F1053" t="s">
        <v>18</v>
      </c>
      <c r="G1053">
        <v>2.2659729999999998</v>
      </c>
      <c r="H1053">
        <v>2.6875019999999998</v>
      </c>
      <c r="I1053" t="s">
        <v>20</v>
      </c>
      <c r="J1053" t="s">
        <v>19</v>
      </c>
      <c r="K1053">
        <v>2</v>
      </c>
      <c r="L1053" t="s">
        <v>19</v>
      </c>
      <c r="M1053">
        <v>2.2172200000000002</v>
      </c>
      <c r="N1053">
        <v>0.64852200000000004</v>
      </c>
      <c r="O1053" t="s">
        <v>20</v>
      </c>
      <c r="P1053" t="s">
        <v>21</v>
      </c>
      <c r="Q1053" t="s">
        <v>27</v>
      </c>
    </row>
    <row r="1054" spans="1:17" x14ac:dyDescent="0.2">
      <c r="A1054" t="s">
        <v>23</v>
      </c>
      <c r="B1054">
        <v>33.015258000000003</v>
      </c>
      <c r="C1054">
        <v>1.7319599999999999</v>
      </c>
      <c r="D1054">
        <v>84.315607999999997</v>
      </c>
      <c r="E1054" t="s">
        <v>18</v>
      </c>
      <c r="F1054" t="s">
        <v>18</v>
      </c>
      <c r="G1054">
        <v>2</v>
      </c>
      <c r="H1054">
        <v>3</v>
      </c>
      <c r="I1054" t="s">
        <v>20</v>
      </c>
      <c r="J1054" t="s">
        <v>19</v>
      </c>
      <c r="K1054">
        <v>2.205911</v>
      </c>
      <c r="L1054" t="s">
        <v>19</v>
      </c>
      <c r="M1054">
        <v>1.293396</v>
      </c>
      <c r="N1054">
        <v>0</v>
      </c>
      <c r="O1054" t="s">
        <v>19</v>
      </c>
      <c r="P1054" t="s">
        <v>28</v>
      </c>
      <c r="Q1054" t="s">
        <v>27</v>
      </c>
    </row>
    <row r="1055" spans="1:17" x14ac:dyDescent="0.2">
      <c r="A1055" t="s">
        <v>23</v>
      </c>
      <c r="B1055">
        <v>18</v>
      </c>
      <c r="C1055">
        <v>1.7512779999999999</v>
      </c>
      <c r="D1055">
        <v>86.963628</v>
      </c>
      <c r="E1055" t="s">
        <v>18</v>
      </c>
      <c r="F1055" t="s">
        <v>19</v>
      </c>
      <c r="G1055">
        <v>3</v>
      </c>
      <c r="H1055">
        <v>3</v>
      </c>
      <c r="I1055" t="s">
        <v>20</v>
      </c>
      <c r="J1055" t="s">
        <v>19</v>
      </c>
      <c r="K1055">
        <v>2</v>
      </c>
      <c r="L1055" t="s">
        <v>19</v>
      </c>
      <c r="M1055">
        <v>1.2716670000000001</v>
      </c>
      <c r="N1055">
        <v>0.155278</v>
      </c>
      <c r="O1055" t="s">
        <v>20</v>
      </c>
      <c r="P1055" t="s">
        <v>21</v>
      </c>
      <c r="Q1055" t="s">
        <v>27</v>
      </c>
    </row>
    <row r="1056" spans="1:17" x14ac:dyDescent="0.2">
      <c r="A1056" t="s">
        <v>23</v>
      </c>
      <c r="B1056">
        <v>30.553097000000001</v>
      </c>
      <c r="C1056">
        <v>1.780448</v>
      </c>
      <c r="D1056">
        <v>88.431954000000005</v>
      </c>
      <c r="E1056" t="s">
        <v>18</v>
      </c>
      <c r="F1056" t="s">
        <v>18</v>
      </c>
      <c r="G1056">
        <v>2</v>
      </c>
      <c r="H1056">
        <v>1.1787080000000001</v>
      </c>
      <c r="I1056" t="s">
        <v>20</v>
      </c>
      <c r="J1056" t="s">
        <v>19</v>
      </c>
      <c r="K1056">
        <v>1.7912859999999999</v>
      </c>
      <c r="L1056" t="s">
        <v>19</v>
      </c>
      <c r="M1056">
        <v>0.89336199999999999</v>
      </c>
      <c r="N1056">
        <v>0.276364</v>
      </c>
      <c r="O1056" t="s">
        <v>20</v>
      </c>
      <c r="P1056" t="s">
        <v>21</v>
      </c>
      <c r="Q1056" t="s">
        <v>27</v>
      </c>
    </row>
    <row r="1057" spans="1:17" x14ac:dyDescent="0.2">
      <c r="A1057" t="s">
        <v>23</v>
      </c>
      <c r="B1057">
        <v>33</v>
      </c>
      <c r="C1057">
        <v>1.85</v>
      </c>
      <c r="D1057">
        <v>97.920349999999999</v>
      </c>
      <c r="E1057" t="s">
        <v>18</v>
      </c>
      <c r="F1057" t="s">
        <v>18</v>
      </c>
      <c r="G1057">
        <v>2</v>
      </c>
      <c r="H1057">
        <v>3</v>
      </c>
      <c r="I1057" t="s">
        <v>20</v>
      </c>
      <c r="J1057" t="s">
        <v>19</v>
      </c>
      <c r="K1057">
        <v>1.117464</v>
      </c>
      <c r="L1057" t="s">
        <v>19</v>
      </c>
      <c r="M1057">
        <v>1</v>
      </c>
      <c r="N1057">
        <v>0.66364900000000004</v>
      </c>
      <c r="O1057" t="s">
        <v>20</v>
      </c>
      <c r="P1057" t="s">
        <v>21</v>
      </c>
      <c r="Q1057" t="s">
        <v>27</v>
      </c>
    </row>
    <row r="1058" spans="1:17" x14ac:dyDescent="0.2">
      <c r="A1058" t="s">
        <v>23</v>
      </c>
      <c r="B1058">
        <v>24.911994</v>
      </c>
      <c r="C1058">
        <v>1.7852410000000001</v>
      </c>
      <c r="D1058">
        <v>88.037480000000002</v>
      </c>
      <c r="E1058" t="s">
        <v>18</v>
      </c>
      <c r="F1058" t="s">
        <v>18</v>
      </c>
      <c r="G1058">
        <v>1.3068439999999999</v>
      </c>
      <c r="H1058">
        <v>2.2795459999999999</v>
      </c>
      <c r="I1058" t="s">
        <v>20</v>
      </c>
      <c r="J1058" t="s">
        <v>19</v>
      </c>
      <c r="K1058">
        <v>2</v>
      </c>
      <c r="L1058" t="s">
        <v>19</v>
      </c>
      <c r="M1058">
        <v>0</v>
      </c>
      <c r="N1058">
        <v>0.73960899999999996</v>
      </c>
      <c r="O1058" t="s">
        <v>20</v>
      </c>
      <c r="P1058" t="s">
        <v>21</v>
      </c>
      <c r="Q1058" t="s">
        <v>27</v>
      </c>
    </row>
    <row r="1059" spans="1:17" x14ac:dyDescent="0.2">
      <c r="A1059" t="s">
        <v>23</v>
      </c>
      <c r="B1059">
        <v>24.444845999999998</v>
      </c>
      <c r="C1059">
        <v>1.718845</v>
      </c>
      <c r="D1059">
        <v>86.319886999999994</v>
      </c>
      <c r="E1059" t="s">
        <v>18</v>
      </c>
      <c r="F1059" t="s">
        <v>18</v>
      </c>
      <c r="G1059">
        <v>2</v>
      </c>
      <c r="H1059">
        <v>2.6776930000000001</v>
      </c>
      <c r="I1059" t="s">
        <v>20</v>
      </c>
      <c r="J1059" t="s">
        <v>19</v>
      </c>
      <c r="K1059">
        <v>2.693978</v>
      </c>
      <c r="L1059" t="s">
        <v>19</v>
      </c>
      <c r="M1059">
        <v>0</v>
      </c>
      <c r="N1059">
        <v>0.68801299999999999</v>
      </c>
      <c r="O1059" t="s">
        <v>20</v>
      </c>
      <c r="P1059" t="s">
        <v>21</v>
      </c>
      <c r="Q1059" t="s">
        <v>27</v>
      </c>
    </row>
    <row r="1060" spans="1:17" x14ac:dyDescent="0.2">
      <c r="A1060" t="s">
        <v>17</v>
      </c>
      <c r="B1060">
        <v>19.911245999999998</v>
      </c>
      <c r="C1060">
        <v>1.5302480000000001</v>
      </c>
      <c r="D1060">
        <v>68.850970000000004</v>
      </c>
      <c r="E1060" t="s">
        <v>18</v>
      </c>
      <c r="F1060" t="s">
        <v>19</v>
      </c>
      <c r="G1060">
        <v>2.2587950000000001</v>
      </c>
      <c r="H1060">
        <v>3.53009</v>
      </c>
      <c r="I1060" t="s">
        <v>20</v>
      </c>
      <c r="J1060" t="s">
        <v>19</v>
      </c>
      <c r="K1060">
        <v>1.172186</v>
      </c>
      <c r="L1060" t="s">
        <v>19</v>
      </c>
      <c r="M1060">
        <v>0.67894299999999996</v>
      </c>
      <c r="N1060">
        <v>1</v>
      </c>
      <c r="O1060" t="s">
        <v>19</v>
      </c>
      <c r="P1060" t="s">
        <v>21</v>
      </c>
      <c r="Q1060" t="s">
        <v>27</v>
      </c>
    </row>
    <row r="1061" spans="1:17" x14ac:dyDescent="0.2">
      <c r="A1061" t="s">
        <v>17</v>
      </c>
      <c r="B1061">
        <v>34.204408000000001</v>
      </c>
      <c r="C1061">
        <v>1.664927</v>
      </c>
      <c r="D1061">
        <v>80.386077999999998</v>
      </c>
      <c r="E1061" t="s">
        <v>18</v>
      </c>
      <c r="F1061" t="s">
        <v>18</v>
      </c>
      <c r="G1061">
        <v>2</v>
      </c>
      <c r="H1061">
        <v>3</v>
      </c>
      <c r="I1061" t="s">
        <v>20</v>
      </c>
      <c r="J1061" t="s">
        <v>19</v>
      </c>
      <c r="K1061">
        <v>2.641642</v>
      </c>
      <c r="L1061" t="s">
        <v>19</v>
      </c>
      <c r="M1061">
        <v>0.285889</v>
      </c>
      <c r="N1061">
        <v>1.50301</v>
      </c>
      <c r="O1061" t="s">
        <v>19</v>
      </c>
      <c r="P1061" t="s">
        <v>28</v>
      </c>
      <c r="Q1061" t="s">
        <v>27</v>
      </c>
    </row>
    <row r="1062" spans="1:17" x14ac:dyDescent="0.2">
      <c r="A1062" t="s">
        <v>17</v>
      </c>
      <c r="B1062">
        <v>34.281680999999999</v>
      </c>
      <c r="C1062">
        <v>1.673333</v>
      </c>
      <c r="D1062">
        <v>77.205685000000003</v>
      </c>
      <c r="E1062" t="s">
        <v>18</v>
      </c>
      <c r="F1062" t="s">
        <v>18</v>
      </c>
      <c r="G1062">
        <v>2.6899289999999998</v>
      </c>
      <c r="H1062">
        <v>1.8355429999999999</v>
      </c>
      <c r="I1062" t="s">
        <v>20</v>
      </c>
      <c r="J1062" t="s">
        <v>19</v>
      </c>
      <c r="K1062">
        <v>1.718569</v>
      </c>
      <c r="L1062" t="s">
        <v>19</v>
      </c>
      <c r="M1062">
        <v>0.67434799999999995</v>
      </c>
      <c r="N1062">
        <v>0.70724600000000004</v>
      </c>
      <c r="O1062" t="s">
        <v>19</v>
      </c>
      <c r="P1062" t="s">
        <v>28</v>
      </c>
      <c r="Q1062" t="s">
        <v>27</v>
      </c>
    </row>
    <row r="1063" spans="1:17" x14ac:dyDescent="0.2">
      <c r="A1063" t="s">
        <v>23</v>
      </c>
      <c r="B1063">
        <v>23.384374000000001</v>
      </c>
      <c r="C1063">
        <v>1.725587</v>
      </c>
      <c r="D1063">
        <v>82.480214000000004</v>
      </c>
      <c r="E1063" t="s">
        <v>18</v>
      </c>
      <c r="F1063" t="s">
        <v>18</v>
      </c>
      <c r="G1063">
        <v>2.7127469999999998</v>
      </c>
      <c r="H1063">
        <v>2.8536760000000001</v>
      </c>
      <c r="I1063" t="s">
        <v>20</v>
      </c>
      <c r="J1063" t="s">
        <v>19</v>
      </c>
      <c r="K1063">
        <v>1.526313</v>
      </c>
      <c r="L1063" t="s">
        <v>19</v>
      </c>
      <c r="M1063">
        <v>1</v>
      </c>
      <c r="N1063">
        <v>0.17366500000000001</v>
      </c>
      <c r="O1063" t="s">
        <v>20</v>
      </c>
      <c r="P1063" t="s">
        <v>21</v>
      </c>
      <c r="Q1063" t="s">
        <v>27</v>
      </c>
    </row>
    <row r="1064" spans="1:17" x14ac:dyDescent="0.2">
      <c r="A1064" t="s">
        <v>17</v>
      </c>
      <c r="B1064">
        <v>43.238402000000001</v>
      </c>
      <c r="C1064">
        <v>1.7338750000000001</v>
      </c>
      <c r="D1064">
        <v>86.94538</v>
      </c>
      <c r="E1064" t="s">
        <v>18</v>
      </c>
      <c r="F1064" t="s">
        <v>18</v>
      </c>
      <c r="G1064">
        <v>2.3536030000000001</v>
      </c>
      <c r="H1064">
        <v>2.3370350000000002</v>
      </c>
      <c r="I1064" t="s">
        <v>20</v>
      </c>
      <c r="J1064" t="s">
        <v>19</v>
      </c>
      <c r="K1064">
        <v>1.830614</v>
      </c>
      <c r="L1064" t="s">
        <v>19</v>
      </c>
      <c r="M1064">
        <v>0.706287</v>
      </c>
      <c r="N1064">
        <v>0</v>
      </c>
      <c r="O1064" t="s">
        <v>19</v>
      </c>
      <c r="P1064" t="s">
        <v>28</v>
      </c>
      <c r="Q1064" t="s">
        <v>27</v>
      </c>
    </row>
    <row r="1065" spans="1:17" x14ac:dyDescent="0.2">
      <c r="A1065" t="s">
        <v>17</v>
      </c>
      <c r="B1065">
        <v>45</v>
      </c>
      <c r="C1065">
        <v>1.675953</v>
      </c>
      <c r="D1065">
        <v>79.668319999999994</v>
      </c>
      <c r="E1065" t="s">
        <v>18</v>
      </c>
      <c r="F1065" t="s">
        <v>18</v>
      </c>
      <c r="G1065">
        <v>2.5980509999999999</v>
      </c>
      <c r="H1065">
        <v>3</v>
      </c>
      <c r="I1065" t="s">
        <v>20</v>
      </c>
      <c r="J1065" t="s">
        <v>19</v>
      </c>
      <c r="K1065">
        <v>1</v>
      </c>
      <c r="L1065" t="s">
        <v>19</v>
      </c>
      <c r="M1065">
        <v>0</v>
      </c>
      <c r="N1065">
        <v>0</v>
      </c>
      <c r="O1065" t="s">
        <v>19</v>
      </c>
      <c r="P1065" t="s">
        <v>28</v>
      </c>
      <c r="Q1065" t="s">
        <v>27</v>
      </c>
    </row>
    <row r="1066" spans="1:17" x14ac:dyDescent="0.2">
      <c r="A1066" t="s">
        <v>23</v>
      </c>
      <c r="B1066">
        <v>22.087389000000002</v>
      </c>
      <c r="C1066">
        <v>1.786238</v>
      </c>
      <c r="D1066">
        <v>89.802492000000001</v>
      </c>
      <c r="E1066" t="s">
        <v>18</v>
      </c>
      <c r="F1066" t="s">
        <v>18</v>
      </c>
      <c r="G1066">
        <v>1.718156</v>
      </c>
      <c r="H1066">
        <v>1.631184</v>
      </c>
      <c r="I1066" t="s">
        <v>20</v>
      </c>
      <c r="J1066" t="s">
        <v>19</v>
      </c>
      <c r="K1066">
        <v>2</v>
      </c>
      <c r="L1066" t="s">
        <v>19</v>
      </c>
      <c r="M1066">
        <v>0</v>
      </c>
      <c r="N1066">
        <v>0.30612400000000001</v>
      </c>
      <c r="O1066" t="s">
        <v>20</v>
      </c>
      <c r="P1066" t="s">
        <v>21</v>
      </c>
      <c r="Q1066" t="s">
        <v>27</v>
      </c>
    </row>
    <row r="1067" spans="1:17" x14ac:dyDescent="0.2">
      <c r="A1067" t="s">
        <v>23</v>
      </c>
      <c r="B1067">
        <v>21.378039000000001</v>
      </c>
      <c r="C1067">
        <v>1.718534</v>
      </c>
      <c r="D1067">
        <v>80</v>
      </c>
      <c r="E1067" t="s">
        <v>18</v>
      </c>
      <c r="F1067" t="s">
        <v>18</v>
      </c>
      <c r="G1067">
        <v>2</v>
      </c>
      <c r="H1067">
        <v>3</v>
      </c>
      <c r="I1067" t="s">
        <v>20</v>
      </c>
      <c r="J1067" t="s">
        <v>19</v>
      </c>
      <c r="K1067">
        <v>2</v>
      </c>
      <c r="L1067" t="s">
        <v>19</v>
      </c>
      <c r="M1067">
        <v>2.7216459999999998</v>
      </c>
      <c r="N1067">
        <v>1.2699819999999999</v>
      </c>
      <c r="O1067" t="s">
        <v>19</v>
      </c>
      <c r="P1067" t="s">
        <v>21</v>
      </c>
      <c r="Q1067" t="s">
        <v>27</v>
      </c>
    </row>
    <row r="1068" spans="1:17" x14ac:dyDescent="0.2">
      <c r="A1068" t="s">
        <v>23</v>
      </c>
      <c r="B1068">
        <v>31.398281000000001</v>
      </c>
      <c r="C1068">
        <v>1.919543</v>
      </c>
      <c r="D1068">
        <v>101.544589</v>
      </c>
      <c r="E1068" t="s">
        <v>18</v>
      </c>
      <c r="F1068" t="s">
        <v>18</v>
      </c>
      <c r="G1068">
        <v>2</v>
      </c>
      <c r="H1068">
        <v>1.0053909999999999</v>
      </c>
      <c r="I1068" t="s">
        <v>20</v>
      </c>
      <c r="J1068" t="s">
        <v>19</v>
      </c>
      <c r="K1068">
        <v>2.0019360000000002</v>
      </c>
      <c r="L1068" t="s">
        <v>19</v>
      </c>
      <c r="M1068">
        <v>1</v>
      </c>
      <c r="N1068">
        <v>0</v>
      </c>
      <c r="O1068" t="s">
        <v>20</v>
      </c>
      <c r="P1068" t="s">
        <v>21</v>
      </c>
      <c r="Q1068" t="s">
        <v>27</v>
      </c>
    </row>
    <row r="1069" spans="1:17" x14ac:dyDescent="0.2">
      <c r="A1069" t="s">
        <v>23</v>
      </c>
      <c r="B1069">
        <v>31.484494000000002</v>
      </c>
      <c r="C1069">
        <v>1.707613</v>
      </c>
      <c r="D1069">
        <v>82.586893000000003</v>
      </c>
      <c r="E1069" t="s">
        <v>18</v>
      </c>
      <c r="F1069" t="s">
        <v>18</v>
      </c>
      <c r="G1069">
        <v>2.795086</v>
      </c>
      <c r="H1069">
        <v>3.250467</v>
      </c>
      <c r="I1069" t="s">
        <v>20</v>
      </c>
      <c r="J1069" t="s">
        <v>19</v>
      </c>
      <c r="K1069">
        <v>1.3678760000000001</v>
      </c>
      <c r="L1069" t="s">
        <v>19</v>
      </c>
      <c r="M1069">
        <v>2.2957999999999999E-2</v>
      </c>
      <c r="N1069">
        <v>0</v>
      </c>
      <c r="O1069" t="s">
        <v>19</v>
      </c>
      <c r="P1069" t="s">
        <v>28</v>
      </c>
      <c r="Q1069" t="s">
        <v>27</v>
      </c>
    </row>
    <row r="1070" spans="1:17" x14ac:dyDescent="0.2">
      <c r="A1070" t="s">
        <v>23</v>
      </c>
      <c r="B1070">
        <v>21.709159</v>
      </c>
      <c r="C1070">
        <v>1.658393</v>
      </c>
      <c r="D1070">
        <v>80</v>
      </c>
      <c r="E1070" t="s">
        <v>18</v>
      </c>
      <c r="F1070" t="s">
        <v>18</v>
      </c>
      <c r="G1070">
        <v>2</v>
      </c>
      <c r="H1070">
        <v>3</v>
      </c>
      <c r="I1070" t="s">
        <v>20</v>
      </c>
      <c r="J1070" t="s">
        <v>19</v>
      </c>
      <c r="K1070">
        <v>2</v>
      </c>
      <c r="L1070" t="s">
        <v>19</v>
      </c>
      <c r="M1070">
        <v>2.9397329999999999</v>
      </c>
      <c r="N1070">
        <v>1.6922870000000001</v>
      </c>
      <c r="O1070" t="s">
        <v>19</v>
      </c>
      <c r="P1070" t="s">
        <v>21</v>
      </c>
      <c r="Q1070" t="s">
        <v>27</v>
      </c>
    </row>
    <row r="1071" spans="1:17" x14ac:dyDescent="0.2">
      <c r="A1071" t="s">
        <v>17</v>
      </c>
      <c r="B1071">
        <v>30.711380999999999</v>
      </c>
      <c r="C1071">
        <v>1.5368189999999999</v>
      </c>
      <c r="D1071">
        <v>65.912688000000003</v>
      </c>
      <c r="E1071" t="s">
        <v>18</v>
      </c>
      <c r="F1071" t="s">
        <v>19</v>
      </c>
      <c r="G1071">
        <v>2.0302560000000001</v>
      </c>
      <c r="H1071">
        <v>2.9487209999999999</v>
      </c>
      <c r="I1071" t="s">
        <v>20</v>
      </c>
      <c r="J1071" t="s">
        <v>19</v>
      </c>
      <c r="K1071">
        <v>1.9843230000000001</v>
      </c>
      <c r="L1071" t="s">
        <v>19</v>
      </c>
      <c r="M1071">
        <v>0.98641400000000001</v>
      </c>
      <c r="N1071">
        <v>0.333673</v>
      </c>
      <c r="O1071" t="s">
        <v>19</v>
      </c>
      <c r="P1071" t="s">
        <v>21</v>
      </c>
      <c r="Q1071" t="s">
        <v>27</v>
      </c>
    </row>
    <row r="1072" spans="1:17" x14ac:dyDescent="0.2">
      <c r="A1072" t="s">
        <v>23</v>
      </c>
      <c r="B1072">
        <v>34.821441999999998</v>
      </c>
      <c r="C1072">
        <v>1.8054589999999999</v>
      </c>
      <c r="D1072">
        <v>90.138679999999994</v>
      </c>
      <c r="E1072" t="s">
        <v>18</v>
      </c>
      <c r="F1072" t="s">
        <v>18</v>
      </c>
      <c r="G1072">
        <v>2</v>
      </c>
      <c r="H1072">
        <v>1.80993</v>
      </c>
      <c r="I1072" t="s">
        <v>20</v>
      </c>
      <c r="J1072" t="s">
        <v>19</v>
      </c>
      <c r="K1072">
        <v>2.1748349999999999</v>
      </c>
      <c r="L1072" t="s">
        <v>19</v>
      </c>
      <c r="M1072">
        <v>0.34091500000000002</v>
      </c>
      <c r="N1072">
        <v>2.0153000000000001E-2</v>
      </c>
      <c r="O1072" t="s">
        <v>20</v>
      </c>
      <c r="P1072" t="s">
        <v>28</v>
      </c>
      <c r="Q1072" t="s">
        <v>27</v>
      </c>
    </row>
    <row r="1073" spans="1:17" x14ac:dyDescent="0.2">
      <c r="A1073" t="s">
        <v>17</v>
      </c>
      <c r="B1073">
        <v>20.843363</v>
      </c>
      <c r="C1073">
        <v>1.5210079999999999</v>
      </c>
      <c r="D1073">
        <v>67.083121000000006</v>
      </c>
      <c r="E1073" t="s">
        <v>18</v>
      </c>
      <c r="F1073" t="s">
        <v>19</v>
      </c>
      <c r="G1073">
        <v>2.4934479999999999</v>
      </c>
      <c r="H1073">
        <v>3</v>
      </c>
      <c r="I1073" t="s">
        <v>20</v>
      </c>
      <c r="J1073" t="s">
        <v>19</v>
      </c>
      <c r="K1073">
        <v>1.8499969999999999</v>
      </c>
      <c r="L1073" t="s">
        <v>19</v>
      </c>
      <c r="M1073">
        <v>0.95445899999999995</v>
      </c>
      <c r="N1073">
        <v>1.4445319999999999</v>
      </c>
      <c r="O1073" t="s">
        <v>19</v>
      </c>
      <c r="P1073" t="s">
        <v>21</v>
      </c>
      <c r="Q1073" t="s">
        <v>27</v>
      </c>
    </row>
    <row r="1074" spans="1:17" x14ac:dyDescent="0.2">
      <c r="A1074" t="s">
        <v>23</v>
      </c>
      <c r="B1074">
        <v>19.443639000000001</v>
      </c>
      <c r="C1074">
        <v>1.7447330000000001</v>
      </c>
      <c r="D1074">
        <v>87.279889999999995</v>
      </c>
      <c r="E1074" t="s">
        <v>18</v>
      </c>
      <c r="F1074" t="s">
        <v>18</v>
      </c>
      <c r="G1074">
        <v>2.442536</v>
      </c>
      <c r="H1074">
        <v>3</v>
      </c>
      <c r="I1074" t="s">
        <v>20</v>
      </c>
      <c r="J1074" t="s">
        <v>19</v>
      </c>
      <c r="K1074">
        <v>2.8256290000000002</v>
      </c>
      <c r="L1074" t="s">
        <v>19</v>
      </c>
      <c r="M1074">
        <v>3</v>
      </c>
      <c r="N1074">
        <v>0</v>
      </c>
      <c r="O1074" t="s">
        <v>20</v>
      </c>
      <c r="P1074" t="s">
        <v>21</v>
      </c>
      <c r="Q1074" t="s">
        <v>27</v>
      </c>
    </row>
    <row r="1075" spans="1:17" x14ac:dyDescent="0.2">
      <c r="A1075" t="s">
        <v>17</v>
      </c>
      <c r="B1075">
        <v>20.492076999999998</v>
      </c>
      <c r="C1075">
        <v>1.529223</v>
      </c>
      <c r="D1075">
        <v>65.140407999999994</v>
      </c>
      <c r="E1075" t="s">
        <v>18</v>
      </c>
      <c r="F1075" t="s">
        <v>19</v>
      </c>
      <c r="G1075">
        <v>2.0039509999999998</v>
      </c>
      <c r="H1075">
        <v>3</v>
      </c>
      <c r="I1075" t="s">
        <v>20</v>
      </c>
      <c r="J1075" t="s">
        <v>19</v>
      </c>
      <c r="K1075">
        <v>1.207978</v>
      </c>
      <c r="L1075" t="s">
        <v>19</v>
      </c>
      <c r="M1075">
        <v>1.9167510000000001</v>
      </c>
      <c r="N1075">
        <v>1.2289950000000001</v>
      </c>
      <c r="O1075" t="s">
        <v>19</v>
      </c>
      <c r="P1075" t="s">
        <v>21</v>
      </c>
      <c r="Q1075" t="s">
        <v>27</v>
      </c>
    </row>
    <row r="1076" spans="1:17" x14ac:dyDescent="0.2">
      <c r="A1076" t="s">
        <v>23</v>
      </c>
      <c r="B1076">
        <v>22.944348999999999</v>
      </c>
      <c r="C1076">
        <v>1.799742</v>
      </c>
      <c r="D1076">
        <v>89.981679999999997</v>
      </c>
      <c r="E1076" t="s">
        <v>18</v>
      </c>
      <c r="F1076" t="s">
        <v>18</v>
      </c>
      <c r="G1076">
        <v>1.34138</v>
      </c>
      <c r="H1076">
        <v>1.9467099999999999</v>
      </c>
      <c r="I1076" t="s">
        <v>20</v>
      </c>
      <c r="J1076" t="s">
        <v>19</v>
      </c>
      <c r="K1076">
        <v>2</v>
      </c>
      <c r="L1076" t="s">
        <v>19</v>
      </c>
      <c r="M1076">
        <v>0</v>
      </c>
      <c r="N1076">
        <v>0.97550400000000004</v>
      </c>
      <c r="O1076" t="s">
        <v>20</v>
      </c>
      <c r="P1076" t="s">
        <v>21</v>
      </c>
      <c r="Q1076" t="s">
        <v>27</v>
      </c>
    </row>
    <row r="1077" spans="1:17" x14ac:dyDescent="0.2">
      <c r="A1077" t="s">
        <v>17</v>
      </c>
      <c r="B1077">
        <v>23</v>
      </c>
      <c r="C1077">
        <v>1.681314</v>
      </c>
      <c r="D1077">
        <v>80.037201999999994</v>
      </c>
      <c r="E1077" t="s">
        <v>18</v>
      </c>
      <c r="F1077" t="s">
        <v>18</v>
      </c>
      <c r="G1077">
        <v>2</v>
      </c>
      <c r="H1077">
        <v>2.9796</v>
      </c>
      <c r="I1077" t="s">
        <v>20</v>
      </c>
      <c r="J1077" t="s">
        <v>19</v>
      </c>
      <c r="K1077">
        <v>1.9644349999999999</v>
      </c>
      <c r="L1077" t="s">
        <v>19</v>
      </c>
      <c r="M1077">
        <v>0.18995699999999999</v>
      </c>
      <c r="N1077">
        <v>1.7321599999999999</v>
      </c>
      <c r="O1077" t="s">
        <v>19</v>
      </c>
      <c r="P1077" t="s">
        <v>21</v>
      </c>
      <c r="Q1077" t="s">
        <v>27</v>
      </c>
    </row>
    <row r="1078" spans="1:17" x14ac:dyDescent="0.2">
      <c r="A1078" t="s">
        <v>23</v>
      </c>
      <c r="B1078">
        <v>24.068940000000001</v>
      </c>
      <c r="C1078">
        <v>1.706912</v>
      </c>
      <c r="D1078">
        <v>85.743727000000007</v>
      </c>
      <c r="E1078" t="s">
        <v>18</v>
      </c>
      <c r="F1078" t="s">
        <v>18</v>
      </c>
      <c r="G1078">
        <v>2</v>
      </c>
      <c r="H1078">
        <v>2.9941979999999999</v>
      </c>
      <c r="I1078" t="s">
        <v>20</v>
      </c>
      <c r="J1078" t="s">
        <v>19</v>
      </c>
      <c r="K1078">
        <v>2.7473019999999999</v>
      </c>
      <c r="L1078" t="s">
        <v>19</v>
      </c>
      <c r="M1078">
        <v>0</v>
      </c>
      <c r="N1078">
        <v>0.79975600000000002</v>
      </c>
      <c r="O1078" t="s">
        <v>20</v>
      </c>
      <c r="P1078" t="s">
        <v>21</v>
      </c>
      <c r="Q1078" t="s">
        <v>27</v>
      </c>
    </row>
    <row r="1079" spans="1:17" x14ac:dyDescent="0.2">
      <c r="A1079" t="s">
        <v>17</v>
      </c>
      <c r="B1079">
        <v>23.728707</v>
      </c>
      <c r="C1079">
        <v>1.6635089999999999</v>
      </c>
      <c r="D1079">
        <v>80</v>
      </c>
      <c r="E1079" t="s">
        <v>18</v>
      </c>
      <c r="F1079" t="s">
        <v>18</v>
      </c>
      <c r="G1079">
        <v>2</v>
      </c>
      <c r="H1079">
        <v>3</v>
      </c>
      <c r="I1079" t="s">
        <v>20</v>
      </c>
      <c r="J1079" t="s">
        <v>19</v>
      </c>
      <c r="K1079">
        <v>2.1375500000000001</v>
      </c>
      <c r="L1079" t="s">
        <v>19</v>
      </c>
      <c r="M1079">
        <v>0</v>
      </c>
      <c r="N1079">
        <v>0.124977</v>
      </c>
      <c r="O1079" t="s">
        <v>19</v>
      </c>
      <c r="P1079" t="s">
        <v>21</v>
      </c>
      <c r="Q1079" t="s">
        <v>27</v>
      </c>
    </row>
    <row r="1080" spans="1:17" x14ac:dyDescent="0.2">
      <c r="A1080" t="s">
        <v>23</v>
      </c>
      <c r="B1080">
        <v>29.216018999999999</v>
      </c>
      <c r="C1080">
        <v>1.752265</v>
      </c>
      <c r="D1080">
        <v>88.096062000000003</v>
      </c>
      <c r="E1080" t="s">
        <v>18</v>
      </c>
      <c r="F1080" t="s">
        <v>18</v>
      </c>
      <c r="G1080">
        <v>2</v>
      </c>
      <c r="H1080">
        <v>1.8943840000000001</v>
      </c>
      <c r="I1080" t="s">
        <v>20</v>
      </c>
      <c r="J1080" t="s">
        <v>19</v>
      </c>
      <c r="K1080">
        <v>2</v>
      </c>
      <c r="L1080" t="s">
        <v>19</v>
      </c>
      <c r="M1080">
        <v>0</v>
      </c>
      <c r="N1080">
        <v>0</v>
      </c>
      <c r="O1080" t="s">
        <v>20</v>
      </c>
      <c r="P1080" t="s">
        <v>21</v>
      </c>
      <c r="Q1080" t="s">
        <v>27</v>
      </c>
    </row>
    <row r="1081" spans="1:17" x14ac:dyDescent="0.2">
      <c r="A1081" t="s">
        <v>23</v>
      </c>
      <c r="B1081">
        <v>24.751511000000001</v>
      </c>
      <c r="C1081">
        <v>1.7353430000000001</v>
      </c>
      <c r="D1081">
        <v>83.337721000000002</v>
      </c>
      <c r="E1081" t="s">
        <v>18</v>
      </c>
      <c r="F1081" t="s">
        <v>18</v>
      </c>
      <c r="G1081">
        <v>2.607335</v>
      </c>
      <c r="H1081">
        <v>3</v>
      </c>
      <c r="I1081" t="s">
        <v>20</v>
      </c>
      <c r="J1081" t="s">
        <v>19</v>
      </c>
      <c r="K1081">
        <v>2</v>
      </c>
      <c r="L1081" t="s">
        <v>19</v>
      </c>
      <c r="M1081">
        <v>0.45100899999999999</v>
      </c>
      <c r="N1081">
        <v>0.63086600000000004</v>
      </c>
      <c r="O1081" t="s">
        <v>20</v>
      </c>
      <c r="P1081" t="s">
        <v>21</v>
      </c>
      <c r="Q1081" t="s">
        <v>27</v>
      </c>
    </row>
    <row r="1082" spans="1:17" x14ac:dyDescent="0.2">
      <c r="A1082" t="s">
        <v>17</v>
      </c>
      <c r="B1082">
        <v>28.977792000000001</v>
      </c>
      <c r="C1082">
        <v>1.7</v>
      </c>
      <c r="D1082">
        <v>78</v>
      </c>
      <c r="E1082" t="s">
        <v>18</v>
      </c>
      <c r="F1082" t="s">
        <v>18</v>
      </c>
      <c r="G1082">
        <v>3</v>
      </c>
      <c r="H1082">
        <v>3</v>
      </c>
      <c r="I1082" t="s">
        <v>20</v>
      </c>
      <c r="J1082" t="s">
        <v>19</v>
      </c>
      <c r="K1082">
        <v>1.507638</v>
      </c>
      <c r="L1082" t="s">
        <v>19</v>
      </c>
      <c r="M1082">
        <v>1.8243400000000001</v>
      </c>
      <c r="N1082">
        <v>1</v>
      </c>
      <c r="O1082" t="s">
        <v>24</v>
      </c>
      <c r="P1082" t="s">
        <v>28</v>
      </c>
      <c r="Q1082" t="s">
        <v>27</v>
      </c>
    </row>
    <row r="1083" spans="1:17" x14ac:dyDescent="0.2">
      <c r="A1083" t="s">
        <v>23</v>
      </c>
      <c r="B1083">
        <v>17.441593000000001</v>
      </c>
      <c r="C1083">
        <v>1.7</v>
      </c>
      <c r="D1083">
        <v>83.414072000000004</v>
      </c>
      <c r="E1083" t="s">
        <v>18</v>
      </c>
      <c r="F1083" t="s">
        <v>19</v>
      </c>
      <c r="G1083">
        <v>2.0613839999999999</v>
      </c>
      <c r="H1083">
        <v>2.579291</v>
      </c>
      <c r="I1083" t="s">
        <v>20</v>
      </c>
      <c r="J1083" t="s">
        <v>19</v>
      </c>
      <c r="K1083">
        <v>1.9092530000000001</v>
      </c>
      <c r="L1083" t="s">
        <v>19</v>
      </c>
      <c r="M1083">
        <v>1</v>
      </c>
      <c r="N1083">
        <v>0.96246799999999999</v>
      </c>
      <c r="O1083" t="s">
        <v>20</v>
      </c>
      <c r="P1083" t="s">
        <v>21</v>
      </c>
      <c r="Q1083" t="s">
        <v>27</v>
      </c>
    </row>
    <row r="1084" spans="1:17" x14ac:dyDescent="0.2">
      <c r="A1084" t="s">
        <v>17</v>
      </c>
      <c r="B1084">
        <v>19.126145000000001</v>
      </c>
      <c r="C1084">
        <v>1.633794</v>
      </c>
      <c r="D1084">
        <v>77.858531999999997</v>
      </c>
      <c r="E1084" t="s">
        <v>18</v>
      </c>
      <c r="F1084" t="s">
        <v>19</v>
      </c>
      <c r="G1084">
        <v>2.6963810000000001</v>
      </c>
      <c r="H1084">
        <v>3</v>
      </c>
      <c r="I1084" t="s">
        <v>20</v>
      </c>
      <c r="J1084" t="s">
        <v>19</v>
      </c>
      <c r="K1084">
        <v>2.4729640000000002</v>
      </c>
      <c r="L1084" t="s">
        <v>19</v>
      </c>
      <c r="M1084">
        <v>1.8561190000000001</v>
      </c>
      <c r="N1084">
        <v>1</v>
      </c>
      <c r="O1084" t="s">
        <v>20</v>
      </c>
      <c r="P1084" t="s">
        <v>21</v>
      </c>
      <c r="Q1084" t="s">
        <v>27</v>
      </c>
    </row>
    <row r="1085" spans="1:17" x14ac:dyDescent="0.2">
      <c r="A1085" t="s">
        <v>23</v>
      </c>
      <c r="B1085">
        <v>24.122589000000001</v>
      </c>
      <c r="C1085">
        <v>1.856759</v>
      </c>
      <c r="D1085">
        <v>95.887056000000001</v>
      </c>
      <c r="E1085" t="s">
        <v>18</v>
      </c>
      <c r="F1085" t="s">
        <v>18</v>
      </c>
      <c r="G1085">
        <v>1.1160680000000001</v>
      </c>
      <c r="H1085">
        <v>2.4490669999999999</v>
      </c>
      <c r="I1085" t="s">
        <v>20</v>
      </c>
      <c r="J1085" t="s">
        <v>19</v>
      </c>
      <c r="K1085">
        <v>2</v>
      </c>
      <c r="L1085" t="s">
        <v>19</v>
      </c>
      <c r="M1085">
        <v>0.92635000000000001</v>
      </c>
      <c r="N1085">
        <v>1.9711700000000001</v>
      </c>
      <c r="O1085" t="s">
        <v>20</v>
      </c>
      <c r="P1085" t="s">
        <v>21</v>
      </c>
      <c r="Q1085" t="s">
        <v>27</v>
      </c>
    </row>
    <row r="1086" spans="1:17" x14ac:dyDescent="0.2">
      <c r="A1086" t="s">
        <v>23</v>
      </c>
      <c r="B1086">
        <v>23</v>
      </c>
      <c r="C1086">
        <v>1.77433</v>
      </c>
      <c r="D1086">
        <v>90</v>
      </c>
      <c r="E1086" t="s">
        <v>18</v>
      </c>
      <c r="F1086" t="s">
        <v>18</v>
      </c>
      <c r="G1086">
        <v>2.1164320000000001</v>
      </c>
      <c r="H1086">
        <v>3</v>
      </c>
      <c r="I1086" t="s">
        <v>20</v>
      </c>
      <c r="J1086" t="s">
        <v>19</v>
      </c>
      <c r="K1086">
        <v>1.002292</v>
      </c>
      <c r="L1086" t="s">
        <v>19</v>
      </c>
      <c r="M1086">
        <v>0</v>
      </c>
      <c r="N1086">
        <v>1.066708</v>
      </c>
      <c r="O1086" t="s">
        <v>20</v>
      </c>
      <c r="P1086" t="s">
        <v>21</v>
      </c>
      <c r="Q1086" t="s">
        <v>27</v>
      </c>
    </row>
    <row r="1087" spans="1:17" x14ac:dyDescent="0.2">
      <c r="A1087" t="s">
        <v>17</v>
      </c>
      <c r="B1087">
        <v>28.824193999999999</v>
      </c>
      <c r="C1087">
        <v>1.7</v>
      </c>
      <c r="D1087">
        <v>78</v>
      </c>
      <c r="E1087" t="s">
        <v>18</v>
      </c>
      <c r="F1087" t="s">
        <v>18</v>
      </c>
      <c r="G1087">
        <v>3</v>
      </c>
      <c r="H1087">
        <v>3</v>
      </c>
      <c r="I1087" t="s">
        <v>20</v>
      </c>
      <c r="J1087" t="s">
        <v>19</v>
      </c>
      <c r="K1087">
        <v>2.1470739999999999</v>
      </c>
      <c r="L1087" t="s">
        <v>19</v>
      </c>
      <c r="M1087">
        <v>1.4160759999999999</v>
      </c>
      <c r="N1087">
        <v>1</v>
      </c>
      <c r="O1087" t="s">
        <v>24</v>
      </c>
      <c r="P1087" t="s">
        <v>28</v>
      </c>
      <c r="Q1087" t="s">
        <v>27</v>
      </c>
    </row>
    <row r="1088" spans="1:17" x14ac:dyDescent="0.2">
      <c r="A1088" t="s">
        <v>23</v>
      </c>
      <c r="B1088">
        <v>34.204611</v>
      </c>
      <c r="C1088">
        <v>1.719509</v>
      </c>
      <c r="D1088">
        <v>84.416515000000004</v>
      </c>
      <c r="E1088" t="s">
        <v>18</v>
      </c>
      <c r="F1088" t="s">
        <v>18</v>
      </c>
      <c r="G1088">
        <v>2.0312459999999999</v>
      </c>
      <c r="H1088">
        <v>3</v>
      </c>
      <c r="I1088" t="s">
        <v>20</v>
      </c>
      <c r="J1088" t="s">
        <v>19</v>
      </c>
      <c r="K1088">
        <v>2.8030020000000002</v>
      </c>
      <c r="L1088" t="s">
        <v>19</v>
      </c>
      <c r="M1088">
        <v>1.98448</v>
      </c>
      <c r="N1088">
        <v>0.41862300000000002</v>
      </c>
      <c r="O1088" t="s">
        <v>19</v>
      </c>
      <c r="P1088" t="s">
        <v>28</v>
      </c>
      <c r="Q1088" t="s">
        <v>27</v>
      </c>
    </row>
    <row r="1089" spans="1:17" x14ac:dyDescent="0.2">
      <c r="A1089" t="s">
        <v>17</v>
      </c>
      <c r="B1089">
        <v>28.167798999999999</v>
      </c>
      <c r="C1089">
        <v>1.658202</v>
      </c>
      <c r="D1089">
        <v>78</v>
      </c>
      <c r="E1089" t="s">
        <v>18</v>
      </c>
      <c r="F1089" t="s">
        <v>18</v>
      </c>
      <c r="G1089">
        <v>2.9380310000000001</v>
      </c>
      <c r="H1089">
        <v>1.5328329999999999</v>
      </c>
      <c r="I1089" t="s">
        <v>20</v>
      </c>
      <c r="J1089" t="s">
        <v>19</v>
      </c>
      <c r="K1089">
        <v>1.9312419999999999</v>
      </c>
      <c r="L1089" t="s">
        <v>19</v>
      </c>
      <c r="M1089">
        <v>0.52500199999999997</v>
      </c>
      <c r="N1089">
        <v>0.37194100000000002</v>
      </c>
      <c r="O1089" t="s">
        <v>24</v>
      </c>
      <c r="P1089" t="s">
        <v>28</v>
      </c>
      <c r="Q1089" t="s">
        <v>27</v>
      </c>
    </row>
    <row r="1090" spans="1:17" x14ac:dyDescent="0.2">
      <c r="A1090" t="s">
        <v>23</v>
      </c>
      <c r="B1090">
        <v>55.137881</v>
      </c>
      <c r="C1090">
        <v>1.6572210000000001</v>
      </c>
      <c r="D1090">
        <v>80.993212999999997</v>
      </c>
      <c r="E1090" t="s">
        <v>18</v>
      </c>
      <c r="F1090" t="s">
        <v>18</v>
      </c>
      <c r="G1090">
        <v>2</v>
      </c>
      <c r="H1090">
        <v>3</v>
      </c>
      <c r="I1090" t="s">
        <v>20</v>
      </c>
      <c r="J1090" t="s">
        <v>19</v>
      </c>
      <c r="K1090">
        <v>2</v>
      </c>
      <c r="L1090" t="s">
        <v>19</v>
      </c>
      <c r="M1090">
        <v>1</v>
      </c>
      <c r="N1090">
        <v>0</v>
      </c>
      <c r="O1090" t="s">
        <v>19</v>
      </c>
      <c r="P1090" t="s">
        <v>28</v>
      </c>
      <c r="Q1090" t="s">
        <v>27</v>
      </c>
    </row>
    <row r="1091" spans="1:17" x14ac:dyDescent="0.2">
      <c r="A1091" t="s">
        <v>23</v>
      </c>
      <c r="B1091">
        <v>34.970367000000003</v>
      </c>
      <c r="C1091">
        <v>1.7133480000000001</v>
      </c>
      <c r="D1091">
        <v>84.722222000000002</v>
      </c>
      <c r="E1091" t="s">
        <v>18</v>
      </c>
      <c r="F1091" t="s">
        <v>18</v>
      </c>
      <c r="G1091">
        <v>2.8842120000000002</v>
      </c>
      <c r="H1091">
        <v>3</v>
      </c>
      <c r="I1091" t="s">
        <v>20</v>
      </c>
      <c r="J1091" t="s">
        <v>19</v>
      </c>
      <c r="K1091">
        <v>3</v>
      </c>
      <c r="L1091" t="s">
        <v>19</v>
      </c>
      <c r="M1091">
        <v>2</v>
      </c>
      <c r="N1091">
        <v>0.83240000000000003</v>
      </c>
      <c r="O1091" t="s">
        <v>19</v>
      </c>
      <c r="P1091" t="s">
        <v>28</v>
      </c>
      <c r="Q1091" t="s">
        <v>27</v>
      </c>
    </row>
    <row r="1092" spans="1:17" x14ac:dyDescent="0.2">
      <c r="A1092" t="s">
        <v>23</v>
      </c>
      <c r="B1092">
        <v>20.986834000000002</v>
      </c>
      <c r="C1092">
        <v>1.6771780000000001</v>
      </c>
      <c r="D1092">
        <v>80.379575000000003</v>
      </c>
      <c r="E1092" t="s">
        <v>18</v>
      </c>
      <c r="F1092" t="s">
        <v>18</v>
      </c>
      <c r="G1092">
        <v>2</v>
      </c>
      <c r="H1092">
        <v>2.9617059999999999</v>
      </c>
      <c r="I1092" t="s">
        <v>20</v>
      </c>
      <c r="J1092" t="s">
        <v>19</v>
      </c>
      <c r="K1092">
        <v>2</v>
      </c>
      <c r="L1092" t="s">
        <v>19</v>
      </c>
      <c r="M1092">
        <v>1.661556</v>
      </c>
      <c r="N1092">
        <v>1.114716</v>
      </c>
      <c r="O1092" t="s">
        <v>19</v>
      </c>
      <c r="P1092" t="s">
        <v>21</v>
      </c>
      <c r="Q1092" t="s">
        <v>27</v>
      </c>
    </row>
    <row r="1093" spans="1:17" x14ac:dyDescent="0.2">
      <c r="A1093" t="s">
        <v>17</v>
      </c>
      <c r="B1093">
        <v>38.378056000000001</v>
      </c>
      <c r="C1093">
        <v>1.67805</v>
      </c>
      <c r="D1093">
        <v>77.224574000000004</v>
      </c>
      <c r="E1093" t="s">
        <v>18</v>
      </c>
      <c r="F1093" t="s">
        <v>18</v>
      </c>
      <c r="G1093">
        <v>2.4445990000000002</v>
      </c>
      <c r="H1093">
        <v>3</v>
      </c>
      <c r="I1093" t="s">
        <v>20</v>
      </c>
      <c r="J1093" t="s">
        <v>19</v>
      </c>
      <c r="K1093">
        <v>1.029798</v>
      </c>
      <c r="L1093" t="s">
        <v>19</v>
      </c>
      <c r="M1093">
        <v>0</v>
      </c>
      <c r="N1093">
        <v>0</v>
      </c>
      <c r="O1093" t="s">
        <v>19</v>
      </c>
      <c r="P1093" t="s">
        <v>28</v>
      </c>
      <c r="Q1093" t="s">
        <v>27</v>
      </c>
    </row>
    <row r="1094" spans="1:17" x14ac:dyDescent="0.2">
      <c r="A1094" t="s">
        <v>23</v>
      </c>
      <c r="B1094">
        <v>22.18881</v>
      </c>
      <c r="C1094">
        <v>1.717722</v>
      </c>
      <c r="D1094">
        <v>81.929910000000007</v>
      </c>
      <c r="E1094" t="s">
        <v>18</v>
      </c>
      <c r="F1094" t="s">
        <v>18</v>
      </c>
      <c r="G1094">
        <v>2</v>
      </c>
      <c r="H1094">
        <v>1.1525209999999999</v>
      </c>
      <c r="I1094" t="s">
        <v>20</v>
      </c>
      <c r="J1094" t="s">
        <v>19</v>
      </c>
      <c r="K1094">
        <v>1.7231590000000001</v>
      </c>
      <c r="L1094" t="s">
        <v>19</v>
      </c>
      <c r="M1094">
        <v>1.3901600000000001</v>
      </c>
      <c r="N1094">
        <v>1.0949409999999999</v>
      </c>
      <c r="O1094" t="s">
        <v>20</v>
      </c>
      <c r="P1094" t="s">
        <v>21</v>
      </c>
      <c r="Q1094" t="s">
        <v>27</v>
      </c>
    </row>
    <row r="1095" spans="1:17" x14ac:dyDescent="0.2">
      <c r="A1095" t="s">
        <v>17</v>
      </c>
      <c r="B1095">
        <v>21.082384000000001</v>
      </c>
      <c r="C1095">
        <v>1.4864839999999999</v>
      </c>
      <c r="D1095">
        <v>60.117992999999998</v>
      </c>
      <c r="E1095" t="s">
        <v>18</v>
      </c>
      <c r="F1095" t="s">
        <v>19</v>
      </c>
      <c r="G1095">
        <v>2</v>
      </c>
      <c r="H1095">
        <v>1.1046419999999999</v>
      </c>
      <c r="I1095" t="s">
        <v>20</v>
      </c>
      <c r="J1095" t="s">
        <v>19</v>
      </c>
      <c r="K1095">
        <v>1</v>
      </c>
      <c r="L1095" t="s">
        <v>19</v>
      </c>
      <c r="M1095">
        <v>0</v>
      </c>
      <c r="N1095">
        <v>0.96909699999999999</v>
      </c>
      <c r="O1095" t="s">
        <v>19</v>
      </c>
      <c r="P1095" t="s">
        <v>21</v>
      </c>
      <c r="Q1095" t="s">
        <v>27</v>
      </c>
    </row>
    <row r="1096" spans="1:17" x14ac:dyDescent="0.2">
      <c r="A1096" t="s">
        <v>17</v>
      </c>
      <c r="B1096">
        <v>25.293202000000001</v>
      </c>
      <c r="C1096">
        <v>1.503379</v>
      </c>
      <c r="D1096">
        <v>64.342459000000005</v>
      </c>
      <c r="E1096" t="s">
        <v>18</v>
      </c>
      <c r="F1096" t="s">
        <v>19</v>
      </c>
      <c r="G1096">
        <v>2</v>
      </c>
      <c r="H1096">
        <v>1</v>
      </c>
      <c r="I1096" t="s">
        <v>20</v>
      </c>
      <c r="J1096" t="s">
        <v>19</v>
      </c>
      <c r="K1096">
        <v>1.639807</v>
      </c>
      <c r="L1096" t="s">
        <v>19</v>
      </c>
      <c r="M1096">
        <v>7.2117000000000001E-2</v>
      </c>
      <c r="N1096">
        <v>0</v>
      </c>
      <c r="O1096" t="s">
        <v>19</v>
      </c>
      <c r="P1096" t="s">
        <v>21</v>
      </c>
      <c r="Q1096" t="s">
        <v>27</v>
      </c>
    </row>
    <row r="1097" spans="1:17" x14ac:dyDescent="0.2">
      <c r="A1097" t="s">
        <v>23</v>
      </c>
      <c r="B1097">
        <v>23</v>
      </c>
      <c r="C1097">
        <v>1.7189810000000001</v>
      </c>
      <c r="D1097">
        <v>81.66995</v>
      </c>
      <c r="E1097" t="s">
        <v>18</v>
      </c>
      <c r="F1097" t="s">
        <v>18</v>
      </c>
      <c r="G1097">
        <v>2</v>
      </c>
      <c r="H1097">
        <v>1.7295529999999999</v>
      </c>
      <c r="I1097" t="s">
        <v>20</v>
      </c>
      <c r="J1097" t="s">
        <v>19</v>
      </c>
      <c r="K1097">
        <v>1.400247</v>
      </c>
      <c r="L1097" t="s">
        <v>19</v>
      </c>
      <c r="M1097">
        <v>0.88792300000000002</v>
      </c>
      <c r="N1097">
        <v>1.0119830000000001</v>
      </c>
      <c r="O1097" t="s">
        <v>20</v>
      </c>
      <c r="P1097" t="s">
        <v>21</v>
      </c>
      <c r="Q1097" t="s">
        <v>27</v>
      </c>
    </row>
    <row r="1098" spans="1:17" x14ac:dyDescent="0.2">
      <c r="A1098" t="s">
        <v>17</v>
      </c>
      <c r="B1098">
        <v>39.170029</v>
      </c>
      <c r="C1098">
        <v>1.6883539999999999</v>
      </c>
      <c r="D1098">
        <v>79.278896000000003</v>
      </c>
      <c r="E1098" t="s">
        <v>18</v>
      </c>
      <c r="F1098" t="s">
        <v>18</v>
      </c>
      <c r="G1098">
        <v>3</v>
      </c>
      <c r="H1098">
        <v>3</v>
      </c>
      <c r="I1098" t="s">
        <v>20</v>
      </c>
      <c r="J1098" t="s">
        <v>19</v>
      </c>
      <c r="K1098">
        <v>2.9945149999999998</v>
      </c>
      <c r="L1098" t="s">
        <v>19</v>
      </c>
      <c r="M1098">
        <v>0</v>
      </c>
      <c r="N1098">
        <v>0</v>
      </c>
      <c r="O1098" t="s">
        <v>19</v>
      </c>
      <c r="P1098" t="s">
        <v>28</v>
      </c>
      <c r="Q1098" t="s">
        <v>27</v>
      </c>
    </row>
    <row r="1099" spans="1:17" x14ac:dyDescent="0.2">
      <c r="A1099" t="s">
        <v>17</v>
      </c>
      <c r="B1099">
        <v>34.044229000000001</v>
      </c>
      <c r="C1099">
        <v>1.665807</v>
      </c>
      <c r="D1099">
        <v>77.098973000000001</v>
      </c>
      <c r="E1099" t="s">
        <v>18</v>
      </c>
      <c r="F1099" t="s">
        <v>18</v>
      </c>
      <c r="G1099">
        <v>2.9769749999999999</v>
      </c>
      <c r="H1099">
        <v>1.3469869999999999</v>
      </c>
      <c r="I1099" t="s">
        <v>20</v>
      </c>
      <c r="J1099" t="s">
        <v>19</v>
      </c>
      <c r="K1099">
        <v>1.868349</v>
      </c>
      <c r="L1099" t="s">
        <v>19</v>
      </c>
      <c r="M1099">
        <v>0.702538</v>
      </c>
      <c r="N1099">
        <v>0.87933300000000003</v>
      </c>
      <c r="O1099" t="s">
        <v>19</v>
      </c>
      <c r="P1099" t="s">
        <v>28</v>
      </c>
      <c r="Q1099" t="s">
        <v>27</v>
      </c>
    </row>
    <row r="1100" spans="1:17" x14ac:dyDescent="0.2">
      <c r="A1100" t="s">
        <v>23</v>
      </c>
      <c r="B1100">
        <v>33.182127000000001</v>
      </c>
      <c r="C1100">
        <v>1.838441</v>
      </c>
      <c r="D1100">
        <v>97.029248999999993</v>
      </c>
      <c r="E1100" t="s">
        <v>18</v>
      </c>
      <c r="F1100" t="s">
        <v>18</v>
      </c>
      <c r="G1100">
        <v>2</v>
      </c>
      <c r="H1100">
        <v>1.9772209999999999</v>
      </c>
      <c r="I1100" t="s">
        <v>20</v>
      </c>
      <c r="J1100" t="s">
        <v>19</v>
      </c>
      <c r="K1100">
        <v>3</v>
      </c>
      <c r="L1100" t="s">
        <v>19</v>
      </c>
      <c r="M1100">
        <v>1</v>
      </c>
      <c r="N1100">
        <v>0</v>
      </c>
      <c r="O1100" t="s">
        <v>20</v>
      </c>
      <c r="P1100" t="s">
        <v>28</v>
      </c>
      <c r="Q1100" t="s">
        <v>27</v>
      </c>
    </row>
    <row r="1101" spans="1:17" x14ac:dyDescent="0.2">
      <c r="A1101" t="s">
        <v>17</v>
      </c>
      <c r="B1101">
        <v>19.821995999999999</v>
      </c>
      <c r="C1101">
        <v>1.6534310000000001</v>
      </c>
      <c r="D1101">
        <v>75.090439000000003</v>
      </c>
      <c r="E1101" t="s">
        <v>18</v>
      </c>
      <c r="F1101" t="s">
        <v>19</v>
      </c>
      <c r="G1101">
        <v>2.7660360000000002</v>
      </c>
      <c r="H1101">
        <v>2.4438119999999999</v>
      </c>
      <c r="I1101" t="s">
        <v>20</v>
      </c>
      <c r="J1101" t="s">
        <v>19</v>
      </c>
      <c r="K1101">
        <v>2.7079270000000002</v>
      </c>
      <c r="L1101" t="s">
        <v>19</v>
      </c>
      <c r="M1101">
        <v>0.70283899999999999</v>
      </c>
      <c r="N1101">
        <v>0.82743900000000004</v>
      </c>
      <c r="O1101" t="s">
        <v>20</v>
      </c>
      <c r="P1101" t="s">
        <v>21</v>
      </c>
      <c r="Q1101" t="s">
        <v>27</v>
      </c>
    </row>
    <row r="1102" spans="1:17" x14ac:dyDescent="0.2">
      <c r="A1102" t="s">
        <v>23</v>
      </c>
      <c r="B1102">
        <v>19.149705999999998</v>
      </c>
      <c r="C1102">
        <v>1.6998180000000001</v>
      </c>
      <c r="D1102">
        <v>78</v>
      </c>
      <c r="E1102" t="s">
        <v>18</v>
      </c>
      <c r="F1102" t="s">
        <v>19</v>
      </c>
      <c r="G1102">
        <v>1.096455</v>
      </c>
      <c r="H1102">
        <v>2.4913150000000002</v>
      </c>
      <c r="I1102" t="s">
        <v>20</v>
      </c>
      <c r="J1102" t="s">
        <v>19</v>
      </c>
      <c r="K1102">
        <v>2.4500690000000001</v>
      </c>
      <c r="L1102" t="s">
        <v>19</v>
      </c>
      <c r="M1102">
        <v>0</v>
      </c>
      <c r="N1102">
        <v>0.72611800000000004</v>
      </c>
      <c r="O1102" t="s">
        <v>20</v>
      </c>
      <c r="P1102" t="s">
        <v>21</v>
      </c>
      <c r="Q1102" t="s">
        <v>27</v>
      </c>
    </row>
    <row r="1103" spans="1:17" x14ac:dyDescent="0.2">
      <c r="A1103" t="s">
        <v>23</v>
      </c>
      <c r="B1103">
        <v>46.491858999999998</v>
      </c>
      <c r="C1103">
        <v>1.718097</v>
      </c>
      <c r="D1103">
        <v>88.600877999999994</v>
      </c>
      <c r="E1103" t="s">
        <v>18</v>
      </c>
      <c r="F1103" t="s">
        <v>18</v>
      </c>
      <c r="G1103">
        <v>2.129969</v>
      </c>
      <c r="H1103">
        <v>3</v>
      </c>
      <c r="I1103" t="s">
        <v>20</v>
      </c>
      <c r="J1103" t="s">
        <v>19</v>
      </c>
      <c r="K1103">
        <v>1.5680350000000001</v>
      </c>
      <c r="L1103" t="s">
        <v>19</v>
      </c>
      <c r="M1103">
        <v>0.87012699999999998</v>
      </c>
      <c r="N1103">
        <v>0</v>
      </c>
      <c r="O1103" t="s">
        <v>19</v>
      </c>
      <c r="P1103" t="s">
        <v>28</v>
      </c>
      <c r="Q1103" t="s">
        <v>27</v>
      </c>
    </row>
    <row r="1104" spans="1:17" x14ac:dyDescent="0.2">
      <c r="A1104" t="s">
        <v>23</v>
      </c>
      <c r="B1104">
        <v>17.894784000000001</v>
      </c>
      <c r="C1104">
        <v>1.7313890000000001</v>
      </c>
      <c r="D1104">
        <v>84.064875000000001</v>
      </c>
      <c r="E1104" t="s">
        <v>18</v>
      </c>
      <c r="F1104" t="s">
        <v>19</v>
      </c>
      <c r="G1104">
        <v>2.0196740000000002</v>
      </c>
      <c r="H1104">
        <v>2.8433190000000002</v>
      </c>
      <c r="I1104" t="s">
        <v>20</v>
      </c>
      <c r="J1104" t="s">
        <v>19</v>
      </c>
      <c r="K1104">
        <v>2.832004</v>
      </c>
      <c r="L1104" t="s">
        <v>19</v>
      </c>
      <c r="M1104">
        <v>1</v>
      </c>
      <c r="N1104">
        <v>0.60860700000000001</v>
      </c>
      <c r="O1104" t="s">
        <v>20</v>
      </c>
      <c r="P1104" t="s">
        <v>21</v>
      </c>
      <c r="Q1104" t="s">
        <v>27</v>
      </c>
    </row>
    <row r="1105" spans="1:17" x14ac:dyDescent="0.2">
      <c r="A1105" t="s">
        <v>23</v>
      </c>
      <c r="B1105">
        <v>18.88485</v>
      </c>
      <c r="C1105">
        <v>1.699667</v>
      </c>
      <c r="D1105">
        <v>79.677930000000003</v>
      </c>
      <c r="E1105" t="s">
        <v>18</v>
      </c>
      <c r="F1105" t="s">
        <v>19</v>
      </c>
      <c r="G1105">
        <v>2.7352970000000001</v>
      </c>
      <c r="H1105">
        <v>2.1571639999999999</v>
      </c>
      <c r="I1105" t="s">
        <v>20</v>
      </c>
      <c r="J1105" t="s">
        <v>19</v>
      </c>
      <c r="K1105">
        <v>1.0871660000000001</v>
      </c>
      <c r="L1105" t="s">
        <v>19</v>
      </c>
      <c r="M1105">
        <v>0.11017399999999999</v>
      </c>
      <c r="N1105">
        <v>3.6949999999999999E-3</v>
      </c>
      <c r="O1105" t="s">
        <v>19</v>
      </c>
      <c r="P1105" t="s">
        <v>21</v>
      </c>
      <c r="Q1105" t="s">
        <v>27</v>
      </c>
    </row>
    <row r="1106" spans="1:17" x14ac:dyDescent="0.2">
      <c r="A1106" t="s">
        <v>17</v>
      </c>
      <c r="B1106">
        <v>38.384177000000001</v>
      </c>
      <c r="C1106">
        <v>1.698626</v>
      </c>
      <c r="D1106">
        <v>78.637307000000007</v>
      </c>
      <c r="E1106" t="s">
        <v>18</v>
      </c>
      <c r="F1106" t="s">
        <v>18</v>
      </c>
      <c r="G1106">
        <v>3</v>
      </c>
      <c r="H1106">
        <v>3</v>
      </c>
      <c r="I1106" t="s">
        <v>20</v>
      </c>
      <c r="J1106" t="s">
        <v>19</v>
      </c>
      <c r="K1106">
        <v>2.5031979999999998</v>
      </c>
      <c r="L1106" t="s">
        <v>19</v>
      </c>
      <c r="M1106">
        <v>0</v>
      </c>
      <c r="N1106">
        <v>0</v>
      </c>
      <c r="O1106" t="s">
        <v>19</v>
      </c>
      <c r="P1106" t="s">
        <v>28</v>
      </c>
      <c r="Q1106" t="s">
        <v>27</v>
      </c>
    </row>
    <row r="1107" spans="1:17" x14ac:dyDescent="0.2">
      <c r="A1107" t="s">
        <v>23</v>
      </c>
      <c r="B1107">
        <v>22.675678999999999</v>
      </c>
      <c r="C1107">
        <v>1.8237650000000001</v>
      </c>
      <c r="D1107">
        <v>96.945262</v>
      </c>
      <c r="E1107" t="s">
        <v>18</v>
      </c>
      <c r="F1107" t="s">
        <v>18</v>
      </c>
      <c r="G1107">
        <v>1.5887819999999999</v>
      </c>
      <c r="H1107">
        <v>2.6016750000000002</v>
      </c>
      <c r="I1107" t="s">
        <v>20</v>
      </c>
      <c r="J1107" t="s">
        <v>19</v>
      </c>
      <c r="K1107">
        <v>2.4694690000000001</v>
      </c>
      <c r="L1107" t="s">
        <v>19</v>
      </c>
      <c r="M1107">
        <v>1.7365379999999999</v>
      </c>
      <c r="N1107">
        <v>1.8868549999999999</v>
      </c>
      <c r="O1107" t="s">
        <v>20</v>
      </c>
      <c r="P1107" t="s">
        <v>21</v>
      </c>
      <c r="Q1107" t="s">
        <v>27</v>
      </c>
    </row>
    <row r="1108" spans="1:17" x14ac:dyDescent="0.2">
      <c r="A1108" t="s">
        <v>23</v>
      </c>
      <c r="B1108">
        <v>33.049121</v>
      </c>
      <c r="C1108">
        <v>1.708742</v>
      </c>
      <c r="D1108">
        <v>83.001642000000004</v>
      </c>
      <c r="E1108" t="s">
        <v>18</v>
      </c>
      <c r="F1108" t="s">
        <v>18</v>
      </c>
      <c r="G1108">
        <v>2</v>
      </c>
      <c r="H1108">
        <v>1.171027</v>
      </c>
      <c r="I1108" t="s">
        <v>20</v>
      </c>
      <c r="J1108" t="s">
        <v>19</v>
      </c>
      <c r="K1108">
        <v>2.4051719999999999</v>
      </c>
      <c r="L1108" t="s">
        <v>19</v>
      </c>
      <c r="M1108">
        <v>2.3002820000000002</v>
      </c>
      <c r="N1108">
        <v>0</v>
      </c>
      <c r="O1108" t="s">
        <v>19</v>
      </c>
      <c r="P1108" t="s">
        <v>28</v>
      </c>
      <c r="Q1108" t="s">
        <v>27</v>
      </c>
    </row>
    <row r="1109" spans="1:17" x14ac:dyDescent="0.2">
      <c r="A1109" t="s">
        <v>17</v>
      </c>
      <c r="B1109">
        <v>37.205173000000002</v>
      </c>
      <c r="C1109">
        <v>1.6674690000000001</v>
      </c>
      <c r="D1109">
        <v>80.993373000000005</v>
      </c>
      <c r="E1109" t="s">
        <v>18</v>
      </c>
      <c r="F1109" t="s">
        <v>18</v>
      </c>
      <c r="G1109">
        <v>2.0105400000000002</v>
      </c>
      <c r="H1109">
        <v>2.77684</v>
      </c>
      <c r="I1109" t="s">
        <v>20</v>
      </c>
      <c r="J1109" t="s">
        <v>19</v>
      </c>
      <c r="K1109">
        <v>1.651548</v>
      </c>
      <c r="L1109" t="s">
        <v>19</v>
      </c>
      <c r="M1109">
        <v>0</v>
      </c>
      <c r="N1109">
        <v>0.79096699999999998</v>
      </c>
      <c r="O1109" t="s">
        <v>19</v>
      </c>
      <c r="P1109" t="s">
        <v>28</v>
      </c>
      <c r="Q1109" t="s">
        <v>27</v>
      </c>
    </row>
    <row r="1110" spans="1:17" x14ac:dyDescent="0.2">
      <c r="A1110" t="s">
        <v>17</v>
      </c>
      <c r="B1110">
        <v>19.027417</v>
      </c>
      <c r="C1110">
        <v>1.588147</v>
      </c>
      <c r="D1110">
        <v>73.939267999999998</v>
      </c>
      <c r="E1110" t="s">
        <v>18</v>
      </c>
      <c r="F1110" t="s">
        <v>19</v>
      </c>
      <c r="G1110">
        <v>3</v>
      </c>
      <c r="H1110">
        <v>3.3627579999999999</v>
      </c>
      <c r="I1110" t="s">
        <v>20</v>
      </c>
      <c r="J1110" t="s">
        <v>19</v>
      </c>
      <c r="K1110">
        <v>2</v>
      </c>
      <c r="L1110" t="s">
        <v>19</v>
      </c>
      <c r="M1110">
        <v>2.892922</v>
      </c>
      <c r="N1110">
        <v>1</v>
      </c>
      <c r="O1110" t="s">
        <v>20</v>
      </c>
      <c r="P1110" t="s">
        <v>21</v>
      </c>
      <c r="Q1110" t="s">
        <v>27</v>
      </c>
    </row>
    <row r="1111" spans="1:17" x14ac:dyDescent="0.2">
      <c r="A1111" t="s">
        <v>23</v>
      </c>
      <c r="B1111">
        <v>37.492443999999999</v>
      </c>
      <c r="C1111">
        <v>1.835024</v>
      </c>
      <c r="D1111">
        <v>92.368358999999998</v>
      </c>
      <c r="E1111" t="s">
        <v>18</v>
      </c>
      <c r="F1111" t="s">
        <v>18</v>
      </c>
      <c r="G1111">
        <v>2</v>
      </c>
      <c r="H1111">
        <v>1.672706</v>
      </c>
      <c r="I1111" t="s">
        <v>20</v>
      </c>
      <c r="J1111" t="s">
        <v>19</v>
      </c>
      <c r="K1111">
        <v>2.7666740000000001</v>
      </c>
      <c r="L1111" t="s">
        <v>19</v>
      </c>
      <c r="M1111">
        <v>1</v>
      </c>
      <c r="N1111">
        <v>2.7092999999999999E-2</v>
      </c>
      <c r="O1111" t="s">
        <v>20</v>
      </c>
      <c r="P1111" t="s">
        <v>28</v>
      </c>
      <c r="Q1111" t="s">
        <v>27</v>
      </c>
    </row>
    <row r="1112" spans="1:17" x14ac:dyDescent="0.2">
      <c r="A1112" t="s">
        <v>23</v>
      </c>
      <c r="B1112">
        <v>24.657598</v>
      </c>
      <c r="C1112">
        <v>1.7088000000000001</v>
      </c>
      <c r="D1112">
        <v>83.520112999999995</v>
      </c>
      <c r="E1112" t="s">
        <v>18</v>
      </c>
      <c r="F1112" t="s">
        <v>18</v>
      </c>
      <c r="G1112">
        <v>2.6895769999999999</v>
      </c>
      <c r="H1112">
        <v>2.7141150000000001</v>
      </c>
      <c r="I1112" t="s">
        <v>20</v>
      </c>
      <c r="J1112" t="s">
        <v>19</v>
      </c>
      <c r="K1112">
        <v>2.2792140000000001</v>
      </c>
      <c r="L1112" t="s">
        <v>19</v>
      </c>
      <c r="M1112">
        <v>0.970661</v>
      </c>
      <c r="N1112">
        <v>0.82854899999999998</v>
      </c>
      <c r="O1112" t="s">
        <v>20</v>
      </c>
      <c r="P1112" t="s">
        <v>21</v>
      </c>
      <c r="Q1112" t="s">
        <v>27</v>
      </c>
    </row>
    <row r="1113" spans="1:17" x14ac:dyDescent="0.2">
      <c r="A1113" t="s">
        <v>23</v>
      </c>
      <c r="B1113">
        <v>18.011717999999998</v>
      </c>
      <c r="C1113">
        <v>1.6809909999999999</v>
      </c>
      <c r="D1113">
        <v>79.752915999999999</v>
      </c>
      <c r="E1113" t="s">
        <v>18</v>
      </c>
      <c r="F1113" t="s">
        <v>18</v>
      </c>
      <c r="G1113">
        <v>2.4131559999999999</v>
      </c>
      <c r="H1113">
        <v>2.5215459999999998</v>
      </c>
      <c r="I1113" t="s">
        <v>20</v>
      </c>
      <c r="J1113" t="s">
        <v>19</v>
      </c>
      <c r="K1113">
        <v>1.985312</v>
      </c>
      <c r="L1113" t="s">
        <v>19</v>
      </c>
      <c r="M1113">
        <v>7.0499999999999998E-3</v>
      </c>
      <c r="N1113">
        <v>0.96546399999999999</v>
      </c>
      <c r="O1113" t="s">
        <v>20</v>
      </c>
      <c r="P1113" t="s">
        <v>21</v>
      </c>
      <c r="Q1113" t="s">
        <v>27</v>
      </c>
    </row>
    <row r="1114" spans="1:17" x14ac:dyDescent="0.2">
      <c r="A1114" t="s">
        <v>23</v>
      </c>
      <c r="B1114">
        <v>27.349744999999999</v>
      </c>
      <c r="C1114">
        <v>1.8352710000000001</v>
      </c>
      <c r="D1114">
        <v>97.588260000000005</v>
      </c>
      <c r="E1114" t="s">
        <v>18</v>
      </c>
      <c r="F1114" t="s">
        <v>18</v>
      </c>
      <c r="G1114">
        <v>2.9234330000000002</v>
      </c>
      <c r="H1114">
        <v>1.338033</v>
      </c>
      <c r="I1114" t="s">
        <v>20</v>
      </c>
      <c r="J1114" t="s">
        <v>19</v>
      </c>
      <c r="K1114">
        <v>1.9440949999999999</v>
      </c>
      <c r="L1114" t="s">
        <v>19</v>
      </c>
      <c r="M1114">
        <v>1.931829</v>
      </c>
      <c r="N1114">
        <v>1</v>
      </c>
      <c r="O1114" t="s">
        <v>20</v>
      </c>
      <c r="P1114" t="s">
        <v>21</v>
      </c>
      <c r="Q1114" t="s">
        <v>27</v>
      </c>
    </row>
    <row r="1115" spans="1:17" x14ac:dyDescent="0.2">
      <c r="A1115" t="s">
        <v>23</v>
      </c>
      <c r="B1115">
        <v>18</v>
      </c>
      <c r="C1115">
        <v>1.7428189999999999</v>
      </c>
      <c r="D1115">
        <v>86.565147999999994</v>
      </c>
      <c r="E1115" t="s">
        <v>18</v>
      </c>
      <c r="F1115" t="s">
        <v>18</v>
      </c>
      <c r="G1115">
        <v>3</v>
      </c>
      <c r="H1115">
        <v>3</v>
      </c>
      <c r="I1115" t="s">
        <v>20</v>
      </c>
      <c r="J1115" t="s">
        <v>19</v>
      </c>
      <c r="K1115">
        <v>2</v>
      </c>
      <c r="L1115" t="s">
        <v>19</v>
      </c>
      <c r="M1115">
        <v>2.040816</v>
      </c>
      <c r="N1115">
        <v>0.860321</v>
      </c>
      <c r="O1115" t="s">
        <v>20</v>
      </c>
      <c r="P1115" t="s">
        <v>21</v>
      </c>
      <c r="Q1115" t="s">
        <v>27</v>
      </c>
    </row>
    <row r="1116" spans="1:17" x14ac:dyDescent="0.2">
      <c r="A1116" t="s">
        <v>23</v>
      </c>
      <c r="B1116">
        <v>33.009284999999998</v>
      </c>
      <c r="C1116">
        <v>1.7411920000000001</v>
      </c>
      <c r="D1116">
        <v>84.773348999999996</v>
      </c>
      <c r="E1116" t="s">
        <v>18</v>
      </c>
      <c r="F1116" t="s">
        <v>18</v>
      </c>
      <c r="G1116">
        <v>2</v>
      </c>
      <c r="H1116">
        <v>3</v>
      </c>
      <c r="I1116" t="s">
        <v>20</v>
      </c>
      <c r="J1116" t="s">
        <v>19</v>
      </c>
      <c r="K1116">
        <v>2.0359539999999998</v>
      </c>
      <c r="L1116" t="s">
        <v>19</v>
      </c>
      <c r="M1116">
        <v>1.210736</v>
      </c>
      <c r="N1116">
        <v>0</v>
      </c>
      <c r="O1116" t="s">
        <v>19</v>
      </c>
      <c r="P1116" t="s">
        <v>28</v>
      </c>
      <c r="Q1116" t="s">
        <v>27</v>
      </c>
    </row>
    <row r="1117" spans="1:17" x14ac:dyDescent="0.2">
      <c r="A1117" t="s">
        <v>23</v>
      </c>
      <c r="B1117">
        <v>18</v>
      </c>
      <c r="C1117">
        <v>1.7597210000000001</v>
      </c>
      <c r="D1117">
        <v>86.080500000000001</v>
      </c>
      <c r="E1117" t="s">
        <v>18</v>
      </c>
      <c r="F1117" t="s">
        <v>18</v>
      </c>
      <c r="G1117">
        <v>2.8825219999999998</v>
      </c>
      <c r="H1117">
        <v>3</v>
      </c>
      <c r="I1117" t="s">
        <v>20</v>
      </c>
      <c r="J1117" t="s">
        <v>19</v>
      </c>
      <c r="K1117">
        <v>2.4529860000000001</v>
      </c>
      <c r="L1117" t="s">
        <v>19</v>
      </c>
      <c r="M1117">
        <v>1</v>
      </c>
      <c r="N1117">
        <v>0.74665099999999995</v>
      </c>
      <c r="O1117" t="s">
        <v>20</v>
      </c>
      <c r="P1117" t="s">
        <v>21</v>
      </c>
      <c r="Q1117" t="s">
        <v>27</v>
      </c>
    </row>
    <row r="1118" spans="1:17" x14ac:dyDescent="0.2">
      <c r="A1118" t="s">
        <v>23</v>
      </c>
      <c r="B1118">
        <v>30.079370999999998</v>
      </c>
      <c r="C1118">
        <v>1.810616</v>
      </c>
      <c r="D1118">
        <v>92.860253999999998</v>
      </c>
      <c r="E1118" t="s">
        <v>18</v>
      </c>
      <c r="F1118" t="s">
        <v>18</v>
      </c>
      <c r="G1118">
        <v>2</v>
      </c>
      <c r="H1118">
        <v>3</v>
      </c>
      <c r="I1118" t="s">
        <v>20</v>
      </c>
      <c r="J1118" t="s">
        <v>19</v>
      </c>
      <c r="K1118">
        <v>1.622638</v>
      </c>
      <c r="L1118" t="s">
        <v>19</v>
      </c>
      <c r="M1118">
        <v>3.3744999999999997E-2</v>
      </c>
      <c r="N1118">
        <v>0.105895</v>
      </c>
      <c r="O1118" t="s">
        <v>20</v>
      </c>
      <c r="P1118" t="s">
        <v>21</v>
      </c>
      <c r="Q1118" t="s">
        <v>27</v>
      </c>
    </row>
    <row r="1119" spans="1:17" x14ac:dyDescent="0.2">
      <c r="A1119" t="s">
        <v>23</v>
      </c>
      <c r="B1119">
        <v>25.035914999999999</v>
      </c>
      <c r="C1119">
        <v>1.763101</v>
      </c>
      <c r="D1119">
        <v>88.532032000000001</v>
      </c>
      <c r="E1119" t="s">
        <v>18</v>
      </c>
      <c r="F1119" t="s">
        <v>18</v>
      </c>
      <c r="G1119">
        <v>1.9734989999999999</v>
      </c>
      <c r="H1119">
        <v>1.0818049999999999</v>
      </c>
      <c r="I1119" t="s">
        <v>20</v>
      </c>
      <c r="J1119" t="s">
        <v>19</v>
      </c>
      <c r="K1119">
        <v>2</v>
      </c>
      <c r="L1119" t="s">
        <v>19</v>
      </c>
      <c r="M1119">
        <v>0</v>
      </c>
      <c r="N1119">
        <v>0.46402199999999999</v>
      </c>
      <c r="O1119" t="s">
        <v>20</v>
      </c>
      <c r="P1119" t="s">
        <v>21</v>
      </c>
      <c r="Q1119" t="s">
        <v>27</v>
      </c>
    </row>
    <row r="1120" spans="1:17" x14ac:dyDescent="0.2">
      <c r="A1120" t="s">
        <v>17</v>
      </c>
      <c r="B1120">
        <v>18.198322000000001</v>
      </c>
      <c r="C1120">
        <v>1.5433380000000001</v>
      </c>
      <c r="D1120">
        <v>71.799982</v>
      </c>
      <c r="E1120" t="s">
        <v>18</v>
      </c>
      <c r="F1120" t="s">
        <v>19</v>
      </c>
      <c r="G1120">
        <v>3</v>
      </c>
      <c r="H1120">
        <v>3.0871189999999999</v>
      </c>
      <c r="I1120" t="s">
        <v>20</v>
      </c>
      <c r="J1120" t="s">
        <v>19</v>
      </c>
      <c r="K1120">
        <v>2</v>
      </c>
      <c r="L1120" t="s">
        <v>19</v>
      </c>
      <c r="M1120">
        <v>1.403872</v>
      </c>
      <c r="N1120">
        <v>1</v>
      </c>
      <c r="O1120" t="s">
        <v>19</v>
      </c>
      <c r="P1120" t="s">
        <v>21</v>
      </c>
      <c r="Q1120" t="s">
        <v>27</v>
      </c>
    </row>
    <row r="1121" spans="1:17" x14ac:dyDescent="0.2">
      <c r="A1121" t="s">
        <v>17</v>
      </c>
      <c r="B1121">
        <v>35.456325999999997</v>
      </c>
      <c r="C1121">
        <v>1.6518120000000001</v>
      </c>
      <c r="D1121">
        <v>79.437921000000003</v>
      </c>
      <c r="E1121" t="s">
        <v>18</v>
      </c>
      <c r="F1121" t="s">
        <v>18</v>
      </c>
      <c r="G1121">
        <v>2.1560649999999999</v>
      </c>
      <c r="H1121">
        <v>2.9091170000000002</v>
      </c>
      <c r="I1121" t="s">
        <v>20</v>
      </c>
      <c r="J1121" t="s">
        <v>19</v>
      </c>
      <c r="K1121">
        <v>1.2212810000000001</v>
      </c>
      <c r="L1121" t="s">
        <v>19</v>
      </c>
      <c r="M1121">
        <v>0.50327900000000003</v>
      </c>
      <c r="N1121">
        <v>1.796136</v>
      </c>
      <c r="O1121" t="s">
        <v>19</v>
      </c>
      <c r="P1121" t="s">
        <v>28</v>
      </c>
      <c r="Q1121" t="s">
        <v>27</v>
      </c>
    </row>
    <row r="1122" spans="1:17" x14ac:dyDescent="0.2">
      <c r="A1122" t="s">
        <v>23</v>
      </c>
      <c r="B1122">
        <v>23.806788999999998</v>
      </c>
      <c r="C1122">
        <v>1.7324919999999999</v>
      </c>
      <c r="D1122">
        <v>84.557796999999994</v>
      </c>
      <c r="E1122" t="s">
        <v>18</v>
      </c>
      <c r="F1122" t="s">
        <v>18</v>
      </c>
      <c r="G1122">
        <v>2.9922049999999998</v>
      </c>
      <c r="H1122">
        <v>3</v>
      </c>
      <c r="I1122" t="s">
        <v>20</v>
      </c>
      <c r="J1122" t="s">
        <v>19</v>
      </c>
      <c r="K1122">
        <v>2.4138130000000002</v>
      </c>
      <c r="L1122" t="s">
        <v>19</v>
      </c>
      <c r="M1122">
        <v>0.45823700000000001</v>
      </c>
      <c r="N1122">
        <v>0.68829300000000004</v>
      </c>
      <c r="O1122" t="s">
        <v>20</v>
      </c>
      <c r="P1122" t="s">
        <v>21</v>
      </c>
      <c r="Q1122" t="s">
        <v>27</v>
      </c>
    </row>
    <row r="1123" spans="1:17" x14ac:dyDescent="0.2">
      <c r="A1123" t="s">
        <v>17</v>
      </c>
      <c r="B1123">
        <v>39.392569000000002</v>
      </c>
      <c r="C1123">
        <v>1.7063489999999999</v>
      </c>
      <c r="D1123">
        <v>85.720787999999999</v>
      </c>
      <c r="E1123" t="s">
        <v>18</v>
      </c>
      <c r="F1123" t="s">
        <v>18</v>
      </c>
      <c r="G1123">
        <v>2.9442870000000001</v>
      </c>
      <c r="H1123">
        <v>1.4663930000000001</v>
      </c>
      <c r="I1123" t="s">
        <v>20</v>
      </c>
      <c r="J1123" t="s">
        <v>19</v>
      </c>
      <c r="K1123">
        <v>2.4427750000000001</v>
      </c>
      <c r="L1123" t="s">
        <v>19</v>
      </c>
      <c r="M1123">
        <v>0.67526200000000003</v>
      </c>
      <c r="N1123">
        <v>0.77933399999999997</v>
      </c>
      <c r="O1123" t="s">
        <v>19</v>
      </c>
      <c r="P1123" t="s">
        <v>28</v>
      </c>
      <c r="Q1123" t="s">
        <v>27</v>
      </c>
    </row>
    <row r="1124" spans="1:17" x14ac:dyDescent="0.2">
      <c r="A1124" t="s">
        <v>23</v>
      </c>
      <c r="B1124">
        <v>21.384259</v>
      </c>
      <c r="C1124">
        <v>1.7806789999999999</v>
      </c>
      <c r="D1124">
        <v>89.667406</v>
      </c>
      <c r="E1124" t="s">
        <v>18</v>
      </c>
      <c r="F1124" t="s">
        <v>18</v>
      </c>
      <c r="G1124">
        <v>1.7807459999999999</v>
      </c>
      <c r="H1124">
        <v>1.4710529999999999</v>
      </c>
      <c r="I1124" t="s">
        <v>20</v>
      </c>
      <c r="J1124" t="s">
        <v>19</v>
      </c>
      <c r="K1124">
        <v>2</v>
      </c>
      <c r="L1124" t="s">
        <v>19</v>
      </c>
      <c r="M1124">
        <v>0.46756199999999998</v>
      </c>
      <c r="N1124">
        <v>0.56866799999999995</v>
      </c>
      <c r="O1124" t="s">
        <v>20</v>
      </c>
      <c r="P1124" t="s">
        <v>21</v>
      </c>
      <c r="Q1124" t="s">
        <v>27</v>
      </c>
    </row>
    <row r="1125" spans="1:17" x14ac:dyDescent="0.2">
      <c r="A1125" t="s">
        <v>23</v>
      </c>
      <c r="B1125">
        <v>22.730414</v>
      </c>
      <c r="C1125">
        <v>1.7586869999999999</v>
      </c>
      <c r="D1125">
        <v>89.673648</v>
      </c>
      <c r="E1125" t="s">
        <v>18</v>
      </c>
      <c r="F1125" t="s">
        <v>18</v>
      </c>
      <c r="G1125">
        <v>2.1640619999999999</v>
      </c>
      <c r="H1125">
        <v>2.9832010000000002</v>
      </c>
      <c r="I1125" t="s">
        <v>20</v>
      </c>
      <c r="J1125" t="s">
        <v>19</v>
      </c>
      <c r="K1125">
        <v>2.1689039999999999</v>
      </c>
      <c r="L1125" t="s">
        <v>19</v>
      </c>
      <c r="M1125">
        <v>0.75292599999999998</v>
      </c>
      <c r="N1125">
        <v>0</v>
      </c>
      <c r="O1125" t="s">
        <v>20</v>
      </c>
      <c r="P1125" t="s">
        <v>21</v>
      </c>
      <c r="Q1125" t="s">
        <v>27</v>
      </c>
    </row>
    <row r="1126" spans="1:17" x14ac:dyDescent="0.2">
      <c r="A1126" t="s">
        <v>23</v>
      </c>
      <c r="B1126">
        <v>21.205629999999999</v>
      </c>
      <c r="C1126">
        <v>1.7045729999999999</v>
      </c>
      <c r="D1126">
        <v>80</v>
      </c>
      <c r="E1126" t="s">
        <v>18</v>
      </c>
      <c r="F1126" t="s">
        <v>18</v>
      </c>
      <c r="G1126">
        <v>2</v>
      </c>
      <c r="H1126">
        <v>3</v>
      </c>
      <c r="I1126" t="s">
        <v>20</v>
      </c>
      <c r="J1126" t="s">
        <v>19</v>
      </c>
      <c r="K1126">
        <v>2</v>
      </c>
      <c r="L1126" t="s">
        <v>19</v>
      </c>
      <c r="M1126">
        <v>2.8477610000000002</v>
      </c>
      <c r="N1126">
        <v>1.413375</v>
      </c>
      <c r="O1126" t="s">
        <v>19</v>
      </c>
      <c r="P1126" t="s">
        <v>21</v>
      </c>
      <c r="Q1126" t="s">
        <v>27</v>
      </c>
    </row>
    <row r="1127" spans="1:17" x14ac:dyDescent="0.2">
      <c r="A1127" t="s">
        <v>23</v>
      </c>
      <c r="B1127">
        <v>21.333428999999999</v>
      </c>
      <c r="C1127">
        <v>1.716545</v>
      </c>
      <c r="D1127">
        <v>80.005808999999999</v>
      </c>
      <c r="E1127" t="s">
        <v>18</v>
      </c>
      <c r="F1127" t="s">
        <v>18</v>
      </c>
      <c r="G1127">
        <v>2</v>
      </c>
      <c r="H1127">
        <v>2.7833359999999998</v>
      </c>
      <c r="I1127" t="s">
        <v>20</v>
      </c>
      <c r="J1127" t="s">
        <v>19</v>
      </c>
      <c r="K1127">
        <v>2</v>
      </c>
      <c r="L1127" t="s">
        <v>19</v>
      </c>
      <c r="M1127">
        <v>2.5366149999999998</v>
      </c>
      <c r="N1127">
        <v>1.2065349999999999</v>
      </c>
      <c r="O1127" t="s">
        <v>19</v>
      </c>
      <c r="P1127" t="s">
        <v>21</v>
      </c>
      <c r="Q1127" t="s">
        <v>27</v>
      </c>
    </row>
    <row r="1128" spans="1:17" x14ac:dyDescent="0.2">
      <c r="A1128" t="s">
        <v>23</v>
      </c>
      <c r="B1128">
        <v>32.787101</v>
      </c>
      <c r="C1128">
        <v>1.903832</v>
      </c>
      <c r="D1128">
        <v>99.812443000000002</v>
      </c>
      <c r="E1128" t="s">
        <v>18</v>
      </c>
      <c r="F1128" t="s">
        <v>18</v>
      </c>
      <c r="G1128">
        <v>2</v>
      </c>
      <c r="H1128">
        <v>1.8630119999999999</v>
      </c>
      <c r="I1128" t="s">
        <v>20</v>
      </c>
      <c r="J1128" t="s">
        <v>19</v>
      </c>
      <c r="K1128">
        <v>2.1964709999999998</v>
      </c>
      <c r="L1128" t="s">
        <v>19</v>
      </c>
      <c r="M1128">
        <v>1</v>
      </c>
      <c r="N1128">
        <v>0</v>
      </c>
      <c r="O1128" t="s">
        <v>20</v>
      </c>
      <c r="P1128" t="s">
        <v>28</v>
      </c>
      <c r="Q1128" t="s">
        <v>27</v>
      </c>
    </row>
    <row r="1129" spans="1:17" x14ac:dyDescent="0.2">
      <c r="A1129" t="s">
        <v>23</v>
      </c>
      <c r="B1129">
        <v>32.610017999999997</v>
      </c>
      <c r="C1129">
        <v>1.7425379999999999</v>
      </c>
      <c r="D1129">
        <v>83.390983000000006</v>
      </c>
      <c r="E1129" t="s">
        <v>18</v>
      </c>
      <c r="F1129" t="s">
        <v>18</v>
      </c>
      <c r="G1129">
        <v>2.2477040000000001</v>
      </c>
      <c r="H1129">
        <v>3.053598</v>
      </c>
      <c r="I1129" t="s">
        <v>20</v>
      </c>
      <c r="J1129" t="s">
        <v>19</v>
      </c>
      <c r="K1129">
        <v>1.919629</v>
      </c>
      <c r="L1129" t="s">
        <v>19</v>
      </c>
      <c r="M1129">
        <v>0.40802300000000002</v>
      </c>
      <c r="N1129">
        <v>0</v>
      </c>
      <c r="O1129" t="s">
        <v>19</v>
      </c>
      <c r="P1129" t="s">
        <v>28</v>
      </c>
      <c r="Q1129" t="s">
        <v>27</v>
      </c>
    </row>
    <row r="1130" spans="1:17" x14ac:dyDescent="0.2">
      <c r="A1130" t="s">
        <v>23</v>
      </c>
      <c r="B1130">
        <v>30.022597999999999</v>
      </c>
      <c r="C1130">
        <v>1.7477389999999999</v>
      </c>
      <c r="D1130">
        <v>83.314156999999994</v>
      </c>
      <c r="E1130" t="s">
        <v>18</v>
      </c>
      <c r="F1130" t="s">
        <v>18</v>
      </c>
      <c r="G1130">
        <v>2.0116559999999999</v>
      </c>
      <c r="H1130">
        <v>3.1658369999999998</v>
      </c>
      <c r="I1130" t="s">
        <v>20</v>
      </c>
      <c r="J1130" t="s">
        <v>19</v>
      </c>
      <c r="K1130">
        <v>1.8446450000000001</v>
      </c>
      <c r="L1130" t="s">
        <v>19</v>
      </c>
      <c r="M1130">
        <v>0.88996299999999995</v>
      </c>
      <c r="N1130">
        <v>0.39597900000000003</v>
      </c>
      <c r="O1130" t="s">
        <v>19</v>
      </c>
      <c r="P1130" t="s">
        <v>28</v>
      </c>
      <c r="Q1130" t="s">
        <v>27</v>
      </c>
    </row>
    <row r="1131" spans="1:17" x14ac:dyDescent="0.2">
      <c r="A1131" t="s">
        <v>23</v>
      </c>
      <c r="B1131">
        <v>21.123048000000001</v>
      </c>
      <c r="C1131">
        <v>1.7170369999999999</v>
      </c>
      <c r="D1131">
        <v>80</v>
      </c>
      <c r="E1131" t="s">
        <v>18</v>
      </c>
      <c r="F1131" t="s">
        <v>18</v>
      </c>
      <c r="G1131">
        <v>2</v>
      </c>
      <c r="H1131">
        <v>3</v>
      </c>
      <c r="I1131" t="s">
        <v>20</v>
      </c>
      <c r="J1131" t="s">
        <v>19</v>
      </c>
      <c r="K1131">
        <v>2</v>
      </c>
      <c r="L1131" t="s">
        <v>19</v>
      </c>
      <c r="M1131">
        <v>2.2705549999999999</v>
      </c>
      <c r="N1131">
        <v>1.3430439999999999</v>
      </c>
      <c r="O1131" t="s">
        <v>19</v>
      </c>
      <c r="P1131" t="s">
        <v>21</v>
      </c>
      <c r="Q1131" t="s">
        <v>27</v>
      </c>
    </row>
    <row r="1132" spans="1:17" x14ac:dyDescent="0.2">
      <c r="A1132" t="s">
        <v>17</v>
      </c>
      <c r="B1132">
        <v>22.989846</v>
      </c>
      <c r="C1132">
        <v>1.65</v>
      </c>
      <c r="D1132">
        <v>80</v>
      </c>
      <c r="E1132" t="s">
        <v>18</v>
      </c>
      <c r="F1132" t="s">
        <v>18</v>
      </c>
      <c r="G1132">
        <v>2</v>
      </c>
      <c r="H1132">
        <v>3</v>
      </c>
      <c r="I1132" t="s">
        <v>20</v>
      </c>
      <c r="J1132" t="s">
        <v>19</v>
      </c>
      <c r="K1132">
        <v>2</v>
      </c>
      <c r="L1132" t="s">
        <v>19</v>
      </c>
      <c r="M1132">
        <v>0.14691899999999999</v>
      </c>
      <c r="N1132">
        <v>2</v>
      </c>
      <c r="O1132" t="s">
        <v>19</v>
      </c>
      <c r="P1132" t="s">
        <v>21</v>
      </c>
      <c r="Q1132" t="s">
        <v>27</v>
      </c>
    </row>
    <row r="1133" spans="1:17" x14ac:dyDescent="0.2">
      <c r="A1133" t="s">
        <v>17</v>
      </c>
      <c r="B1133">
        <v>24.320153999999999</v>
      </c>
      <c r="C1133">
        <v>1.5779209999999999</v>
      </c>
      <c r="D1133">
        <v>65.293178999999995</v>
      </c>
      <c r="E1133" t="s">
        <v>18</v>
      </c>
      <c r="F1133" t="s">
        <v>19</v>
      </c>
      <c r="G1133">
        <v>2.0341399999999998</v>
      </c>
      <c r="H1133">
        <v>2.7414130000000001</v>
      </c>
      <c r="I1133" t="s">
        <v>20</v>
      </c>
      <c r="J1133" t="s">
        <v>19</v>
      </c>
      <c r="K1133">
        <v>1.9963839999999999</v>
      </c>
      <c r="L1133" t="s">
        <v>19</v>
      </c>
      <c r="M1133">
        <v>1.2765519999999999</v>
      </c>
      <c r="N1133">
        <v>1.019452</v>
      </c>
      <c r="O1133" t="s">
        <v>19</v>
      </c>
      <c r="P1133" t="s">
        <v>21</v>
      </c>
      <c r="Q1133" t="s">
        <v>27</v>
      </c>
    </row>
    <row r="1134" spans="1:17" x14ac:dyDescent="0.2">
      <c r="A1134" t="s">
        <v>23</v>
      </c>
      <c r="B1134">
        <v>37.275297999999999</v>
      </c>
      <c r="C1134">
        <v>1.7460549999999999</v>
      </c>
      <c r="D1134">
        <v>83.282231999999993</v>
      </c>
      <c r="E1134" t="s">
        <v>18</v>
      </c>
      <c r="F1134" t="s">
        <v>18</v>
      </c>
      <c r="G1134">
        <v>2.7464080000000002</v>
      </c>
      <c r="H1134">
        <v>1.0581229999999999</v>
      </c>
      <c r="I1134" t="s">
        <v>20</v>
      </c>
      <c r="J1134" t="s">
        <v>19</v>
      </c>
      <c r="K1134">
        <v>2.265727</v>
      </c>
      <c r="L1134" t="s">
        <v>19</v>
      </c>
      <c r="M1134">
        <v>0.885633</v>
      </c>
      <c r="N1134">
        <v>0.67340800000000001</v>
      </c>
      <c r="O1134" t="s">
        <v>19</v>
      </c>
      <c r="P1134" t="s">
        <v>28</v>
      </c>
      <c r="Q1134" t="s">
        <v>27</v>
      </c>
    </row>
    <row r="1135" spans="1:17" x14ac:dyDescent="0.2">
      <c r="A1135" t="s">
        <v>23</v>
      </c>
      <c r="B1135">
        <v>34.098174</v>
      </c>
      <c r="C1135">
        <v>1.841151</v>
      </c>
      <c r="D1135">
        <v>91.798102999999998</v>
      </c>
      <c r="E1135" t="s">
        <v>18</v>
      </c>
      <c r="F1135" t="s">
        <v>18</v>
      </c>
      <c r="G1135">
        <v>2</v>
      </c>
      <c r="H1135">
        <v>2.997414</v>
      </c>
      <c r="I1135" t="s">
        <v>20</v>
      </c>
      <c r="J1135" t="s">
        <v>19</v>
      </c>
      <c r="K1135">
        <v>1.2594540000000001</v>
      </c>
      <c r="L1135" t="s">
        <v>19</v>
      </c>
      <c r="M1135">
        <v>0.93521699999999996</v>
      </c>
      <c r="N1135">
        <v>0.99760000000000004</v>
      </c>
      <c r="O1135" t="s">
        <v>20</v>
      </c>
      <c r="P1135" t="s">
        <v>28</v>
      </c>
      <c r="Q1135" t="s">
        <v>27</v>
      </c>
    </row>
    <row r="1136" spans="1:17" x14ac:dyDescent="0.2">
      <c r="A1136" t="s">
        <v>17</v>
      </c>
      <c r="B1136">
        <v>21.001282</v>
      </c>
      <c r="C1136">
        <v>1.517998</v>
      </c>
      <c r="D1136">
        <v>64.696247999999997</v>
      </c>
      <c r="E1136" t="s">
        <v>18</v>
      </c>
      <c r="F1136" t="s">
        <v>19</v>
      </c>
      <c r="G1136">
        <v>2.1238999999999999</v>
      </c>
      <c r="H1136">
        <v>1.6729579999999999</v>
      </c>
      <c r="I1136" t="s">
        <v>20</v>
      </c>
      <c r="J1136" t="s">
        <v>19</v>
      </c>
      <c r="K1136">
        <v>2</v>
      </c>
      <c r="L1136" t="s">
        <v>19</v>
      </c>
      <c r="M1136">
        <v>1.5824279999999999</v>
      </c>
      <c r="N1136">
        <v>1.3133630000000001</v>
      </c>
      <c r="O1136" t="s">
        <v>19</v>
      </c>
      <c r="P1136" t="s">
        <v>21</v>
      </c>
      <c r="Q1136" t="s">
        <v>27</v>
      </c>
    </row>
    <row r="1137" spans="1:17" x14ac:dyDescent="0.2">
      <c r="A1137" t="s">
        <v>17</v>
      </c>
      <c r="B1137">
        <v>21.95994</v>
      </c>
      <c r="C1137">
        <v>1.483284</v>
      </c>
      <c r="D1137">
        <v>62.894283000000001</v>
      </c>
      <c r="E1137" t="s">
        <v>18</v>
      </c>
      <c r="F1137" t="s">
        <v>19</v>
      </c>
      <c r="G1137">
        <v>2</v>
      </c>
      <c r="H1137">
        <v>1.6808380000000001</v>
      </c>
      <c r="I1137" t="s">
        <v>20</v>
      </c>
      <c r="J1137" t="s">
        <v>19</v>
      </c>
      <c r="K1137">
        <v>1.8336349999999999</v>
      </c>
      <c r="L1137" t="s">
        <v>19</v>
      </c>
      <c r="M1137">
        <v>0.28187600000000002</v>
      </c>
      <c r="N1137">
        <v>0.57584800000000003</v>
      </c>
      <c r="O1137" t="s">
        <v>19</v>
      </c>
      <c r="P1137" t="s">
        <v>21</v>
      </c>
      <c r="Q1137" t="s">
        <v>27</v>
      </c>
    </row>
    <row r="1138" spans="1:17" x14ac:dyDescent="0.2">
      <c r="A1138" t="s">
        <v>23</v>
      </c>
      <c r="B1138">
        <v>19.795269000000001</v>
      </c>
      <c r="C1138">
        <v>1.758972</v>
      </c>
      <c r="D1138">
        <v>87.861430999999996</v>
      </c>
      <c r="E1138" t="s">
        <v>18</v>
      </c>
      <c r="F1138" t="s">
        <v>18</v>
      </c>
      <c r="G1138">
        <v>2.332074</v>
      </c>
      <c r="H1138">
        <v>3</v>
      </c>
      <c r="I1138" t="s">
        <v>20</v>
      </c>
      <c r="J1138" t="s">
        <v>19</v>
      </c>
      <c r="K1138">
        <v>2.999495</v>
      </c>
      <c r="L1138" t="s">
        <v>19</v>
      </c>
      <c r="M1138">
        <v>2.4059629999999999</v>
      </c>
      <c r="N1138">
        <v>0.44150200000000001</v>
      </c>
      <c r="O1138" t="s">
        <v>20</v>
      </c>
      <c r="P1138" t="s">
        <v>21</v>
      </c>
      <c r="Q1138" t="s">
        <v>27</v>
      </c>
    </row>
    <row r="1139" spans="1:17" x14ac:dyDescent="0.2">
      <c r="A1139" t="s">
        <v>17</v>
      </c>
      <c r="B1139">
        <v>19.090022999999999</v>
      </c>
      <c r="C1139">
        <v>1.5624340000000001</v>
      </c>
      <c r="D1139">
        <v>70.442774999999997</v>
      </c>
      <c r="E1139" t="s">
        <v>18</v>
      </c>
      <c r="F1139" t="s">
        <v>19</v>
      </c>
      <c r="G1139">
        <v>2.748243</v>
      </c>
      <c r="H1139">
        <v>3.0703860000000001</v>
      </c>
      <c r="I1139" t="s">
        <v>20</v>
      </c>
      <c r="J1139" t="s">
        <v>19</v>
      </c>
      <c r="K1139">
        <v>1.9623219999999999</v>
      </c>
      <c r="L1139" t="s">
        <v>19</v>
      </c>
      <c r="M1139">
        <v>1.1457520000000001</v>
      </c>
      <c r="N1139">
        <v>1</v>
      </c>
      <c r="O1139" t="s">
        <v>19</v>
      </c>
      <c r="P1139" t="s">
        <v>21</v>
      </c>
      <c r="Q1139" t="s">
        <v>27</v>
      </c>
    </row>
    <row r="1140" spans="1:17" x14ac:dyDescent="0.2">
      <c r="A1140" t="s">
        <v>17</v>
      </c>
      <c r="B1140">
        <v>20.820454999999999</v>
      </c>
      <c r="C1140">
        <v>1.5470660000000001</v>
      </c>
      <c r="D1140">
        <v>67.473281999999998</v>
      </c>
      <c r="E1140" t="s">
        <v>18</v>
      </c>
      <c r="F1140" t="s">
        <v>19</v>
      </c>
      <c r="G1140">
        <v>2.3036560000000001</v>
      </c>
      <c r="H1140">
        <v>3</v>
      </c>
      <c r="I1140" t="s">
        <v>20</v>
      </c>
      <c r="J1140" t="s">
        <v>19</v>
      </c>
      <c r="K1140">
        <v>1.163111</v>
      </c>
      <c r="L1140" t="s">
        <v>19</v>
      </c>
      <c r="M1140">
        <v>1.9263809999999999</v>
      </c>
      <c r="N1140">
        <v>1.119877</v>
      </c>
      <c r="O1140" t="s">
        <v>19</v>
      </c>
      <c r="P1140" t="s">
        <v>21</v>
      </c>
      <c r="Q1140" t="s">
        <v>27</v>
      </c>
    </row>
    <row r="1141" spans="1:17" x14ac:dyDescent="0.2">
      <c r="A1141" t="s">
        <v>23</v>
      </c>
      <c r="B1141">
        <v>22.087056</v>
      </c>
      <c r="C1141">
        <v>1.792435</v>
      </c>
      <c r="D1141">
        <v>89.998728999999997</v>
      </c>
      <c r="E1141" t="s">
        <v>18</v>
      </c>
      <c r="F1141" t="s">
        <v>18</v>
      </c>
      <c r="G1141">
        <v>1.9047320000000001</v>
      </c>
      <c r="H1141">
        <v>2.6084160000000001</v>
      </c>
      <c r="I1141" t="s">
        <v>20</v>
      </c>
      <c r="J1141" t="s">
        <v>19</v>
      </c>
      <c r="K1141">
        <v>1.204175</v>
      </c>
      <c r="L1141" t="s">
        <v>19</v>
      </c>
      <c r="M1141">
        <v>0</v>
      </c>
      <c r="N1141">
        <v>1.8953120000000001</v>
      </c>
      <c r="O1141" t="s">
        <v>20</v>
      </c>
      <c r="P1141" t="s">
        <v>21</v>
      </c>
      <c r="Q1141" t="s">
        <v>27</v>
      </c>
    </row>
    <row r="1142" spans="1:17" x14ac:dyDescent="0.2">
      <c r="A1142" t="s">
        <v>23</v>
      </c>
      <c r="B1142">
        <v>22.185756000000001</v>
      </c>
      <c r="C1142">
        <v>1.7845549999999999</v>
      </c>
      <c r="D1142">
        <v>89.836691999999999</v>
      </c>
      <c r="E1142" t="s">
        <v>18</v>
      </c>
      <c r="F1142" t="s">
        <v>18</v>
      </c>
      <c r="G1142">
        <v>1.9799439999999999</v>
      </c>
      <c r="H1142">
        <v>1.599464</v>
      </c>
      <c r="I1142" t="s">
        <v>20</v>
      </c>
      <c r="J1142" t="s">
        <v>19</v>
      </c>
      <c r="K1142">
        <v>2</v>
      </c>
      <c r="L1142" t="s">
        <v>19</v>
      </c>
      <c r="M1142">
        <v>0.17047999999999999</v>
      </c>
      <c r="N1142">
        <v>0.81947499999999995</v>
      </c>
      <c r="O1142" t="s">
        <v>20</v>
      </c>
      <c r="P1142" t="s">
        <v>21</v>
      </c>
      <c r="Q1142" t="s">
        <v>27</v>
      </c>
    </row>
    <row r="1143" spans="1:17" x14ac:dyDescent="0.2">
      <c r="A1143" t="s">
        <v>17</v>
      </c>
      <c r="B1143">
        <v>22.980957</v>
      </c>
      <c r="C1143">
        <v>1.7002159999999999</v>
      </c>
      <c r="D1143">
        <v>80.473586999999995</v>
      </c>
      <c r="E1143" t="s">
        <v>18</v>
      </c>
      <c r="F1143" t="s">
        <v>18</v>
      </c>
      <c r="G1143">
        <v>2</v>
      </c>
      <c r="H1143">
        <v>2.8152550000000001</v>
      </c>
      <c r="I1143" t="s">
        <v>20</v>
      </c>
      <c r="J1143" t="s">
        <v>19</v>
      </c>
      <c r="K1143">
        <v>1.622214</v>
      </c>
      <c r="L1143" t="s">
        <v>19</v>
      </c>
      <c r="M1143">
        <v>0.463891</v>
      </c>
      <c r="N1143">
        <v>1.462664</v>
      </c>
      <c r="O1143" t="s">
        <v>19</v>
      </c>
      <c r="P1143" t="s">
        <v>21</v>
      </c>
      <c r="Q1143" t="s">
        <v>27</v>
      </c>
    </row>
    <row r="1144" spans="1:17" x14ac:dyDescent="0.2">
      <c r="A1144" t="s">
        <v>23</v>
      </c>
      <c r="B1144">
        <v>23</v>
      </c>
      <c r="C1144">
        <v>1.6721010000000001</v>
      </c>
      <c r="D1144">
        <v>80.939733000000004</v>
      </c>
      <c r="E1144" t="s">
        <v>18</v>
      </c>
      <c r="F1144" t="s">
        <v>18</v>
      </c>
      <c r="G1144">
        <v>2</v>
      </c>
      <c r="H1144">
        <v>2.3957850000000001</v>
      </c>
      <c r="I1144" t="s">
        <v>20</v>
      </c>
      <c r="J1144" t="s">
        <v>19</v>
      </c>
      <c r="K1144">
        <v>1.4007700000000001</v>
      </c>
      <c r="L1144" t="s">
        <v>19</v>
      </c>
      <c r="M1144">
        <v>0.788659</v>
      </c>
      <c r="N1144">
        <v>1.544357</v>
      </c>
      <c r="O1144" t="s">
        <v>19</v>
      </c>
      <c r="P1144" t="s">
        <v>21</v>
      </c>
      <c r="Q1144" t="s">
        <v>27</v>
      </c>
    </row>
    <row r="1145" spans="1:17" x14ac:dyDescent="0.2">
      <c r="A1145" t="s">
        <v>23</v>
      </c>
      <c r="B1145">
        <v>24.190895999999999</v>
      </c>
      <c r="C1145">
        <v>1.7</v>
      </c>
      <c r="D1145">
        <v>84.849349000000004</v>
      </c>
      <c r="E1145" t="s">
        <v>18</v>
      </c>
      <c r="F1145" t="s">
        <v>18</v>
      </c>
      <c r="G1145">
        <v>2</v>
      </c>
      <c r="H1145">
        <v>3</v>
      </c>
      <c r="I1145" t="s">
        <v>20</v>
      </c>
      <c r="J1145" t="s">
        <v>19</v>
      </c>
      <c r="K1145">
        <v>2.0560529999999999</v>
      </c>
      <c r="L1145" t="s">
        <v>19</v>
      </c>
      <c r="M1145">
        <v>0</v>
      </c>
      <c r="N1145">
        <v>1</v>
      </c>
      <c r="O1145" t="s">
        <v>20</v>
      </c>
      <c r="P1145" t="s">
        <v>21</v>
      </c>
      <c r="Q1145" t="s">
        <v>27</v>
      </c>
    </row>
    <row r="1146" spans="1:17" x14ac:dyDescent="0.2">
      <c r="A1146" t="s">
        <v>23</v>
      </c>
      <c r="B1146">
        <v>23.94003</v>
      </c>
      <c r="C1146">
        <v>1.7213480000000001</v>
      </c>
      <c r="D1146">
        <v>83.986714000000006</v>
      </c>
      <c r="E1146" t="s">
        <v>18</v>
      </c>
      <c r="F1146" t="s">
        <v>18</v>
      </c>
      <c r="G1146">
        <v>2.4078170000000001</v>
      </c>
      <c r="H1146">
        <v>2.8441380000000001</v>
      </c>
      <c r="I1146" t="s">
        <v>20</v>
      </c>
      <c r="J1146" t="s">
        <v>19</v>
      </c>
      <c r="K1146">
        <v>1.983649</v>
      </c>
      <c r="L1146" t="s">
        <v>19</v>
      </c>
      <c r="M1146">
        <v>0.86872099999999997</v>
      </c>
      <c r="N1146">
        <v>8.9354000000000003E-2</v>
      </c>
      <c r="O1146" t="s">
        <v>20</v>
      </c>
      <c r="P1146" t="s">
        <v>21</v>
      </c>
      <c r="Q1146" t="s">
        <v>27</v>
      </c>
    </row>
    <row r="1147" spans="1:17" x14ac:dyDescent="0.2">
      <c r="A1147" t="s">
        <v>17</v>
      </c>
      <c r="B1147">
        <v>26.591628</v>
      </c>
      <c r="C1147">
        <v>1.7</v>
      </c>
      <c r="D1147">
        <v>78.008387999999997</v>
      </c>
      <c r="E1147" t="s">
        <v>18</v>
      </c>
      <c r="F1147" t="s">
        <v>18</v>
      </c>
      <c r="G1147">
        <v>2.7343139999999999</v>
      </c>
      <c r="H1147">
        <v>3</v>
      </c>
      <c r="I1147" t="s">
        <v>20</v>
      </c>
      <c r="J1147" t="s">
        <v>19</v>
      </c>
      <c r="K1147">
        <v>3</v>
      </c>
      <c r="L1147" t="s">
        <v>19</v>
      </c>
      <c r="M1147">
        <v>0.897702</v>
      </c>
      <c r="N1147">
        <v>0.90827100000000005</v>
      </c>
      <c r="O1147" t="s">
        <v>24</v>
      </c>
      <c r="P1147" t="s">
        <v>21</v>
      </c>
      <c r="Q1147" t="s">
        <v>27</v>
      </c>
    </row>
    <row r="1148" spans="1:17" x14ac:dyDescent="0.2">
      <c r="A1148" t="s">
        <v>23</v>
      </c>
      <c r="B1148">
        <v>31.264627999999998</v>
      </c>
      <c r="C1148">
        <v>1.803129</v>
      </c>
      <c r="D1148">
        <v>91.052215000000004</v>
      </c>
      <c r="E1148" t="s">
        <v>18</v>
      </c>
      <c r="F1148" t="s">
        <v>18</v>
      </c>
      <c r="G1148">
        <v>2</v>
      </c>
      <c r="H1148">
        <v>3</v>
      </c>
      <c r="I1148" t="s">
        <v>20</v>
      </c>
      <c r="J1148" t="s">
        <v>19</v>
      </c>
      <c r="K1148">
        <v>1.1995169999999999</v>
      </c>
      <c r="L1148" t="s">
        <v>19</v>
      </c>
      <c r="M1148">
        <v>4.7738000000000003E-2</v>
      </c>
      <c r="N1148">
        <v>0.163329</v>
      </c>
      <c r="O1148" t="s">
        <v>20</v>
      </c>
      <c r="P1148" t="s">
        <v>21</v>
      </c>
      <c r="Q1148" t="s">
        <v>27</v>
      </c>
    </row>
    <row r="1149" spans="1:17" x14ac:dyDescent="0.2">
      <c r="A1149" t="s">
        <v>17</v>
      </c>
      <c r="B1149">
        <v>23.629159000000001</v>
      </c>
      <c r="C1149">
        <v>1.7000200000000001</v>
      </c>
      <c r="D1149">
        <v>80.420434</v>
      </c>
      <c r="E1149" t="s">
        <v>18</v>
      </c>
      <c r="F1149" t="s">
        <v>18</v>
      </c>
      <c r="G1149">
        <v>2</v>
      </c>
      <c r="H1149">
        <v>3</v>
      </c>
      <c r="I1149" t="s">
        <v>20</v>
      </c>
      <c r="J1149" t="s">
        <v>19</v>
      </c>
      <c r="K1149">
        <v>2.3869039999999999</v>
      </c>
      <c r="L1149" t="s">
        <v>19</v>
      </c>
      <c r="M1149">
        <v>0.92620100000000005</v>
      </c>
      <c r="N1149">
        <v>1.3440300000000001</v>
      </c>
      <c r="O1149" t="s">
        <v>20</v>
      </c>
      <c r="P1149" t="s">
        <v>21</v>
      </c>
      <c r="Q1149" t="s">
        <v>27</v>
      </c>
    </row>
    <row r="1150" spans="1:17" x14ac:dyDescent="0.2">
      <c r="A1150" t="s">
        <v>17</v>
      </c>
      <c r="B1150">
        <v>26.208134000000001</v>
      </c>
      <c r="C1150">
        <v>1.7</v>
      </c>
      <c r="D1150">
        <v>78.041337999999996</v>
      </c>
      <c r="E1150" t="s">
        <v>18</v>
      </c>
      <c r="F1150" t="s">
        <v>18</v>
      </c>
      <c r="G1150">
        <v>2.7843830000000001</v>
      </c>
      <c r="H1150">
        <v>3</v>
      </c>
      <c r="I1150" t="s">
        <v>20</v>
      </c>
      <c r="J1150" t="s">
        <v>19</v>
      </c>
      <c r="K1150">
        <v>2.1656049999999998</v>
      </c>
      <c r="L1150" t="s">
        <v>19</v>
      </c>
      <c r="M1150">
        <v>0.85597299999999998</v>
      </c>
      <c r="N1150">
        <v>0.83965900000000004</v>
      </c>
      <c r="O1150" t="s">
        <v>24</v>
      </c>
      <c r="P1150" t="s">
        <v>28</v>
      </c>
      <c r="Q1150" t="s">
        <v>27</v>
      </c>
    </row>
    <row r="1151" spans="1:17" x14ac:dyDescent="0.2">
      <c r="A1151" t="s">
        <v>23</v>
      </c>
      <c r="B1151">
        <v>17.689056999999998</v>
      </c>
      <c r="C1151">
        <v>1.7135990000000001</v>
      </c>
      <c r="D1151">
        <v>83.285753</v>
      </c>
      <c r="E1151" t="s">
        <v>18</v>
      </c>
      <c r="F1151" t="s">
        <v>18</v>
      </c>
      <c r="G1151">
        <v>2.0099520000000002</v>
      </c>
      <c r="H1151">
        <v>2.7161059999999999</v>
      </c>
      <c r="I1151" t="s">
        <v>20</v>
      </c>
      <c r="J1151" t="s">
        <v>19</v>
      </c>
      <c r="K1151">
        <v>1.660614</v>
      </c>
      <c r="L1151" t="s">
        <v>19</v>
      </c>
      <c r="M1151">
        <v>1</v>
      </c>
      <c r="N1151">
        <v>0.60472999999999999</v>
      </c>
      <c r="O1151" t="s">
        <v>20</v>
      </c>
      <c r="P1151" t="s">
        <v>21</v>
      </c>
      <c r="Q1151" t="s">
        <v>27</v>
      </c>
    </row>
    <row r="1152" spans="1:17" x14ac:dyDescent="0.2">
      <c r="A1152" t="s">
        <v>23</v>
      </c>
      <c r="B1152">
        <v>19.160969999999999</v>
      </c>
      <c r="C1152">
        <v>1.662728</v>
      </c>
      <c r="D1152">
        <v>77.473203999999996</v>
      </c>
      <c r="E1152" t="s">
        <v>18</v>
      </c>
      <c r="F1152" t="s">
        <v>19</v>
      </c>
      <c r="G1152">
        <v>2.0086560000000002</v>
      </c>
      <c r="H1152">
        <v>1.402771</v>
      </c>
      <c r="I1152" t="s">
        <v>20</v>
      </c>
      <c r="J1152" t="s">
        <v>19</v>
      </c>
      <c r="K1152">
        <v>3</v>
      </c>
      <c r="L1152" t="s">
        <v>19</v>
      </c>
      <c r="M1152">
        <v>0.112383</v>
      </c>
      <c r="N1152">
        <v>0.32802999999999999</v>
      </c>
      <c r="O1152" t="s">
        <v>20</v>
      </c>
      <c r="P1152" t="s">
        <v>21</v>
      </c>
      <c r="Q1152" t="s">
        <v>27</v>
      </c>
    </row>
    <row r="1153" spans="1:17" x14ac:dyDescent="0.2">
      <c r="A1153" t="s">
        <v>23</v>
      </c>
      <c r="B1153">
        <v>25.457630000000002</v>
      </c>
      <c r="C1153">
        <v>1.837399</v>
      </c>
      <c r="D1153">
        <v>95.952027000000001</v>
      </c>
      <c r="E1153" t="s">
        <v>18</v>
      </c>
      <c r="F1153" t="s">
        <v>18</v>
      </c>
      <c r="G1153">
        <v>1.1221270000000001</v>
      </c>
      <c r="H1153">
        <v>2.8656570000000001</v>
      </c>
      <c r="I1153" t="s">
        <v>20</v>
      </c>
      <c r="J1153" t="s">
        <v>19</v>
      </c>
      <c r="K1153">
        <v>2</v>
      </c>
      <c r="L1153" t="s">
        <v>19</v>
      </c>
      <c r="M1153">
        <v>1.28775</v>
      </c>
      <c r="N1153">
        <v>1.944177</v>
      </c>
      <c r="O1153" t="s">
        <v>20</v>
      </c>
      <c r="P1153" t="s">
        <v>21</v>
      </c>
      <c r="Q1153" t="s">
        <v>27</v>
      </c>
    </row>
    <row r="1154" spans="1:17" x14ac:dyDescent="0.2">
      <c r="A1154" t="s">
        <v>23</v>
      </c>
      <c r="B1154">
        <v>22.988004</v>
      </c>
      <c r="C1154">
        <v>1.80827</v>
      </c>
      <c r="D1154">
        <v>91.363292999999999</v>
      </c>
      <c r="E1154" t="s">
        <v>18</v>
      </c>
      <c r="F1154" t="s">
        <v>18</v>
      </c>
      <c r="G1154">
        <v>1.963965</v>
      </c>
      <c r="H1154">
        <v>1.8362259999999999</v>
      </c>
      <c r="I1154" t="s">
        <v>20</v>
      </c>
      <c r="J1154" t="s">
        <v>19</v>
      </c>
      <c r="K1154">
        <v>1.85537</v>
      </c>
      <c r="L1154" t="s">
        <v>19</v>
      </c>
      <c r="M1154">
        <v>0</v>
      </c>
      <c r="N1154">
        <v>1.667745</v>
      </c>
      <c r="O1154" t="s">
        <v>20</v>
      </c>
      <c r="P1154" t="s">
        <v>21</v>
      </c>
      <c r="Q1154" t="s">
        <v>27</v>
      </c>
    </row>
    <row r="1155" spans="1:17" x14ac:dyDescent="0.2">
      <c r="A1155" t="s">
        <v>23</v>
      </c>
      <c r="B1155">
        <v>23.603190999999999</v>
      </c>
      <c r="C1155">
        <v>1.7145079999999999</v>
      </c>
      <c r="D1155">
        <v>85.137112999999999</v>
      </c>
      <c r="E1155" t="s">
        <v>18</v>
      </c>
      <c r="F1155" t="s">
        <v>18</v>
      </c>
      <c r="G1155">
        <v>2.3197760000000001</v>
      </c>
      <c r="H1155">
        <v>2.8848479999999999</v>
      </c>
      <c r="I1155" t="s">
        <v>20</v>
      </c>
      <c r="J1155" t="s">
        <v>19</v>
      </c>
      <c r="K1155">
        <v>2.1548980000000002</v>
      </c>
      <c r="L1155" t="s">
        <v>19</v>
      </c>
      <c r="M1155">
        <v>0.32553399999999999</v>
      </c>
      <c r="N1155">
        <v>0.95421599999999995</v>
      </c>
      <c r="O1155" t="s">
        <v>20</v>
      </c>
      <c r="P1155" t="s">
        <v>21</v>
      </c>
      <c r="Q1155" t="s">
        <v>27</v>
      </c>
    </row>
    <row r="1156" spans="1:17" x14ac:dyDescent="0.2">
      <c r="A1156" t="s">
        <v>23</v>
      </c>
      <c r="B1156">
        <v>22.882558</v>
      </c>
      <c r="C1156">
        <v>1.7934509999999999</v>
      </c>
      <c r="D1156">
        <v>89.909259000000006</v>
      </c>
      <c r="E1156" t="s">
        <v>18</v>
      </c>
      <c r="F1156" t="s">
        <v>18</v>
      </c>
      <c r="G1156">
        <v>1.899116</v>
      </c>
      <c r="H1156">
        <v>2.3750260000000001</v>
      </c>
      <c r="I1156" t="s">
        <v>20</v>
      </c>
      <c r="J1156" t="s">
        <v>19</v>
      </c>
      <c r="K1156">
        <v>1.3985399999999999</v>
      </c>
      <c r="L1156" t="s">
        <v>19</v>
      </c>
      <c r="M1156">
        <v>0</v>
      </c>
      <c r="N1156">
        <v>1.365793</v>
      </c>
      <c r="O1156" t="s">
        <v>20</v>
      </c>
      <c r="P1156" t="s">
        <v>21</v>
      </c>
      <c r="Q1156" t="s">
        <v>27</v>
      </c>
    </row>
    <row r="1157" spans="1:17" x14ac:dyDescent="0.2">
      <c r="A1157" t="s">
        <v>17</v>
      </c>
      <c r="B1157">
        <v>23.586058000000001</v>
      </c>
      <c r="C1157">
        <v>1.700499</v>
      </c>
      <c r="D1157">
        <v>81.108598999999998</v>
      </c>
      <c r="E1157" t="s">
        <v>18</v>
      </c>
      <c r="F1157" t="s">
        <v>18</v>
      </c>
      <c r="G1157">
        <v>2.0427620000000002</v>
      </c>
      <c r="H1157">
        <v>2.9773999999999998</v>
      </c>
      <c r="I1157" t="s">
        <v>20</v>
      </c>
      <c r="J1157" t="s">
        <v>19</v>
      </c>
      <c r="K1157">
        <v>1.5224260000000001</v>
      </c>
      <c r="L1157" t="s">
        <v>19</v>
      </c>
      <c r="M1157">
        <v>0.501417</v>
      </c>
      <c r="N1157">
        <v>1.0291349999999999</v>
      </c>
      <c r="O1157" t="s">
        <v>20</v>
      </c>
      <c r="P1157" t="s">
        <v>21</v>
      </c>
      <c r="Q1157" t="s">
        <v>27</v>
      </c>
    </row>
    <row r="1158" spans="1:17" x14ac:dyDescent="0.2">
      <c r="A1158" t="s">
        <v>23</v>
      </c>
      <c r="B1158">
        <v>34.432668999999997</v>
      </c>
      <c r="C1158">
        <v>1.6949970000000001</v>
      </c>
      <c r="D1158">
        <v>84.451423000000005</v>
      </c>
      <c r="E1158" t="s">
        <v>18</v>
      </c>
      <c r="F1158" t="s">
        <v>18</v>
      </c>
      <c r="G1158">
        <v>2.1296680000000001</v>
      </c>
      <c r="H1158">
        <v>2.6936460000000002</v>
      </c>
      <c r="I1158" t="s">
        <v>20</v>
      </c>
      <c r="J1158" t="s">
        <v>19</v>
      </c>
      <c r="K1158">
        <v>2.60669</v>
      </c>
      <c r="L1158" t="s">
        <v>19</v>
      </c>
      <c r="M1158">
        <v>1.1708229999999999</v>
      </c>
      <c r="N1158">
        <v>0.29089799999999999</v>
      </c>
      <c r="O1158" t="s">
        <v>19</v>
      </c>
      <c r="P1158" t="s">
        <v>28</v>
      </c>
      <c r="Q1158" t="s">
        <v>27</v>
      </c>
    </row>
    <row r="1159" spans="1:17" x14ac:dyDescent="0.2">
      <c r="A1159" t="s">
        <v>17</v>
      </c>
      <c r="B1159">
        <v>25.472995000000001</v>
      </c>
      <c r="C1159">
        <v>1.6889110000000001</v>
      </c>
      <c r="D1159">
        <v>78.434492000000006</v>
      </c>
      <c r="E1159" t="s">
        <v>18</v>
      </c>
      <c r="F1159" t="s">
        <v>18</v>
      </c>
      <c r="G1159">
        <v>2.182401</v>
      </c>
      <c r="H1159">
        <v>2.8320180000000001</v>
      </c>
      <c r="I1159" t="s">
        <v>20</v>
      </c>
      <c r="J1159" t="s">
        <v>19</v>
      </c>
      <c r="K1159">
        <v>2.4569390000000002</v>
      </c>
      <c r="L1159" t="s">
        <v>19</v>
      </c>
      <c r="M1159">
        <v>3.8809000000000003E-2</v>
      </c>
      <c r="N1159">
        <v>0.52401500000000001</v>
      </c>
      <c r="O1159" t="s">
        <v>24</v>
      </c>
      <c r="P1159" t="s">
        <v>21</v>
      </c>
      <c r="Q1159" t="s">
        <v>27</v>
      </c>
    </row>
    <row r="1160" spans="1:17" x14ac:dyDescent="0.2">
      <c r="A1160" t="s">
        <v>23</v>
      </c>
      <c r="B1160">
        <v>55.022494000000002</v>
      </c>
      <c r="C1160">
        <v>1.673394</v>
      </c>
      <c r="D1160">
        <v>80.400306</v>
      </c>
      <c r="E1160" t="s">
        <v>18</v>
      </c>
      <c r="F1160" t="s">
        <v>18</v>
      </c>
      <c r="G1160">
        <v>2</v>
      </c>
      <c r="H1160">
        <v>3</v>
      </c>
      <c r="I1160" t="s">
        <v>20</v>
      </c>
      <c r="J1160" t="s">
        <v>19</v>
      </c>
      <c r="K1160">
        <v>2</v>
      </c>
      <c r="L1160" t="s">
        <v>19</v>
      </c>
      <c r="M1160">
        <v>1</v>
      </c>
      <c r="N1160">
        <v>0</v>
      </c>
      <c r="O1160" t="s">
        <v>19</v>
      </c>
      <c r="P1160" t="s">
        <v>28</v>
      </c>
      <c r="Q1160" t="s">
        <v>27</v>
      </c>
    </row>
    <row r="1161" spans="1:17" x14ac:dyDescent="0.2">
      <c r="A1161" t="s">
        <v>23</v>
      </c>
      <c r="B1161">
        <v>34.647036</v>
      </c>
      <c r="C1161">
        <v>1.7694989999999999</v>
      </c>
      <c r="D1161">
        <v>85</v>
      </c>
      <c r="E1161" t="s">
        <v>18</v>
      </c>
      <c r="F1161" t="s">
        <v>18</v>
      </c>
      <c r="G1161">
        <v>2.8026960000000001</v>
      </c>
      <c r="H1161">
        <v>3</v>
      </c>
      <c r="I1161" t="s">
        <v>20</v>
      </c>
      <c r="J1161" t="s">
        <v>19</v>
      </c>
      <c r="K1161">
        <v>2.9784649999999999</v>
      </c>
      <c r="L1161" t="s">
        <v>19</v>
      </c>
      <c r="M1161">
        <v>1.974656</v>
      </c>
      <c r="N1161">
        <v>0.93692500000000001</v>
      </c>
      <c r="O1161" t="s">
        <v>19</v>
      </c>
      <c r="P1161" t="s">
        <v>28</v>
      </c>
      <c r="Q1161" t="s">
        <v>27</v>
      </c>
    </row>
    <row r="1162" spans="1:17" x14ac:dyDescent="0.2">
      <c r="A1162" t="s">
        <v>23</v>
      </c>
      <c r="B1162">
        <v>21.997335</v>
      </c>
      <c r="C1162">
        <v>1.65</v>
      </c>
      <c r="D1162">
        <v>80</v>
      </c>
      <c r="E1162" t="s">
        <v>18</v>
      </c>
      <c r="F1162" t="s">
        <v>18</v>
      </c>
      <c r="G1162">
        <v>2</v>
      </c>
      <c r="H1162">
        <v>3</v>
      </c>
      <c r="I1162" t="s">
        <v>20</v>
      </c>
      <c r="J1162" t="s">
        <v>19</v>
      </c>
      <c r="K1162">
        <v>2</v>
      </c>
      <c r="L1162" t="s">
        <v>19</v>
      </c>
      <c r="M1162">
        <v>0.52734099999999995</v>
      </c>
      <c r="N1162">
        <v>2</v>
      </c>
      <c r="O1162" t="s">
        <v>19</v>
      </c>
      <c r="P1162" t="s">
        <v>21</v>
      </c>
      <c r="Q1162" t="s">
        <v>27</v>
      </c>
    </row>
    <row r="1163" spans="1:17" x14ac:dyDescent="0.2">
      <c r="A1163" t="s">
        <v>23</v>
      </c>
      <c r="B1163">
        <v>18.181820999999999</v>
      </c>
      <c r="C1163">
        <v>1.662669</v>
      </c>
      <c r="D1163">
        <v>79.863545999999999</v>
      </c>
      <c r="E1163" t="s">
        <v>18</v>
      </c>
      <c r="F1163" t="s">
        <v>19</v>
      </c>
      <c r="G1163">
        <v>2.4927579999999998</v>
      </c>
      <c r="H1163">
        <v>2.2701630000000002</v>
      </c>
      <c r="I1163" t="s">
        <v>20</v>
      </c>
      <c r="J1163" t="s">
        <v>19</v>
      </c>
      <c r="K1163">
        <v>1.992586</v>
      </c>
      <c r="L1163" t="s">
        <v>19</v>
      </c>
      <c r="M1163">
        <v>1.452467</v>
      </c>
      <c r="N1163">
        <v>0.86458299999999999</v>
      </c>
      <c r="O1163" t="s">
        <v>19</v>
      </c>
      <c r="P1163" t="s">
        <v>21</v>
      </c>
      <c r="Q1163" t="s">
        <v>27</v>
      </c>
    </row>
    <row r="1164" spans="1:17" x14ac:dyDescent="0.2">
      <c r="A1164" t="s">
        <v>17</v>
      </c>
      <c r="B1164">
        <v>41.743333</v>
      </c>
      <c r="C1164">
        <v>1.6786099999999999</v>
      </c>
      <c r="D1164">
        <v>79.849252000000007</v>
      </c>
      <c r="E1164" t="s">
        <v>18</v>
      </c>
      <c r="F1164" t="s">
        <v>18</v>
      </c>
      <c r="G1164">
        <v>2.7331289999999999</v>
      </c>
      <c r="H1164">
        <v>3</v>
      </c>
      <c r="I1164" t="s">
        <v>20</v>
      </c>
      <c r="J1164" t="s">
        <v>19</v>
      </c>
      <c r="K1164">
        <v>1.302594</v>
      </c>
      <c r="L1164" t="s">
        <v>19</v>
      </c>
      <c r="M1164">
        <v>0</v>
      </c>
      <c r="N1164">
        <v>1.1033489999999999</v>
      </c>
      <c r="O1164" t="s">
        <v>19</v>
      </c>
      <c r="P1164" t="s">
        <v>28</v>
      </c>
      <c r="Q1164" t="s">
        <v>27</v>
      </c>
    </row>
    <row r="1165" spans="1:17" x14ac:dyDescent="0.2">
      <c r="A1165" t="s">
        <v>23</v>
      </c>
      <c r="B1165">
        <v>21.473078000000001</v>
      </c>
      <c r="C1165">
        <v>1.694423</v>
      </c>
      <c r="D1165">
        <v>80.311273</v>
      </c>
      <c r="E1165" t="s">
        <v>18</v>
      </c>
      <c r="F1165" t="s">
        <v>18</v>
      </c>
      <c r="G1165">
        <v>2</v>
      </c>
      <c r="H1165">
        <v>2.6467170000000002</v>
      </c>
      <c r="I1165" t="s">
        <v>20</v>
      </c>
      <c r="J1165" t="s">
        <v>19</v>
      </c>
      <c r="K1165">
        <v>2</v>
      </c>
      <c r="L1165" t="s">
        <v>19</v>
      </c>
      <c r="M1165">
        <v>2.6275149999999998</v>
      </c>
      <c r="N1165">
        <v>1.3588119999999999</v>
      </c>
      <c r="O1165" t="s">
        <v>19</v>
      </c>
      <c r="P1165" t="s">
        <v>21</v>
      </c>
      <c r="Q1165" t="s">
        <v>27</v>
      </c>
    </row>
    <row r="1166" spans="1:17" x14ac:dyDescent="0.2">
      <c r="A1166" t="s">
        <v>17</v>
      </c>
      <c r="B1166">
        <v>27.757186999999998</v>
      </c>
      <c r="C1166">
        <v>1.5054369999999999</v>
      </c>
      <c r="D1166">
        <v>63.892071000000001</v>
      </c>
      <c r="E1166" t="s">
        <v>18</v>
      </c>
      <c r="F1166" t="s">
        <v>19</v>
      </c>
      <c r="G1166">
        <v>2</v>
      </c>
      <c r="H1166">
        <v>1</v>
      </c>
      <c r="I1166" t="s">
        <v>20</v>
      </c>
      <c r="J1166" t="s">
        <v>19</v>
      </c>
      <c r="K1166">
        <v>1.278578</v>
      </c>
      <c r="L1166" t="s">
        <v>19</v>
      </c>
      <c r="M1166">
        <v>2.112E-2</v>
      </c>
      <c r="N1166">
        <v>0</v>
      </c>
      <c r="O1166" t="s">
        <v>19</v>
      </c>
      <c r="P1166" t="s">
        <v>21</v>
      </c>
      <c r="Q1166" t="s">
        <v>27</v>
      </c>
    </row>
    <row r="1167" spans="1:17" x14ac:dyDescent="0.2">
      <c r="A1167" t="s">
        <v>17</v>
      </c>
      <c r="B1167">
        <v>25.113537000000001</v>
      </c>
      <c r="C1167">
        <v>1.505387</v>
      </c>
      <c r="D1167">
        <v>63.715218999999998</v>
      </c>
      <c r="E1167" t="s">
        <v>18</v>
      </c>
      <c r="F1167" t="s">
        <v>19</v>
      </c>
      <c r="G1167">
        <v>2</v>
      </c>
      <c r="H1167">
        <v>1.193729</v>
      </c>
      <c r="I1167" t="s">
        <v>20</v>
      </c>
      <c r="J1167" t="s">
        <v>19</v>
      </c>
      <c r="K1167">
        <v>1.846441</v>
      </c>
      <c r="L1167" t="s">
        <v>19</v>
      </c>
      <c r="M1167">
        <v>0.54640200000000005</v>
      </c>
      <c r="N1167">
        <v>0.235711</v>
      </c>
      <c r="O1167" t="s">
        <v>19</v>
      </c>
      <c r="P1167" t="s">
        <v>21</v>
      </c>
      <c r="Q1167" t="s">
        <v>27</v>
      </c>
    </row>
    <row r="1168" spans="1:17" x14ac:dyDescent="0.2">
      <c r="A1168" t="s">
        <v>17</v>
      </c>
      <c r="B1168">
        <v>21.821650000000002</v>
      </c>
      <c r="C1168">
        <v>1.491441</v>
      </c>
      <c r="D1168">
        <v>62.269911999999998</v>
      </c>
      <c r="E1168" t="s">
        <v>18</v>
      </c>
      <c r="F1168" t="s">
        <v>19</v>
      </c>
      <c r="G1168">
        <v>2</v>
      </c>
      <c r="H1168">
        <v>1.477581</v>
      </c>
      <c r="I1168" t="s">
        <v>20</v>
      </c>
      <c r="J1168" t="s">
        <v>19</v>
      </c>
      <c r="K1168">
        <v>1.9950349999999999</v>
      </c>
      <c r="L1168" t="s">
        <v>19</v>
      </c>
      <c r="M1168">
        <v>0.32467600000000002</v>
      </c>
      <c r="N1168">
        <v>0.51742999999999995</v>
      </c>
      <c r="O1168" t="s">
        <v>19</v>
      </c>
      <c r="P1168" t="s">
        <v>21</v>
      </c>
      <c r="Q1168" t="s">
        <v>27</v>
      </c>
    </row>
    <row r="1169" spans="1:17" x14ac:dyDescent="0.2">
      <c r="A1169" t="s">
        <v>17</v>
      </c>
      <c r="B1169">
        <v>20.670974999999999</v>
      </c>
      <c r="C1169">
        <v>1.5094080000000001</v>
      </c>
      <c r="D1169">
        <v>64.852952999999999</v>
      </c>
      <c r="E1169" t="s">
        <v>18</v>
      </c>
      <c r="F1169" t="s">
        <v>19</v>
      </c>
      <c r="G1169">
        <v>2.2940670000000001</v>
      </c>
      <c r="H1169">
        <v>3.209508</v>
      </c>
      <c r="I1169" t="s">
        <v>20</v>
      </c>
      <c r="J1169" t="s">
        <v>19</v>
      </c>
      <c r="K1169">
        <v>2</v>
      </c>
      <c r="L1169" t="s">
        <v>19</v>
      </c>
      <c r="M1169">
        <v>1.1030880000000001</v>
      </c>
      <c r="N1169">
        <v>1.2610429999999999</v>
      </c>
      <c r="O1169" t="s">
        <v>19</v>
      </c>
      <c r="P1169" t="s">
        <v>21</v>
      </c>
      <c r="Q1169" t="s">
        <v>27</v>
      </c>
    </row>
    <row r="1170" spans="1:17" x14ac:dyDescent="0.2">
      <c r="A1170" t="s">
        <v>23</v>
      </c>
      <c r="B1170">
        <v>22.649792000000001</v>
      </c>
      <c r="C1170">
        <v>1.6850449999999999</v>
      </c>
      <c r="D1170">
        <v>81.022119000000004</v>
      </c>
      <c r="E1170" t="s">
        <v>18</v>
      </c>
      <c r="F1170" t="s">
        <v>18</v>
      </c>
      <c r="G1170">
        <v>2</v>
      </c>
      <c r="H1170">
        <v>2.7566220000000001</v>
      </c>
      <c r="I1170" t="s">
        <v>20</v>
      </c>
      <c r="J1170" t="s">
        <v>19</v>
      </c>
      <c r="K1170">
        <v>1.6060760000000001</v>
      </c>
      <c r="L1170" t="s">
        <v>19</v>
      </c>
      <c r="M1170">
        <v>0.432973</v>
      </c>
      <c r="N1170">
        <v>1.7495860000000001</v>
      </c>
      <c r="O1170" t="s">
        <v>19</v>
      </c>
      <c r="P1170" t="s">
        <v>21</v>
      </c>
      <c r="Q1170" t="s">
        <v>27</v>
      </c>
    </row>
    <row r="1171" spans="1:17" x14ac:dyDescent="0.2">
      <c r="A1171" t="s">
        <v>23</v>
      </c>
      <c r="B1171">
        <v>23.154311</v>
      </c>
      <c r="C1171">
        <v>1.7230719999999999</v>
      </c>
      <c r="D1171">
        <v>82.338464000000002</v>
      </c>
      <c r="E1171" t="s">
        <v>18</v>
      </c>
      <c r="F1171" t="s">
        <v>18</v>
      </c>
      <c r="G1171">
        <v>2.3159320000000001</v>
      </c>
      <c r="H1171">
        <v>2.6584780000000001</v>
      </c>
      <c r="I1171" t="s">
        <v>20</v>
      </c>
      <c r="J1171" t="s">
        <v>19</v>
      </c>
      <c r="K1171">
        <v>1.568476</v>
      </c>
      <c r="L1171" t="s">
        <v>19</v>
      </c>
      <c r="M1171">
        <v>0.94997600000000004</v>
      </c>
      <c r="N1171">
        <v>0.54489900000000002</v>
      </c>
      <c r="O1171" t="s">
        <v>20</v>
      </c>
      <c r="P1171" t="s">
        <v>21</v>
      </c>
      <c r="Q1171" t="s">
        <v>27</v>
      </c>
    </row>
    <row r="1172" spans="1:17" x14ac:dyDescent="0.2">
      <c r="A1172" t="s">
        <v>17</v>
      </c>
      <c r="B1172">
        <v>38.097394999999999</v>
      </c>
      <c r="C1172">
        <v>1.6969540000000001</v>
      </c>
      <c r="D1172">
        <v>78.156035000000003</v>
      </c>
      <c r="E1172" t="s">
        <v>18</v>
      </c>
      <c r="F1172" t="s">
        <v>18</v>
      </c>
      <c r="G1172">
        <v>3</v>
      </c>
      <c r="H1172">
        <v>3</v>
      </c>
      <c r="I1172" t="s">
        <v>20</v>
      </c>
      <c r="J1172" t="s">
        <v>19</v>
      </c>
      <c r="K1172">
        <v>2.1660240000000002</v>
      </c>
      <c r="L1172" t="s">
        <v>19</v>
      </c>
      <c r="M1172">
        <v>0</v>
      </c>
      <c r="N1172">
        <v>0</v>
      </c>
      <c r="O1172" t="s">
        <v>19</v>
      </c>
      <c r="P1172" t="s">
        <v>28</v>
      </c>
      <c r="Q1172" t="s">
        <v>27</v>
      </c>
    </row>
    <row r="1173" spans="1:17" x14ac:dyDescent="0.2">
      <c r="A1173" t="s">
        <v>17</v>
      </c>
      <c r="B1173">
        <v>37.642176999999997</v>
      </c>
      <c r="C1173">
        <v>1.6760949999999999</v>
      </c>
      <c r="D1173">
        <v>79.079738000000006</v>
      </c>
      <c r="E1173" t="s">
        <v>18</v>
      </c>
      <c r="F1173" t="s">
        <v>18</v>
      </c>
      <c r="G1173">
        <v>2.8021280000000002</v>
      </c>
      <c r="H1173">
        <v>3</v>
      </c>
      <c r="I1173" t="s">
        <v>20</v>
      </c>
      <c r="J1173" t="s">
        <v>19</v>
      </c>
      <c r="K1173">
        <v>1.7446280000000001</v>
      </c>
      <c r="L1173" t="s">
        <v>19</v>
      </c>
      <c r="M1173">
        <v>0</v>
      </c>
      <c r="N1173">
        <v>0.721167</v>
      </c>
      <c r="O1173" t="s">
        <v>19</v>
      </c>
      <c r="P1173" t="s">
        <v>28</v>
      </c>
      <c r="Q1173" t="s">
        <v>27</v>
      </c>
    </row>
    <row r="1174" spans="1:17" x14ac:dyDescent="0.2">
      <c r="A1174" t="s">
        <v>17</v>
      </c>
      <c r="B1174">
        <v>34.176794999999998</v>
      </c>
      <c r="C1174">
        <v>1.6810210000000001</v>
      </c>
      <c r="D1174">
        <v>77.392178999999999</v>
      </c>
      <c r="E1174" t="s">
        <v>18</v>
      </c>
      <c r="F1174" t="s">
        <v>18</v>
      </c>
      <c r="G1174">
        <v>2.7960600000000002</v>
      </c>
      <c r="H1174">
        <v>1.9714719999999999</v>
      </c>
      <c r="I1174" t="s">
        <v>20</v>
      </c>
      <c r="J1174" t="s">
        <v>19</v>
      </c>
      <c r="K1174">
        <v>1.9216009999999999</v>
      </c>
      <c r="L1174" t="s">
        <v>19</v>
      </c>
      <c r="M1174">
        <v>0.93521699999999996</v>
      </c>
      <c r="N1174">
        <v>0.70463699999999996</v>
      </c>
      <c r="O1174" t="s">
        <v>19</v>
      </c>
      <c r="P1174" t="s">
        <v>28</v>
      </c>
      <c r="Q1174" t="s">
        <v>27</v>
      </c>
    </row>
    <row r="1175" spans="1:17" x14ac:dyDescent="0.2">
      <c r="A1175" t="s">
        <v>17</v>
      </c>
      <c r="B1175">
        <v>34.231082999999998</v>
      </c>
      <c r="C1175">
        <v>1.654067</v>
      </c>
      <c r="D1175">
        <v>79.697277999999997</v>
      </c>
      <c r="E1175" t="s">
        <v>18</v>
      </c>
      <c r="F1175" t="s">
        <v>18</v>
      </c>
      <c r="G1175">
        <v>2.0868980000000001</v>
      </c>
      <c r="H1175">
        <v>1.8180259999999999</v>
      </c>
      <c r="I1175" t="s">
        <v>20</v>
      </c>
      <c r="J1175" t="s">
        <v>19</v>
      </c>
      <c r="K1175">
        <v>2.0889289999999998</v>
      </c>
      <c r="L1175" t="s">
        <v>19</v>
      </c>
      <c r="M1175">
        <v>0.30542200000000003</v>
      </c>
      <c r="N1175">
        <v>1.0407869999999999</v>
      </c>
      <c r="O1175" t="s">
        <v>19</v>
      </c>
      <c r="P1175" t="s">
        <v>28</v>
      </c>
      <c r="Q1175" t="s">
        <v>27</v>
      </c>
    </row>
    <row r="1176" spans="1:17" x14ac:dyDescent="0.2">
      <c r="A1176" t="s">
        <v>23</v>
      </c>
      <c r="B1176">
        <v>31.965402000000001</v>
      </c>
      <c r="C1176">
        <v>1.840708</v>
      </c>
      <c r="D1176">
        <v>98.259422999999998</v>
      </c>
      <c r="E1176" t="s">
        <v>18</v>
      </c>
      <c r="F1176" t="s">
        <v>18</v>
      </c>
      <c r="G1176">
        <v>2.3335029999999999</v>
      </c>
      <c r="H1176">
        <v>1.8207789999999999</v>
      </c>
      <c r="I1176" t="s">
        <v>20</v>
      </c>
      <c r="J1176" t="s">
        <v>19</v>
      </c>
      <c r="K1176">
        <v>2.5592649999999999</v>
      </c>
      <c r="L1176" t="s">
        <v>19</v>
      </c>
      <c r="M1176">
        <v>1.3271930000000001</v>
      </c>
      <c r="N1176">
        <v>0.48135699999999998</v>
      </c>
      <c r="O1176" t="s">
        <v>20</v>
      </c>
      <c r="P1176" t="s">
        <v>28</v>
      </c>
      <c r="Q1176" t="s">
        <v>27</v>
      </c>
    </row>
    <row r="1177" spans="1:17" x14ac:dyDescent="0.2">
      <c r="A1177" t="s">
        <v>23</v>
      </c>
      <c r="B1177">
        <v>33.185661000000003</v>
      </c>
      <c r="C1177">
        <v>1.8360069999999999</v>
      </c>
      <c r="D1177">
        <v>97.416416999999996</v>
      </c>
      <c r="E1177" t="s">
        <v>18</v>
      </c>
      <c r="F1177" t="s">
        <v>18</v>
      </c>
      <c r="G1177">
        <v>2</v>
      </c>
      <c r="H1177">
        <v>1.7248870000000001</v>
      </c>
      <c r="I1177" t="s">
        <v>20</v>
      </c>
      <c r="J1177" t="s">
        <v>19</v>
      </c>
      <c r="K1177">
        <v>3</v>
      </c>
      <c r="L1177" t="s">
        <v>19</v>
      </c>
      <c r="M1177">
        <v>1</v>
      </c>
      <c r="N1177">
        <v>0</v>
      </c>
      <c r="O1177" t="s">
        <v>20</v>
      </c>
      <c r="P1177" t="s">
        <v>28</v>
      </c>
      <c r="Q1177" t="s">
        <v>27</v>
      </c>
    </row>
    <row r="1178" spans="1:17" x14ac:dyDescent="0.2">
      <c r="A1178" t="s">
        <v>17</v>
      </c>
      <c r="B1178">
        <v>18.741188000000001</v>
      </c>
      <c r="C1178">
        <v>1.556789</v>
      </c>
      <c r="D1178">
        <v>71.788180999999994</v>
      </c>
      <c r="E1178" t="s">
        <v>18</v>
      </c>
      <c r="F1178" t="s">
        <v>19</v>
      </c>
      <c r="G1178">
        <v>3</v>
      </c>
      <c r="H1178">
        <v>3.1291549999999999</v>
      </c>
      <c r="I1178" t="s">
        <v>20</v>
      </c>
      <c r="J1178" t="s">
        <v>19</v>
      </c>
      <c r="K1178">
        <v>2</v>
      </c>
      <c r="L1178" t="s">
        <v>19</v>
      </c>
      <c r="M1178">
        <v>1.634134</v>
      </c>
      <c r="N1178">
        <v>1</v>
      </c>
      <c r="O1178" t="s">
        <v>19</v>
      </c>
      <c r="P1178" t="s">
        <v>21</v>
      </c>
      <c r="Q1178" t="s">
        <v>27</v>
      </c>
    </row>
    <row r="1179" spans="1:17" x14ac:dyDescent="0.2">
      <c r="A1179" t="s">
        <v>17</v>
      </c>
      <c r="B1179">
        <v>19.955257</v>
      </c>
      <c r="C1179">
        <v>1.5891</v>
      </c>
      <c r="D1179">
        <v>72.713611</v>
      </c>
      <c r="E1179" t="s">
        <v>18</v>
      </c>
      <c r="F1179" t="s">
        <v>19</v>
      </c>
      <c r="G1179">
        <v>3</v>
      </c>
      <c r="H1179">
        <v>3.8564340000000001</v>
      </c>
      <c r="I1179" t="s">
        <v>20</v>
      </c>
      <c r="J1179" t="s">
        <v>19</v>
      </c>
      <c r="K1179">
        <v>2</v>
      </c>
      <c r="L1179" t="s">
        <v>19</v>
      </c>
      <c r="M1179">
        <v>1.3241700000000001</v>
      </c>
      <c r="N1179">
        <v>1</v>
      </c>
      <c r="O1179" t="s">
        <v>20</v>
      </c>
      <c r="P1179" t="s">
        <v>21</v>
      </c>
      <c r="Q1179" t="s">
        <v>27</v>
      </c>
    </row>
    <row r="1180" spans="1:17" x14ac:dyDescent="0.2">
      <c r="A1180" t="s">
        <v>23</v>
      </c>
      <c r="B1180">
        <v>19.684891</v>
      </c>
      <c r="C1180">
        <v>1.7006270000000001</v>
      </c>
      <c r="D1180">
        <v>78.048207000000005</v>
      </c>
      <c r="E1180" t="s">
        <v>18</v>
      </c>
      <c r="F1180" t="s">
        <v>19</v>
      </c>
      <c r="G1180">
        <v>1.653081</v>
      </c>
      <c r="H1180">
        <v>2.7534179999999999</v>
      </c>
      <c r="I1180" t="s">
        <v>20</v>
      </c>
      <c r="J1180" t="s">
        <v>19</v>
      </c>
      <c r="K1180">
        <v>2.1920630000000001</v>
      </c>
      <c r="L1180" t="s">
        <v>19</v>
      </c>
      <c r="M1180">
        <v>1.4749369999999999</v>
      </c>
      <c r="N1180">
        <v>0.51854199999999995</v>
      </c>
      <c r="O1180" t="s">
        <v>20</v>
      </c>
      <c r="P1180" t="s">
        <v>21</v>
      </c>
      <c r="Q1180" t="s">
        <v>27</v>
      </c>
    </row>
    <row r="1181" spans="1:17" x14ac:dyDescent="0.2">
      <c r="A1181" t="s">
        <v>23</v>
      </c>
      <c r="B1181">
        <v>47.706099999999999</v>
      </c>
      <c r="C1181">
        <v>1.743935</v>
      </c>
      <c r="D1181">
        <v>84.729196999999999</v>
      </c>
      <c r="E1181" t="s">
        <v>18</v>
      </c>
      <c r="F1181" t="s">
        <v>18</v>
      </c>
      <c r="G1181">
        <v>2.5353150000000002</v>
      </c>
      <c r="H1181">
        <v>3</v>
      </c>
      <c r="I1181" t="s">
        <v>20</v>
      </c>
      <c r="J1181" t="s">
        <v>19</v>
      </c>
      <c r="K1181">
        <v>1.146595</v>
      </c>
      <c r="L1181" t="s">
        <v>19</v>
      </c>
      <c r="M1181">
        <v>0.31380999999999998</v>
      </c>
      <c r="N1181">
        <v>0</v>
      </c>
      <c r="O1181" t="s">
        <v>19</v>
      </c>
      <c r="P1181" t="s">
        <v>28</v>
      </c>
      <c r="Q1181" t="s">
        <v>27</v>
      </c>
    </row>
    <row r="1182" spans="1:17" x14ac:dyDescent="0.2">
      <c r="A1182" t="s">
        <v>23</v>
      </c>
      <c r="B1182">
        <v>17.997008999999998</v>
      </c>
      <c r="C1182">
        <v>1.7426539999999999</v>
      </c>
      <c r="D1182">
        <v>85</v>
      </c>
      <c r="E1182" t="s">
        <v>18</v>
      </c>
      <c r="F1182" t="s">
        <v>19</v>
      </c>
      <c r="G1182">
        <v>2</v>
      </c>
      <c r="H1182">
        <v>3</v>
      </c>
      <c r="I1182" t="s">
        <v>20</v>
      </c>
      <c r="J1182" t="s">
        <v>19</v>
      </c>
      <c r="K1182">
        <v>2.976229</v>
      </c>
      <c r="L1182" t="s">
        <v>19</v>
      </c>
      <c r="M1182">
        <v>1</v>
      </c>
      <c r="N1182">
        <v>0.121992</v>
      </c>
      <c r="O1182" t="s">
        <v>20</v>
      </c>
      <c r="P1182" t="s">
        <v>21</v>
      </c>
      <c r="Q1182" t="s">
        <v>27</v>
      </c>
    </row>
    <row r="1183" spans="1:17" x14ac:dyDescent="0.2">
      <c r="A1183" t="s">
        <v>23</v>
      </c>
      <c r="B1183">
        <v>17.971786000000002</v>
      </c>
      <c r="C1183">
        <v>1.7544409999999999</v>
      </c>
      <c r="D1183">
        <v>85.002883999999995</v>
      </c>
      <c r="E1183" t="s">
        <v>18</v>
      </c>
      <c r="F1183" t="s">
        <v>18</v>
      </c>
      <c r="G1183">
        <v>2.7657690000000001</v>
      </c>
      <c r="H1183">
        <v>3</v>
      </c>
      <c r="I1183" t="s">
        <v>20</v>
      </c>
      <c r="J1183" t="s">
        <v>19</v>
      </c>
      <c r="K1183">
        <v>2.8451339999999998</v>
      </c>
      <c r="L1183" t="s">
        <v>19</v>
      </c>
      <c r="M1183">
        <v>1</v>
      </c>
      <c r="N1183">
        <v>0.42682999999999999</v>
      </c>
      <c r="O1183" t="s">
        <v>20</v>
      </c>
      <c r="P1183" t="s">
        <v>21</v>
      </c>
      <c r="Q1183" t="s">
        <v>27</v>
      </c>
    </row>
    <row r="1184" spans="1:17" x14ac:dyDescent="0.2">
      <c r="A1184" t="s">
        <v>23</v>
      </c>
      <c r="B1184">
        <v>20.432717</v>
      </c>
      <c r="C1184">
        <v>1.7193419999999999</v>
      </c>
      <c r="D1184">
        <v>80.790813</v>
      </c>
      <c r="E1184" t="s">
        <v>18</v>
      </c>
      <c r="F1184" t="s">
        <v>18</v>
      </c>
      <c r="G1184">
        <v>2.2154639999999999</v>
      </c>
      <c r="H1184">
        <v>2.1161949999999998</v>
      </c>
      <c r="I1184" t="s">
        <v>20</v>
      </c>
      <c r="J1184" t="s">
        <v>19</v>
      </c>
      <c r="K1184">
        <v>1.80996</v>
      </c>
      <c r="L1184" t="s">
        <v>19</v>
      </c>
      <c r="M1184">
        <v>1.910577</v>
      </c>
      <c r="N1184">
        <v>0.971746</v>
      </c>
      <c r="O1184" t="s">
        <v>19</v>
      </c>
      <c r="P1184" t="s">
        <v>21</v>
      </c>
      <c r="Q1184" t="s">
        <v>27</v>
      </c>
    </row>
    <row r="1185" spans="1:17" x14ac:dyDescent="0.2">
      <c r="A1185" t="s">
        <v>17</v>
      </c>
      <c r="B1185">
        <v>33.954433000000002</v>
      </c>
      <c r="C1185">
        <v>1.682253</v>
      </c>
      <c r="D1185">
        <v>77.431678000000005</v>
      </c>
      <c r="E1185" t="s">
        <v>18</v>
      </c>
      <c r="F1185" t="s">
        <v>18</v>
      </c>
      <c r="G1185">
        <v>3</v>
      </c>
      <c r="H1185">
        <v>2.0499079999999998</v>
      </c>
      <c r="I1185" t="s">
        <v>20</v>
      </c>
      <c r="J1185" t="s">
        <v>19</v>
      </c>
      <c r="K1185">
        <v>1.9998819999999999</v>
      </c>
      <c r="L1185" t="s">
        <v>19</v>
      </c>
      <c r="M1185">
        <v>1.6373679999999999</v>
      </c>
      <c r="N1185">
        <v>0.10724</v>
      </c>
      <c r="O1185" t="s">
        <v>19</v>
      </c>
      <c r="P1185" t="s">
        <v>28</v>
      </c>
      <c r="Q1185" t="s">
        <v>27</v>
      </c>
    </row>
    <row r="1186" spans="1:17" x14ac:dyDescent="0.2">
      <c r="A1186" t="s">
        <v>23</v>
      </c>
      <c r="B1186">
        <v>17.039058000000001</v>
      </c>
      <c r="C1186">
        <v>1.7999019999999999</v>
      </c>
      <c r="D1186">
        <v>95.419668000000001</v>
      </c>
      <c r="E1186" t="s">
        <v>18</v>
      </c>
      <c r="F1186" t="s">
        <v>18</v>
      </c>
      <c r="G1186">
        <v>2</v>
      </c>
      <c r="H1186">
        <v>3</v>
      </c>
      <c r="I1186" t="s">
        <v>20</v>
      </c>
      <c r="J1186" t="s">
        <v>19</v>
      </c>
      <c r="K1186">
        <v>3</v>
      </c>
      <c r="L1186" t="s">
        <v>19</v>
      </c>
      <c r="M1186">
        <v>1.0472900000000001</v>
      </c>
      <c r="N1186">
        <v>0.93380200000000002</v>
      </c>
      <c r="O1186" t="s">
        <v>20</v>
      </c>
      <c r="P1186" t="s">
        <v>21</v>
      </c>
      <c r="Q1186" t="s">
        <v>27</v>
      </c>
    </row>
    <row r="1187" spans="1:17" x14ac:dyDescent="0.2">
      <c r="A1187" t="s">
        <v>23</v>
      </c>
      <c r="B1187">
        <v>33.070141999999997</v>
      </c>
      <c r="C1187">
        <v>1.7094279999999999</v>
      </c>
      <c r="D1187">
        <v>83.014032999999998</v>
      </c>
      <c r="E1187" t="s">
        <v>18</v>
      </c>
      <c r="F1187" t="s">
        <v>18</v>
      </c>
      <c r="G1187">
        <v>2</v>
      </c>
      <c r="H1187">
        <v>1.0446279999999999</v>
      </c>
      <c r="I1187" t="s">
        <v>20</v>
      </c>
      <c r="J1187" t="s">
        <v>19</v>
      </c>
      <c r="K1187">
        <v>2.01051</v>
      </c>
      <c r="L1187" t="s">
        <v>19</v>
      </c>
      <c r="M1187">
        <v>2.8058010000000002</v>
      </c>
      <c r="N1187">
        <v>0</v>
      </c>
      <c r="O1187" t="s">
        <v>19</v>
      </c>
      <c r="P1187" t="s">
        <v>28</v>
      </c>
      <c r="Q1187" t="s">
        <v>27</v>
      </c>
    </row>
    <row r="1188" spans="1:17" x14ac:dyDescent="0.2">
      <c r="A1188" t="s">
        <v>23</v>
      </c>
      <c r="B1188">
        <v>34.993834999999997</v>
      </c>
      <c r="C1188">
        <v>1.752456</v>
      </c>
      <c r="D1188">
        <v>84.783755999999997</v>
      </c>
      <c r="E1188" t="s">
        <v>18</v>
      </c>
      <c r="F1188" t="s">
        <v>18</v>
      </c>
      <c r="G1188">
        <v>2.63165</v>
      </c>
      <c r="H1188">
        <v>2.9821200000000001</v>
      </c>
      <c r="I1188" t="s">
        <v>20</v>
      </c>
      <c r="J1188" t="s">
        <v>19</v>
      </c>
      <c r="K1188">
        <v>2.7785869999999999</v>
      </c>
      <c r="L1188" t="s">
        <v>19</v>
      </c>
      <c r="M1188">
        <v>2.6677390000000001</v>
      </c>
      <c r="N1188">
        <v>0.90518100000000001</v>
      </c>
      <c r="O1188" t="s">
        <v>19</v>
      </c>
      <c r="P1188" t="s">
        <v>28</v>
      </c>
      <c r="Q1188" t="s">
        <v>27</v>
      </c>
    </row>
    <row r="1189" spans="1:17" x14ac:dyDescent="0.2">
      <c r="A1189" t="s">
        <v>23</v>
      </c>
      <c r="B1189">
        <v>35.719456999999998</v>
      </c>
      <c r="C1189">
        <v>1.6859470000000001</v>
      </c>
      <c r="D1189">
        <v>83.325800000000001</v>
      </c>
      <c r="E1189" t="s">
        <v>18</v>
      </c>
      <c r="F1189" t="s">
        <v>18</v>
      </c>
      <c r="G1189">
        <v>2</v>
      </c>
      <c r="H1189">
        <v>1.0094259999999999</v>
      </c>
      <c r="I1189" t="s">
        <v>20</v>
      </c>
      <c r="J1189" t="s">
        <v>19</v>
      </c>
      <c r="K1189">
        <v>2.1363979999999998</v>
      </c>
      <c r="L1189" t="s">
        <v>19</v>
      </c>
      <c r="M1189">
        <v>1.060349</v>
      </c>
      <c r="N1189">
        <v>0</v>
      </c>
      <c r="O1189" t="s">
        <v>19</v>
      </c>
      <c r="P1189" t="s">
        <v>28</v>
      </c>
      <c r="Q1189" t="s">
        <v>27</v>
      </c>
    </row>
    <row r="1190" spans="1:17" x14ac:dyDescent="0.2">
      <c r="A1190" t="s">
        <v>17</v>
      </c>
      <c r="B1190">
        <v>19.005725000000002</v>
      </c>
      <c r="C1190">
        <v>1.5999989999999999</v>
      </c>
      <c r="D1190">
        <v>73.513873000000004</v>
      </c>
      <c r="E1190" t="s">
        <v>18</v>
      </c>
      <c r="F1190" t="s">
        <v>19</v>
      </c>
      <c r="G1190">
        <v>2.9421539999999999</v>
      </c>
      <c r="H1190">
        <v>2.6677110000000002</v>
      </c>
      <c r="I1190" t="s">
        <v>20</v>
      </c>
      <c r="J1190" t="s">
        <v>19</v>
      </c>
      <c r="K1190">
        <v>2.184768</v>
      </c>
      <c r="L1190" t="s">
        <v>19</v>
      </c>
      <c r="M1190">
        <v>1.524405</v>
      </c>
      <c r="N1190">
        <v>0.80500799999999995</v>
      </c>
      <c r="O1190" t="s">
        <v>20</v>
      </c>
      <c r="P1190" t="s">
        <v>21</v>
      </c>
      <c r="Q1190" t="s">
        <v>27</v>
      </c>
    </row>
    <row r="1191" spans="1:17" x14ac:dyDescent="0.2">
      <c r="A1191" t="s">
        <v>17</v>
      </c>
      <c r="B1191">
        <v>18.850466000000001</v>
      </c>
      <c r="C1191">
        <v>1.5500529999999999</v>
      </c>
      <c r="D1191">
        <v>72.951800000000006</v>
      </c>
      <c r="E1191" t="s">
        <v>18</v>
      </c>
      <c r="F1191" t="s">
        <v>19</v>
      </c>
      <c r="G1191">
        <v>3</v>
      </c>
      <c r="H1191">
        <v>3.0009739999999998</v>
      </c>
      <c r="I1191" t="s">
        <v>20</v>
      </c>
      <c r="J1191" t="s">
        <v>19</v>
      </c>
      <c r="K1191">
        <v>2</v>
      </c>
      <c r="L1191" t="s">
        <v>19</v>
      </c>
      <c r="M1191">
        <v>2.274248</v>
      </c>
      <c r="N1191">
        <v>1</v>
      </c>
      <c r="O1191" t="s">
        <v>20</v>
      </c>
      <c r="P1191" t="s">
        <v>21</v>
      </c>
      <c r="Q1191" t="s">
        <v>27</v>
      </c>
    </row>
    <row r="1192" spans="1:17" x14ac:dyDescent="0.2">
      <c r="A1192" t="s">
        <v>23</v>
      </c>
      <c r="B1192">
        <v>31.540751</v>
      </c>
      <c r="C1192">
        <v>1.8280920000000001</v>
      </c>
      <c r="D1192">
        <v>91.495717999999997</v>
      </c>
      <c r="E1192" t="s">
        <v>18</v>
      </c>
      <c r="F1192" t="s">
        <v>18</v>
      </c>
      <c r="G1192">
        <v>2</v>
      </c>
      <c r="H1192">
        <v>2.6988829999999999</v>
      </c>
      <c r="I1192" t="s">
        <v>20</v>
      </c>
      <c r="J1192" t="s">
        <v>19</v>
      </c>
      <c r="K1192">
        <v>2.035104</v>
      </c>
      <c r="L1192" t="s">
        <v>19</v>
      </c>
      <c r="M1192">
        <v>0.59843800000000003</v>
      </c>
      <c r="N1192">
        <v>1.7016E-2</v>
      </c>
      <c r="O1192" t="s">
        <v>20</v>
      </c>
      <c r="P1192" t="s">
        <v>28</v>
      </c>
      <c r="Q1192" t="s">
        <v>27</v>
      </c>
    </row>
    <row r="1193" spans="1:17" x14ac:dyDescent="0.2">
      <c r="A1193" t="s">
        <v>23</v>
      </c>
      <c r="B1193">
        <v>23.335391000000001</v>
      </c>
      <c r="C1193">
        <v>1.7133799999999999</v>
      </c>
      <c r="D1193">
        <v>82.085549</v>
      </c>
      <c r="E1193" t="s">
        <v>18</v>
      </c>
      <c r="F1193" t="s">
        <v>18</v>
      </c>
      <c r="G1193">
        <v>2.7169089999999998</v>
      </c>
      <c r="H1193">
        <v>2.5980789999999998</v>
      </c>
      <c r="I1193" t="s">
        <v>20</v>
      </c>
      <c r="J1193" t="s">
        <v>19</v>
      </c>
      <c r="K1193">
        <v>2.9054500000000001</v>
      </c>
      <c r="L1193" t="s">
        <v>19</v>
      </c>
      <c r="M1193">
        <v>1.6004309999999999</v>
      </c>
      <c r="N1193">
        <v>0.17689199999999999</v>
      </c>
      <c r="O1193" t="s">
        <v>20</v>
      </c>
      <c r="P1193" t="s">
        <v>21</v>
      </c>
      <c r="Q1193" t="s">
        <v>27</v>
      </c>
    </row>
    <row r="1194" spans="1:17" x14ac:dyDescent="0.2">
      <c r="A1194" t="s">
        <v>23</v>
      </c>
      <c r="B1194">
        <v>19.749627</v>
      </c>
      <c r="C1194">
        <v>1.6807639999999999</v>
      </c>
      <c r="D1194">
        <v>79.621463000000006</v>
      </c>
      <c r="E1194" t="s">
        <v>18</v>
      </c>
      <c r="F1194" t="s">
        <v>19</v>
      </c>
      <c r="G1194">
        <v>1.8374600000000001</v>
      </c>
      <c r="H1194">
        <v>3</v>
      </c>
      <c r="I1194" t="s">
        <v>20</v>
      </c>
      <c r="J1194" t="s">
        <v>19</v>
      </c>
      <c r="K1194">
        <v>2</v>
      </c>
      <c r="L1194" t="s">
        <v>19</v>
      </c>
      <c r="M1194">
        <v>1.1945190000000001</v>
      </c>
      <c r="N1194">
        <v>1.2127619999999999</v>
      </c>
      <c r="O1194" t="s">
        <v>19</v>
      </c>
      <c r="P1194" t="s">
        <v>21</v>
      </c>
      <c r="Q1194" t="s">
        <v>27</v>
      </c>
    </row>
    <row r="1195" spans="1:17" x14ac:dyDescent="0.2">
      <c r="A1195" t="s">
        <v>23</v>
      </c>
      <c r="B1195">
        <v>19.565496</v>
      </c>
      <c r="C1195">
        <v>1.705584</v>
      </c>
      <c r="D1195">
        <v>78.025625000000005</v>
      </c>
      <c r="E1195" t="s">
        <v>18</v>
      </c>
      <c r="F1195" t="s">
        <v>19</v>
      </c>
      <c r="G1195">
        <v>1.9364790000000001</v>
      </c>
      <c r="H1195">
        <v>2.8373879999999998</v>
      </c>
      <c r="I1195" t="s">
        <v>20</v>
      </c>
      <c r="J1195" t="s">
        <v>19</v>
      </c>
      <c r="K1195">
        <v>2.1599870000000001</v>
      </c>
      <c r="L1195" t="s">
        <v>19</v>
      </c>
      <c r="M1195">
        <v>1.4757720000000001</v>
      </c>
      <c r="N1195">
        <v>0.64651400000000003</v>
      </c>
      <c r="O1195" t="s">
        <v>20</v>
      </c>
      <c r="P1195" t="s">
        <v>21</v>
      </c>
      <c r="Q1195" t="s">
        <v>27</v>
      </c>
    </row>
    <row r="1196" spans="1:17" x14ac:dyDescent="0.2">
      <c r="A1196" t="s">
        <v>23</v>
      </c>
      <c r="B1196">
        <v>30.357745000000001</v>
      </c>
      <c r="C1196">
        <v>1.841852</v>
      </c>
      <c r="D1196">
        <v>93.614245999999994</v>
      </c>
      <c r="E1196" t="s">
        <v>18</v>
      </c>
      <c r="F1196" t="s">
        <v>18</v>
      </c>
      <c r="G1196">
        <v>2.0450270000000002</v>
      </c>
      <c r="H1196">
        <v>2.9460630000000001</v>
      </c>
      <c r="I1196" t="s">
        <v>20</v>
      </c>
      <c r="J1196" t="s">
        <v>19</v>
      </c>
      <c r="K1196">
        <v>1.307563</v>
      </c>
      <c r="L1196" t="s">
        <v>19</v>
      </c>
      <c r="M1196">
        <v>1.442485</v>
      </c>
      <c r="N1196">
        <v>0.93449300000000002</v>
      </c>
      <c r="O1196" t="s">
        <v>20</v>
      </c>
      <c r="P1196" t="s">
        <v>21</v>
      </c>
      <c r="Q1196" t="s">
        <v>27</v>
      </c>
    </row>
    <row r="1197" spans="1:17" x14ac:dyDescent="0.2">
      <c r="A1197" t="s">
        <v>23</v>
      </c>
      <c r="B1197">
        <v>27</v>
      </c>
      <c r="C1197">
        <v>1.834986</v>
      </c>
      <c r="D1197">
        <v>99.083477999999999</v>
      </c>
      <c r="E1197" t="s">
        <v>18</v>
      </c>
      <c r="F1197" t="s">
        <v>18</v>
      </c>
      <c r="G1197">
        <v>2.7606069999999998</v>
      </c>
      <c r="H1197">
        <v>1</v>
      </c>
      <c r="I1197" t="s">
        <v>20</v>
      </c>
      <c r="J1197" t="s">
        <v>19</v>
      </c>
      <c r="K1197">
        <v>1.3363780000000001</v>
      </c>
      <c r="L1197" t="s">
        <v>19</v>
      </c>
      <c r="M1197">
        <v>1.898889</v>
      </c>
      <c r="N1197">
        <v>0.487375</v>
      </c>
      <c r="O1197" t="s">
        <v>20</v>
      </c>
      <c r="P1197" t="s">
        <v>21</v>
      </c>
      <c r="Q1197" t="s">
        <v>27</v>
      </c>
    </row>
    <row r="1198" spans="1:17" x14ac:dyDescent="0.2">
      <c r="A1198" t="s">
        <v>23</v>
      </c>
      <c r="B1198">
        <v>21.380336</v>
      </c>
      <c r="C1198">
        <v>1.724839</v>
      </c>
      <c r="D1198">
        <v>82.276349999999994</v>
      </c>
      <c r="E1198" t="s">
        <v>18</v>
      </c>
      <c r="F1198" t="s">
        <v>18</v>
      </c>
      <c r="G1198">
        <v>2.09449</v>
      </c>
      <c r="H1198">
        <v>1.8734839999999999</v>
      </c>
      <c r="I1198" t="s">
        <v>20</v>
      </c>
      <c r="J1198" t="s">
        <v>19</v>
      </c>
      <c r="K1198">
        <v>2</v>
      </c>
      <c r="L1198" t="s">
        <v>19</v>
      </c>
      <c r="M1198">
        <v>2.0797089999999998</v>
      </c>
      <c r="N1198">
        <v>0.88041400000000003</v>
      </c>
      <c r="O1198" t="s">
        <v>20</v>
      </c>
      <c r="P1198" t="s">
        <v>21</v>
      </c>
      <c r="Q1198" t="s">
        <v>27</v>
      </c>
    </row>
    <row r="1199" spans="1:17" x14ac:dyDescent="0.2">
      <c r="A1199" t="s">
        <v>23</v>
      </c>
      <c r="B1199">
        <v>33.151904999999999</v>
      </c>
      <c r="C1199">
        <v>1.685127</v>
      </c>
      <c r="D1199">
        <v>83.986895000000004</v>
      </c>
      <c r="E1199" t="s">
        <v>18</v>
      </c>
      <c r="F1199" t="s">
        <v>18</v>
      </c>
      <c r="G1199">
        <v>2</v>
      </c>
      <c r="H1199">
        <v>2.4739110000000002</v>
      </c>
      <c r="I1199" t="s">
        <v>20</v>
      </c>
      <c r="J1199" t="s">
        <v>19</v>
      </c>
      <c r="K1199">
        <v>2.4527890000000001</v>
      </c>
      <c r="L1199" t="s">
        <v>19</v>
      </c>
      <c r="M1199">
        <v>0.93279199999999995</v>
      </c>
      <c r="N1199">
        <v>0</v>
      </c>
      <c r="O1199" t="s">
        <v>19</v>
      </c>
      <c r="P1199" t="s">
        <v>28</v>
      </c>
      <c r="Q1199" t="s">
        <v>27</v>
      </c>
    </row>
    <row r="1200" spans="1:17" x14ac:dyDescent="0.2">
      <c r="A1200" t="s">
        <v>23</v>
      </c>
      <c r="B1200">
        <v>18</v>
      </c>
      <c r="C1200">
        <v>1.750097</v>
      </c>
      <c r="D1200">
        <v>86.372140999999999</v>
      </c>
      <c r="E1200" t="s">
        <v>18</v>
      </c>
      <c r="F1200" t="s">
        <v>18</v>
      </c>
      <c r="G1200">
        <v>2.9070619999999998</v>
      </c>
      <c r="H1200">
        <v>3</v>
      </c>
      <c r="I1200" t="s">
        <v>20</v>
      </c>
      <c r="J1200" t="s">
        <v>19</v>
      </c>
      <c r="K1200">
        <v>2.7408480000000002</v>
      </c>
      <c r="L1200" t="s">
        <v>19</v>
      </c>
      <c r="M1200">
        <v>1.219827</v>
      </c>
      <c r="N1200">
        <v>3.7634000000000001E-2</v>
      </c>
      <c r="O1200" t="s">
        <v>20</v>
      </c>
      <c r="P1200" t="s">
        <v>21</v>
      </c>
      <c r="Q1200" t="s">
        <v>27</v>
      </c>
    </row>
    <row r="1201" spans="1:17" x14ac:dyDescent="0.2">
      <c r="A1201" t="s">
        <v>23</v>
      </c>
      <c r="B1201">
        <v>32.241587000000003</v>
      </c>
      <c r="C1201">
        <v>1.7579610000000001</v>
      </c>
      <c r="D1201">
        <v>87.906019000000001</v>
      </c>
      <c r="E1201" t="s">
        <v>18</v>
      </c>
      <c r="F1201" t="s">
        <v>18</v>
      </c>
      <c r="G1201">
        <v>2</v>
      </c>
      <c r="H1201">
        <v>1.79558</v>
      </c>
      <c r="I1201" t="s">
        <v>20</v>
      </c>
      <c r="J1201" t="s">
        <v>19</v>
      </c>
      <c r="K1201">
        <v>1.855054</v>
      </c>
      <c r="L1201" t="s">
        <v>19</v>
      </c>
      <c r="M1201">
        <v>1.083572</v>
      </c>
      <c r="N1201">
        <v>0.21857399999999999</v>
      </c>
      <c r="O1201" t="s">
        <v>20</v>
      </c>
      <c r="P1201" t="s">
        <v>21</v>
      </c>
      <c r="Q1201" t="s">
        <v>27</v>
      </c>
    </row>
    <row r="1202" spans="1:17" x14ac:dyDescent="0.2">
      <c r="A1202" t="s">
        <v>23</v>
      </c>
      <c r="B1202">
        <v>31.662814000000001</v>
      </c>
      <c r="C1202">
        <v>1.848965</v>
      </c>
      <c r="D1202">
        <v>98.912261000000001</v>
      </c>
      <c r="E1202" t="s">
        <v>18</v>
      </c>
      <c r="F1202" t="s">
        <v>18</v>
      </c>
      <c r="G1202">
        <v>2.3995310000000001</v>
      </c>
      <c r="H1202">
        <v>2.6230790000000002</v>
      </c>
      <c r="I1202" t="s">
        <v>20</v>
      </c>
      <c r="J1202" t="s">
        <v>19</v>
      </c>
      <c r="K1202">
        <v>2.5351270000000001</v>
      </c>
      <c r="L1202" t="s">
        <v>19</v>
      </c>
      <c r="M1202">
        <v>1.0307519999999999</v>
      </c>
      <c r="N1202">
        <v>0.60626400000000003</v>
      </c>
      <c r="O1202" t="s">
        <v>20</v>
      </c>
      <c r="P1202" t="s">
        <v>28</v>
      </c>
      <c r="Q1202" t="s">
        <v>27</v>
      </c>
    </row>
    <row r="1203" spans="1:17" x14ac:dyDescent="0.2">
      <c r="A1203" t="s">
        <v>23</v>
      </c>
      <c r="B1203">
        <v>24.347414000000001</v>
      </c>
      <c r="C1203">
        <v>1.789193</v>
      </c>
      <c r="D1203">
        <v>89.393589000000006</v>
      </c>
      <c r="E1203" t="s">
        <v>18</v>
      </c>
      <c r="F1203" t="s">
        <v>18</v>
      </c>
      <c r="G1203">
        <v>1.521604</v>
      </c>
      <c r="H1203">
        <v>2.1749679999999998</v>
      </c>
      <c r="I1203" t="s">
        <v>20</v>
      </c>
      <c r="J1203" t="s">
        <v>19</v>
      </c>
      <c r="K1203">
        <v>2</v>
      </c>
      <c r="L1203" t="s">
        <v>19</v>
      </c>
      <c r="M1203">
        <v>0</v>
      </c>
      <c r="N1203">
        <v>0.632467</v>
      </c>
      <c r="O1203" t="s">
        <v>20</v>
      </c>
      <c r="P1203" t="s">
        <v>21</v>
      </c>
      <c r="Q1203" t="s">
        <v>27</v>
      </c>
    </row>
    <row r="1204" spans="1:17" x14ac:dyDescent="0.2">
      <c r="A1204" t="s">
        <v>23</v>
      </c>
      <c r="B1204">
        <v>24.362124000000001</v>
      </c>
      <c r="C1204">
        <v>1.716677</v>
      </c>
      <c r="D1204">
        <v>85.261339000000007</v>
      </c>
      <c r="E1204" t="s">
        <v>18</v>
      </c>
      <c r="F1204" t="s">
        <v>18</v>
      </c>
      <c r="G1204">
        <v>2</v>
      </c>
      <c r="H1204">
        <v>2.676148</v>
      </c>
      <c r="I1204" t="s">
        <v>20</v>
      </c>
      <c r="J1204" t="s">
        <v>19</v>
      </c>
      <c r="K1204">
        <v>2.083939</v>
      </c>
      <c r="L1204" t="s">
        <v>19</v>
      </c>
      <c r="M1204">
        <v>0.63216399999999995</v>
      </c>
      <c r="N1204">
        <v>0.99378599999999995</v>
      </c>
      <c r="O1204" t="s">
        <v>20</v>
      </c>
      <c r="P1204" t="s">
        <v>21</v>
      </c>
      <c r="Q1204" t="s">
        <v>27</v>
      </c>
    </row>
    <row r="1205" spans="1:17" x14ac:dyDescent="0.2">
      <c r="A1205" t="s">
        <v>17</v>
      </c>
      <c r="B1205">
        <v>19.462713000000001</v>
      </c>
      <c r="C1205">
        <v>1.550122</v>
      </c>
      <c r="D1205">
        <v>69.936072999999993</v>
      </c>
      <c r="E1205" t="s">
        <v>18</v>
      </c>
      <c r="F1205" t="s">
        <v>19</v>
      </c>
      <c r="G1205">
        <v>2.5016829999999999</v>
      </c>
      <c r="H1205">
        <v>3.3947880000000001</v>
      </c>
      <c r="I1205" t="s">
        <v>20</v>
      </c>
      <c r="J1205" t="s">
        <v>19</v>
      </c>
      <c r="K1205">
        <v>1.337378</v>
      </c>
      <c r="L1205" t="s">
        <v>19</v>
      </c>
      <c r="M1205">
        <v>0.93288800000000005</v>
      </c>
      <c r="N1205">
        <v>1</v>
      </c>
      <c r="O1205" t="s">
        <v>19</v>
      </c>
      <c r="P1205" t="s">
        <v>21</v>
      </c>
      <c r="Q1205" t="s">
        <v>27</v>
      </c>
    </row>
    <row r="1206" spans="1:17" x14ac:dyDescent="0.2">
      <c r="A1206" t="s">
        <v>17</v>
      </c>
      <c r="B1206">
        <v>35.432059000000002</v>
      </c>
      <c r="C1206">
        <v>1.663178</v>
      </c>
      <c r="D1206">
        <v>80.135166999999996</v>
      </c>
      <c r="E1206" t="s">
        <v>18</v>
      </c>
      <c r="F1206" t="s">
        <v>18</v>
      </c>
      <c r="G1206">
        <v>2</v>
      </c>
      <c r="H1206">
        <v>3</v>
      </c>
      <c r="I1206" t="s">
        <v>20</v>
      </c>
      <c r="J1206" t="s">
        <v>19</v>
      </c>
      <c r="K1206">
        <v>1.992548</v>
      </c>
      <c r="L1206" t="s">
        <v>19</v>
      </c>
      <c r="M1206">
        <v>3.9206999999999999E-2</v>
      </c>
      <c r="N1206">
        <v>1.5287139999999999</v>
      </c>
      <c r="O1206" t="s">
        <v>19</v>
      </c>
      <c r="P1206" t="s">
        <v>28</v>
      </c>
      <c r="Q1206" t="s">
        <v>27</v>
      </c>
    </row>
    <row r="1207" spans="1:17" x14ac:dyDescent="0.2">
      <c r="A1207" t="s">
        <v>17</v>
      </c>
      <c r="B1207">
        <v>33.864257000000002</v>
      </c>
      <c r="C1207">
        <v>1.6792990000000001</v>
      </c>
      <c r="D1207">
        <v>77.355417000000003</v>
      </c>
      <c r="E1207" t="s">
        <v>18</v>
      </c>
      <c r="F1207" t="s">
        <v>18</v>
      </c>
      <c r="G1207">
        <v>2.7680199999999999</v>
      </c>
      <c r="H1207">
        <v>2.1370680000000002</v>
      </c>
      <c r="I1207" t="s">
        <v>20</v>
      </c>
      <c r="J1207" t="s">
        <v>19</v>
      </c>
      <c r="K1207">
        <v>1.873591</v>
      </c>
      <c r="L1207" t="s">
        <v>19</v>
      </c>
      <c r="M1207">
        <v>0.96697299999999997</v>
      </c>
      <c r="N1207">
        <v>0.691944</v>
      </c>
      <c r="O1207" t="s">
        <v>19</v>
      </c>
      <c r="P1207" t="s">
        <v>28</v>
      </c>
      <c r="Q1207" t="s">
        <v>27</v>
      </c>
    </row>
    <row r="1208" spans="1:17" x14ac:dyDescent="0.2">
      <c r="A1208" t="s">
        <v>23</v>
      </c>
      <c r="B1208">
        <v>23.807181</v>
      </c>
      <c r="C1208">
        <v>1.729177</v>
      </c>
      <c r="D1208">
        <v>82.527240000000006</v>
      </c>
      <c r="E1208" t="s">
        <v>18</v>
      </c>
      <c r="F1208" t="s">
        <v>18</v>
      </c>
      <c r="G1208">
        <v>2.7427959999999998</v>
      </c>
      <c r="H1208">
        <v>2.9376069999999999</v>
      </c>
      <c r="I1208" t="s">
        <v>20</v>
      </c>
      <c r="J1208" t="s">
        <v>19</v>
      </c>
      <c r="K1208">
        <v>1.9946699999999999</v>
      </c>
      <c r="L1208" t="s">
        <v>19</v>
      </c>
      <c r="M1208">
        <v>1</v>
      </c>
      <c r="N1208">
        <v>2.3564000000000002E-2</v>
      </c>
      <c r="O1208" t="s">
        <v>20</v>
      </c>
      <c r="P1208" t="s">
        <v>21</v>
      </c>
      <c r="Q1208" t="s">
        <v>27</v>
      </c>
    </row>
    <row r="1209" spans="1:17" x14ac:dyDescent="0.2">
      <c r="A1209" t="s">
        <v>23</v>
      </c>
      <c r="B1209">
        <v>39.585811</v>
      </c>
      <c r="C1209">
        <v>1.7191529999999999</v>
      </c>
      <c r="D1209">
        <v>86.464843000000002</v>
      </c>
      <c r="E1209" t="s">
        <v>18</v>
      </c>
      <c r="F1209" t="s">
        <v>18</v>
      </c>
      <c r="G1209">
        <v>2.3256230000000002</v>
      </c>
      <c r="H1209">
        <v>1.3134030000000001</v>
      </c>
      <c r="I1209" t="s">
        <v>20</v>
      </c>
      <c r="J1209" t="s">
        <v>19</v>
      </c>
      <c r="K1209">
        <v>1.9460900000000001</v>
      </c>
      <c r="L1209" t="s">
        <v>19</v>
      </c>
      <c r="M1209">
        <v>0.60425899999999999</v>
      </c>
      <c r="N1209">
        <v>0</v>
      </c>
      <c r="O1209" t="s">
        <v>19</v>
      </c>
      <c r="P1209" t="s">
        <v>28</v>
      </c>
      <c r="Q1209" t="s">
        <v>27</v>
      </c>
    </row>
    <row r="1210" spans="1:17" x14ac:dyDescent="0.2">
      <c r="A1210" t="s">
        <v>17</v>
      </c>
      <c r="B1210">
        <v>45.821266999999999</v>
      </c>
      <c r="C1210">
        <v>1.6873260000000001</v>
      </c>
      <c r="D1210">
        <v>80.413996999999995</v>
      </c>
      <c r="E1210" t="s">
        <v>18</v>
      </c>
      <c r="F1210" t="s">
        <v>18</v>
      </c>
      <c r="G1210">
        <v>2.076689</v>
      </c>
      <c r="H1210">
        <v>3</v>
      </c>
      <c r="I1210" t="s">
        <v>20</v>
      </c>
      <c r="J1210" t="s">
        <v>19</v>
      </c>
      <c r="K1210">
        <v>1.026729</v>
      </c>
      <c r="L1210" t="s">
        <v>19</v>
      </c>
      <c r="M1210">
        <v>0.64779799999999998</v>
      </c>
      <c r="N1210">
        <v>0</v>
      </c>
      <c r="O1210" t="s">
        <v>19</v>
      </c>
      <c r="P1210" t="s">
        <v>28</v>
      </c>
      <c r="Q1210" t="s">
        <v>27</v>
      </c>
    </row>
    <row r="1211" spans="1:17" x14ac:dyDescent="0.2">
      <c r="A1211" t="s">
        <v>23</v>
      </c>
      <c r="B1211">
        <v>25.929746000000002</v>
      </c>
      <c r="C1211">
        <v>1.7724489999999999</v>
      </c>
      <c r="D1211">
        <v>105</v>
      </c>
      <c r="E1211" t="s">
        <v>18</v>
      </c>
      <c r="F1211" t="s">
        <v>18</v>
      </c>
      <c r="G1211">
        <v>3</v>
      </c>
      <c r="H1211">
        <v>3</v>
      </c>
      <c r="I1211" t="s">
        <v>20</v>
      </c>
      <c r="J1211" t="s">
        <v>19</v>
      </c>
      <c r="K1211">
        <v>2.0450689999999998</v>
      </c>
      <c r="L1211" t="s">
        <v>19</v>
      </c>
      <c r="M1211">
        <v>1.7259310000000001</v>
      </c>
      <c r="N1211">
        <v>1.619596</v>
      </c>
      <c r="O1211" t="s">
        <v>20</v>
      </c>
      <c r="P1211" t="s">
        <v>21</v>
      </c>
      <c r="Q1211" t="s">
        <v>30</v>
      </c>
    </row>
    <row r="1212" spans="1:17" x14ac:dyDescent="0.2">
      <c r="A1212" t="s">
        <v>23</v>
      </c>
      <c r="B1212">
        <v>26.042738</v>
      </c>
      <c r="C1212">
        <v>1.8371170000000001</v>
      </c>
      <c r="D1212">
        <v>105.712219</v>
      </c>
      <c r="E1212" t="s">
        <v>18</v>
      </c>
      <c r="F1212" t="s">
        <v>18</v>
      </c>
      <c r="G1212">
        <v>3</v>
      </c>
      <c r="H1212">
        <v>3</v>
      </c>
      <c r="I1212" t="s">
        <v>20</v>
      </c>
      <c r="J1212" t="s">
        <v>19</v>
      </c>
      <c r="K1212">
        <v>2.509147</v>
      </c>
      <c r="L1212" t="s">
        <v>19</v>
      </c>
      <c r="M1212">
        <v>2</v>
      </c>
      <c r="N1212">
        <v>1.5647960000000001</v>
      </c>
      <c r="O1212" t="s">
        <v>20</v>
      </c>
      <c r="P1212" t="s">
        <v>21</v>
      </c>
      <c r="Q1212" t="s">
        <v>30</v>
      </c>
    </row>
    <row r="1213" spans="1:17" x14ac:dyDescent="0.2">
      <c r="A1213" t="s">
        <v>23</v>
      </c>
      <c r="B1213">
        <v>30.551762</v>
      </c>
      <c r="C1213">
        <v>1.7843770000000001</v>
      </c>
      <c r="D1213">
        <v>102.872505</v>
      </c>
      <c r="E1213" t="s">
        <v>18</v>
      </c>
      <c r="F1213" t="s">
        <v>18</v>
      </c>
      <c r="G1213">
        <v>2.271306</v>
      </c>
      <c r="H1213">
        <v>3</v>
      </c>
      <c r="I1213" t="s">
        <v>20</v>
      </c>
      <c r="J1213" t="s">
        <v>19</v>
      </c>
      <c r="K1213">
        <v>1.7711980000000001</v>
      </c>
      <c r="L1213" t="s">
        <v>19</v>
      </c>
      <c r="M1213">
        <v>2</v>
      </c>
      <c r="N1213">
        <v>0.41375200000000001</v>
      </c>
      <c r="O1213" t="s">
        <v>20</v>
      </c>
      <c r="P1213" t="s">
        <v>28</v>
      </c>
      <c r="Q1213" t="s">
        <v>30</v>
      </c>
    </row>
    <row r="1214" spans="1:17" x14ac:dyDescent="0.2">
      <c r="A1214" t="s">
        <v>23</v>
      </c>
      <c r="B1214">
        <v>39.759574999999998</v>
      </c>
      <c r="C1214">
        <v>1.7925070000000001</v>
      </c>
      <c r="D1214">
        <v>101.78009900000001</v>
      </c>
      <c r="E1214" t="s">
        <v>18</v>
      </c>
      <c r="F1214" t="s">
        <v>18</v>
      </c>
      <c r="G1214">
        <v>2.3336100000000002</v>
      </c>
      <c r="H1214">
        <v>2.113575</v>
      </c>
      <c r="I1214" t="s">
        <v>20</v>
      </c>
      <c r="J1214" t="s">
        <v>19</v>
      </c>
      <c r="K1214">
        <v>2.5041359999999999</v>
      </c>
      <c r="L1214" t="s">
        <v>19</v>
      </c>
      <c r="M1214">
        <v>2.9989810000000001</v>
      </c>
      <c r="N1214">
        <v>1</v>
      </c>
      <c r="O1214" t="s">
        <v>20</v>
      </c>
      <c r="P1214" t="s">
        <v>28</v>
      </c>
      <c r="Q1214" t="s">
        <v>30</v>
      </c>
    </row>
    <row r="1215" spans="1:17" x14ac:dyDescent="0.2">
      <c r="A1215" t="s">
        <v>17</v>
      </c>
      <c r="B1215">
        <v>31.386405</v>
      </c>
      <c r="C1215">
        <v>1.5565789999999999</v>
      </c>
      <c r="D1215">
        <v>78.233340999999996</v>
      </c>
      <c r="E1215" t="s">
        <v>18</v>
      </c>
      <c r="F1215" t="s">
        <v>18</v>
      </c>
      <c r="G1215">
        <v>2.1368299999999998</v>
      </c>
      <c r="H1215">
        <v>2.0921789999999998</v>
      </c>
      <c r="I1215" t="s">
        <v>20</v>
      </c>
      <c r="J1215" t="s">
        <v>19</v>
      </c>
      <c r="K1215">
        <v>1.5053810000000001</v>
      </c>
      <c r="L1215" t="s">
        <v>19</v>
      </c>
      <c r="M1215">
        <v>0</v>
      </c>
      <c r="N1215">
        <v>0</v>
      </c>
      <c r="O1215" t="s">
        <v>20</v>
      </c>
      <c r="P1215" t="s">
        <v>21</v>
      </c>
      <c r="Q1215" t="s">
        <v>30</v>
      </c>
    </row>
    <row r="1216" spans="1:17" x14ac:dyDescent="0.2">
      <c r="A1216" t="s">
        <v>17</v>
      </c>
      <c r="B1216">
        <v>25.706285000000001</v>
      </c>
      <c r="C1216">
        <v>1.585547</v>
      </c>
      <c r="D1216">
        <v>80.351263000000003</v>
      </c>
      <c r="E1216" t="s">
        <v>18</v>
      </c>
      <c r="F1216" t="s">
        <v>18</v>
      </c>
      <c r="G1216">
        <v>2</v>
      </c>
      <c r="H1216">
        <v>1</v>
      </c>
      <c r="I1216" t="s">
        <v>20</v>
      </c>
      <c r="J1216" t="s">
        <v>19</v>
      </c>
      <c r="K1216">
        <v>2</v>
      </c>
      <c r="L1216" t="s">
        <v>19</v>
      </c>
      <c r="M1216">
        <v>0</v>
      </c>
      <c r="N1216">
        <v>0</v>
      </c>
      <c r="O1216" t="s">
        <v>20</v>
      </c>
      <c r="P1216" t="s">
        <v>21</v>
      </c>
      <c r="Q1216" t="s">
        <v>30</v>
      </c>
    </row>
    <row r="1217" spans="1:17" x14ac:dyDescent="0.2">
      <c r="A1217" t="s">
        <v>17</v>
      </c>
      <c r="B1217">
        <v>43.604900999999998</v>
      </c>
      <c r="C1217">
        <v>1.569234</v>
      </c>
      <c r="D1217">
        <v>81.827287999999996</v>
      </c>
      <c r="E1217" t="s">
        <v>18</v>
      </c>
      <c r="F1217" t="s">
        <v>18</v>
      </c>
      <c r="G1217">
        <v>2.909853</v>
      </c>
      <c r="H1217">
        <v>1</v>
      </c>
      <c r="I1217" t="s">
        <v>20</v>
      </c>
      <c r="J1217" t="s">
        <v>19</v>
      </c>
      <c r="K1217">
        <v>2</v>
      </c>
      <c r="L1217" t="s">
        <v>19</v>
      </c>
      <c r="M1217">
        <v>1.3088519999999999</v>
      </c>
      <c r="N1217">
        <v>0</v>
      </c>
      <c r="O1217" t="s">
        <v>19</v>
      </c>
      <c r="P1217" t="s">
        <v>28</v>
      </c>
      <c r="Q1217" t="s">
        <v>30</v>
      </c>
    </row>
    <row r="1218" spans="1:17" x14ac:dyDescent="0.2">
      <c r="A1218" t="s">
        <v>17</v>
      </c>
      <c r="B1218">
        <v>42.316070000000003</v>
      </c>
      <c r="C1218">
        <v>1.5839430000000001</v>
      </c>
      <c r="D1218">
        <v>81.936397999999997</v>
      </c>
      <c r="E1218" t="s">
        <v>18</v>
      </c>
      <c r="F1218" t="s">
        <v>18</v>
      </c>
      <c r="G1218">
        <v>2.490507</v>
      </c>
      <c r="H1218">
        <v>2.9742039999999998</v>
      </c>
      <c r="I1218" t="s">
        <v>20</v>
      </c>
      <c r="J1218" t="s">
        <v>19</v>
      </c>
      <c r="K1218">
        <v>1.846754</v>
      </c>
      <c r="L1218" t="s">
        <v>19</v>
      </c>
      <c r="M1218">
        <v>0</v>
      </c>
      <c r="N1218">
        <v>0</v>
      </c>
      <c r="O1218" t="s">
        <v>19</v>
      </c>
      <c r="P1218" t="s">
        <v>28</v>
      </c>
      <c r="Q1218" t="s">
        <v>30</v>
      </c>
    </row>
    <row r="1219" spans="1:17" x14ac:dyDescent="0.2">
      <c r="A1219" t="s">
        <v>17</v>
      </c>
      <c r="B1219">
        <v>22.654316000000001</v>
      </c>
      <c r="C1219">
        <v>1.6212329999999999</v>
      </c>
      <c r="D1219">
        <v>82</v>
      </c>
      <c r="E1219" t="s">
        <v>18</v>
      </c>
      <c r="F1219" t="s">
        <v>18</v>
      </c>
      <c r="G1219">
        <v>1.0634490000000001</v>
      </c>
      <c r="H1219">
        <v>1</v>
      </c>
      <c r="I1219" t="s">
        <v>20</v>
      </c>
      <c r="J1219" t="s">
        <v>19</v>
      </c>
      <c r="K1219">
        <v>2</v>
      </c>
      <c r="L1219" t="s">
        <v>19</v>
      </c>
      <c r="M1219">
        <v>0</v>
      </c>
      <c r="N1219">
        <v>1.482016</v>
      </c>
      <c r="O1219" t="s">
        <v>20</v>
      </c>
      <c r="P1219" t="s">
        <v>21</v>
      </c>
      <c r="Q1219" t="s">
        <v>30</v>
      </c>
    </row>
    <row r="1220" spans="1:17" x14ac:dyDescent="0.2">
      <c r="A1220" t="s">
        <v>17</v>
      </c>
      <c r="B1220">
        <v>22.679935</v>
      </c>
      <c r="C1220">
        <v>1.6084000000000001</v>
      </c>
      <c r="D1220">
        <v>82.603983999999997</v>
      </c>
      <c r="E1220" t="s">
        <v>18</v>
      </c>
      <c r="F1220" t="s">
        <v>18</v>
      </c>
      <c r="G1220">
        <v>2.6992820000000002</v>
      </c>
      <c r="H1220">
        <v>1</v>
      </c>
      <c r="I1220" t="s">
        <v>20</v>
      </c>
      <c r="J1220" t="s">
        <v>19</v>
      </c>
      <c r="K1220">
        <v>2.5986319999999998</v>
      </c>
      <c r="L1220" t="s">
        <v>19</v>
      </c>
      <c r="M1220">
        <v>0.29209299999999999</v>
      </c>
      <c r="N1220">
        <v>2</v>
      </c>
      <c r="O1220" t="s">
        <v>20</v>
      </c>
      <c r="P1220" t="s">
        <v>21</v>
      </c>
      <c r="Q1220" t="s">
        <v>30</v>
      </c>
    </row>
    <row r="1221" spans="1:17" x14ac:dyDescent="0.2">
      <c r="A1221" t="s">
        <v>23</v>
      </c>
      <c r="B1221">
        <v>24.079523999999999</v>
      </c>
      <c r="C1221">
        <v>1.733439</v>
      </c>
      <c r="D1221">
        <v>97.911865000000006</v>
      </c>
      <c r="E1221" t="s">
        <v>18</v>
      </c>
      <c r="F1221" t="s">
        <v>18</v>
      </c>
      <c r="G1221">
        <v>2</v>
      </c>
      <c r="H1221">
        <v>3</v>
      </c>
      <c r="I1221" t="s">
        <v>20</v>
      </c>
      <c r="J1221" t="s">
        <v>19</v>
      </c>
      <c r="K1221">
        <v>2.8436750000000002</v>
      </c>
      <c r="L1221" t="s">
        <v>19</v>
      </c>
      <c r="M1221">
        <v>1.309304</v>
      </c>
      <c r="N1221">
        <v>1.3386549999999999</v>
      </c>
      <c r="O1221" t="s">
        <v>19</v>
      </c>
      <c r="P1221" t="s">
        <v>21</v>
      </c>
      <c r="Q1221" t="s">
        <v>30</v>
      </c>
    </row>
    <row r="1222" spans="1:17" x14ac:dyDescent="0.2">
      <c r="A1222" t="s">
        <v>23</v>
      </c>
      <c r="B1222">
        <v>21.196152000000001</v>
      </c>
      <c r="C1222">
        <v>1.65</v>
      </c>
      <c r="D1222">
        <v>88.472358999999997</v>
      </c>
      <c r="E1222" t="s">
        <v>18</v>
      </c>
      <c r="F1222" t="s">
        <v>18</v>
      </c>
      <c r="G1222">
        <v>2.4277000000000002</v>
      </c>
      <c r="H1222">
        <v>1.001633</v>
      </c>
      <c r="I1222" t="s">
        <v>20</v>
      </c>
      <c r="J1222" t="s">
        <v>19</v>
      </c>
      <c r="K1222">
        <v>3</v>
      </c>
      <c r="L1222" t="s">
        <v>19</v>
      </c>
      <c r="M1222">
        <v>1.172641</v>
      </c>
      <c r="N1222">
        <v>1</v>
      </c>
      <c r="O1222" t="s">
        <v>19</v>
      </c>
      <c r="P1222" t="s">
        <v>21</v>
      </c>
      <c r="Q1222" t="s">
        <v>30</v>
      </c>
    </row>
    <row r="1223" spans="1:17" x14ac:dyDescent="0.2">
      <c r="A1223" t="s">
        <v>17</v>
      </c>
      <c r="B1223">
        <v>22.596575999999999</v>
      </c>
      <c r="C1223">
        <v>1.6500520000000001</v>
      </c>
      <c r="D1223">
        <v>87.272552000000005</v>
      </c>
      <c r="E1223" t="s">
        <v>18</v>
      </c>
      <c r="F1223" t="s">
        <v>18</v>
      </c>
      <c r="G1223">
        <v>2.8759899999999998</v>
      </c>
      <c r="H1223">
        <v>1.2919</v>
      </c>
      <c r="I1223" t="s">
        <v>20</v>
      </c>
      <c r="J1223" t="s">
        <v>19</v>
      </c>
      <c r="K1223">
        <v>2.7777120000000002</v>
      </c>
      <c r="L1223" t="s">
        <v>19</v>
      </c>
      <c r="M1223">
        <v>0.432813</v>
      </c>
      <c r="N1223">
        <v>1</v>
      </c>
      <c r="O1223" t="s">
        <v>19</v>
      </c>
      <c r="P1223" t="s">
        <v>21</v>
      </c>
      <c r="Q1223" t="s">
        <v>30</v>
      </c>
    </row>
    <row r="1224" spans="1:17" x14ac:dyDescent="0.2">
      <c r="A1224" t="s">
        <v>17</v>
      </c>
      <c r="B1224">
        <v>23</v>
      </c>
      <c r="C1224">
        <v>1.644161</v>
      </c>
      <c r="D1224">
        <v>84.340406000000002</v>
      </c>
      <c r="E1224" t="s">
        <v>18</v>
      </c>
      <c r="F1224" t="s">
        <v>18</v>
      </c>
      <c r="G1224">
        <v>2.1772429999999998</v>
      </c>
      <c r="H1224">
        <v>3</v>
      </c>
      <c r="I1224" t="s">
        <v>20</v>
      </c>
      <c r="J1224" t="s">
        <v>19</v>
      </c>
      <c r="K1224">
        <v>2.7155719999999999</v>
      </c>
      <c r="L1224" t="s">
        <v>19</v>
      </c>
      <c r="M1224">
        <v>2.2301090000000001</v>
      </c>
      <c r="N1224">
        <v>7.0897000000000002E-2</v>
      </c>
      <c r="O1224" t="s">
        <v>19</v>
      </c>
      <c r="P1224" t="s">
        <v>21</v>
      </c>
      <c r="Q1224" t="s">
        <v>30</v>
      </c>
    </row>
    <row r="1225" spans="1:17" x14ac:dyDescent="0.2">
      <c r="A1225" t="s">
        <v>17</v>
      </c>
      <c r="B1225">
        <v>37.356287999999999</v>
      </c>
      <c r="C1225">
        <v>1.559499</v>
      </c>
      <c r="D1225">
        <v>77.268129999999999</v>
      </c>
      <c r="E1225" t="s">
        <v>18</v>
      </c>
      <c r="F1225" t="s">
        <v>18</v>
      </c>
      <c r="G1225">
        <v>2</v>
      </c>
      <c r="H1225">
        <v>3</v>
      </c>
      <c r="I1225" t="s">
        <v>20</v>
      </c>
      <c r="J1225" t="s">
        <v>19</v>
      </c>
      <c r="K1225">
        <v>1.630528</v>
      </c>
      <c r="L1225" t="s">
        <v>19</v>
      </c>
      <c r="M1225">
        <v>0</v>
      </c>
      <c r="N1225">
        <v>0</v>
      </c>
      <c r="O1225" t="s">
        <v>20</v>
      </c>
      <c r="P1225" t="s">
        <v>28</v>
      </c>
      <c r="Q1225" t="s">
        <v>30</v>
      </c>
    </row>
    <row r="1226" spans="1:17" x14ac:dyDescent="0.2">
      <c r="A1226" t="s">
        <v>23</v>
      </c>
      <c r="B1226">
        <v>22.754646000000001</v>
      </c>
      <c r="C1226">
        <v>1.734237</v>
      </c>
      <c r="D1226">
        <v>95</v>
      </c>
      <c r="E1226" t="s">
        <v>18</v>
      </c>
      <c r="F1226" t="s">
        <v>18</v>
      </c>
      <c r="G1226">
        <v>2</v>
      </c>
      <c r="H1226">
        <v>3</v>
      </c>
      <c r="I1226" t="s">
        <v>20</v>
      </c>
      <c r="J1226" t="s">
        <v>19</v>
      </c>
      <c r="K1226">
        <v>2.2872479999999999</v>
      </c>
      <c r="L1226" t="s">
        <v>19</v>
      </c>
      <c r="M1226">
        <v>2.6691790000000002</v>
      </c>
      <c r="N1226">
        <v>1.2378670000000001</v>
      </c>
      <c r="O1226" t="s">
        <v>19</v>
      </c>
      <c r="P1226" t="s">
        <v>21</v>
      </c>
      <c r="Q1226" t="s">
        <v>30</v>
      </c>
    </row>
    <row r="1227" spans="1:17" x14ac:dyDescent="0.2">
      <c r="A1227" t="s">
        <v>23</v>
      </c>
      <c r="B1227">
        <v>23.252905999999999</v>
      </c>
      <c r="C1227">
        <v>1.7758149999999999</v>
      </c>
      <c r="D1227">
        <v>97.813023000000001</v>
      </c>
      <c r="E1227" t="s">
        <v>18</v>
      </c>
      <c r="F1227" t="s">
        <v>18</v>
      </c>
      <c r="G1227">
        <v>2</v>
      </c>
      <c r="H1227">
        <v>3</v>
      </c>
      <c r="I1227" t="s">
        <v>20</v>
      </c>
      <c r="J1227" t="s">
        <v>19</v>
      </c>
      <c r="K1227">
        <v>3</v>
      </c>
      <c r="L1227" t="s">
        <v>19</v>
      </c>
      <c r="M1227">
        <v>3</v>
      </c>
      <c r="N1227">
        <v>2</v>
      </c>
      <c r="O1227" t="s">
        <v>19</v>
      </c>
      <c r="P1227" t="s">
        <v>21</v>
      </c>
      <c r="Q1227" t="s">
        <v>30</v>
      </c>
    </row>
    <row r="1228" spans="1:17" x14ac:dyDescent="0.2">
      <c r="A1228" t="s">
        <v>17</v>
      </c>
      <c r="B1228">
        <v>22.025438000000001</v>
      </c>
      <c r="C1228">
        <v>1.6404259999999999</v>
      </c>
      <c r="D1228">
        <v>87.344155999999998</v>
      </c>
      <c r="E1228" t="s">
        <v>18</v>
      </c>
      <c r="F1228" t="s">
        <v>18</v>
      </c>
      <c r="G1228">
        <v>3</v>
      </c>
      <c r="H1228">
        <v>1</v>
      </c>
      <c r="I1228" t="s">
        <v>20</v>
      </c>
      <c r="J1228" t="s">
        <v>19</v>
      </c>
      <c r="K1228">
        <v>3</v>
      </c>
      <c r="L1228" t="s">
        <v>19</v>
      </c>
      <c r="M1228">
        <v>1.280924</v>
      </c>
      <c r="N1228">
        <v>1.7779499999999999</v>
      </c>
      <c r="O1228" t="s">
        <v>19</v>
      </c>
      <c r="P1228" t="s">
        <v>21</v>
      </c>
      <c r="Q1228" t="s">
        <v>30</v>
      </c>
    </row>
    <row r="1229" spans="1:17" x14ac:dyDescent="0.2">
      <c r="A1229" t="s">
        <v>17</v>
      </c>
      <c r="B1229">
        <v>18.086772</v>
      </c>
      <c r="C1229">
        <v>1.65</v>
      </c>
      <c r="D1229">
        <v>82.13682</v>
      </c>
      <c r="E1229" t="s">
        <v>18</v>
      </c>
      <c r="F1229" t="s">
        <v>18</v>
      </c>
      <c r="G1229">
        <v>3</v>
      </c>
      <c r="H1229">
        <v>3</v>
      </c>
      <c r="I1229" t="s">
        <v>20</v>
      </c>
      <c r="J1229" t="s">
        <v>19</v>
      </c>
      <c r="K1229">
        <v>1</v>
      </c>
      <c r="L1229" t="s">
        <v>19</v>
      </c>
      <c r="M1229">
        <v>1.0297499999999999</v>
      </c>
      <c r="N1229">
        <v>1.3500989999999999</v>
      </c>
      <c r="O1229" t="s">
        <v>20</v>
      </c>
      <c r="P1229" t="s">
        <v>21</v>
      </c>
      <c r="Q1229" t="s">
        <v>30</v>
      </c>
    </row>
    <row r="1230" spans="1:17" x14ac:dyDescent="0.2">
      <c r="A1230" t="s">
        <v>23</v>
      </c>
      <c r="B1230">
        <v>25.994392999999999</v>
      </c>
      <c r="C1230">
        <v>1.7533209999999999</v>
      </c>
      <c r="D1230">
        <v>107.99881499999999</v>
      </c>
      <c r="E1230" t="s">
        <v>18</v>
      </c>
      <c r="F1230" t="s">
        <v>18</v>
      </c>
      <c r="G1230">
        <v>3</v>
      </c>
      <c r="H1230">
        <v>3</v>
      </c>
      <c r="I1230" t="s">
        <v>20</v>
      </c>
      <c r="J1230" t="s">
        <v>19</v>
      </c>
      <c r="K1230">
        <v>1.776991</v>
      </c>
      <c r="L1230" t="s">
        <v>19</v>
      </c>
      <c r="M1230">
        <v>1.7577240000000001</v>
      </c>
      <c r="N1230">
        <v>0</v>
      </c>
      <c r="O1230" t="s">
        <v>20</v>
      </c>
      <c r="P1230" t="s">
        <v>28</v>
      </c>
      <c r="Q1230" t="s">
        <v>30</v>
      </c>
    </row>
    <row r="1231" spans="1:17" x14ac:dyDescent="0.2">
      <c r="A1231" t="s">
        <v>17</v>
      </c>
      <c r="B1231">
        <v>40.821514999999998</v>
      </c>
      <c r="C1231">
        <v>1.553026</v>
      </c>
      <c r="D1231">
        <v>77.745180000000005</v>
      </c>
      <c r="E1231" t="s">
        <v>18</v>
      </c>
      <c r="F1231" t="s">
        <v>18</v>
      </c>
      <c r="G1231">
        <v>2</v>
      </c>
      <c r="H1231">
        <v>3</v>
      </c>
      <c r="I1231" t="s">
        <v>20</v>
      </c>
      <c r="J1231" t="s">
        <v>19</v>
      </c>
      <c r="K1231">
        <v>1.406115</v>
      </c>
      <c r="L1231" t="s">
        <v>19</v>
      </c>
      <c r="M1231">
        <v>0</v>
      </c>
      <c r="N1231">
        <v>0</v>
      </c>
      <c r="O1231" t="s">
        <v>20</v>
      </c>
      <c r="P1231" t="s">
        <v>28</v>
      </c>
      <c r="Q1231" t="s">
        <v>30</v>
      </c>
    </row>
    <row r="1232" spans="1:17" x14ac:dyDescent="0.2">
      <c r="A1232" t="s">
        <v>23</v>
      </c>
      <c r="B1232">
        <v>23</v>
      </c>
      <c r="C1232">
        <v>1.7065250000000001</v>
      </c>
      <c r="D1232">
        <v>90.500055000000003</v>
      </c>
      <c r="E1232" t="s">
        <v>18</v>
      </c>
      <c r="F1232" t="s">
        <v>18</v>
      </c>
      <c r="G1232">
        <v>2</v>
      </c>
      <c r="H1232">
        <v>3</v>
      </c>
      <c r="I1232" t="s">
        <v>20</v>
      </c>
      <c r="J1232" t="s">
        <v>19</v>
      </c>
      <c r="K1232">
        <v>1.5304930000000001</v>
      </c>
      <c r="L1232" t="s">
        <v>19</v>
      </c>
      <c r="M1232">
        <v>0.96762700000000001</v>
      </c>
      <c r="N1232">
        <v>1</v>
      </c>
      <c r="O1232" t="s">
        <v>19</v>
      </c>
      <c r="P1232" t="s">
        <v>21</v>
      </c>
      <c r="Q1232" t="s">
        <v>30</v>
      </c>
    </row>
    <row r="1233" spans="1:17" x14ac:dyDescent="0.2">
      <c r="A1233" t="s">
        <v>17</v>
      </c>
      <c r="B1233">
        <v>37.955371</v>
      </c>
      <c r="C1233">
        <v>1.560648</v>
      </c>
      <c r="D1233">
        <v>80</v>
      </c>
      <c r="E1233" t="s">
        <v>18</v>
      </c>
      <c r="F1233" t="s">
        <v>18</v>
      </c>
      <c r="G1233">
        <v>2.8464520000000002</v>
      </c>
      <c r="H1233">
        <v>1.1393169999999999</v>
      </c>
      <c r="I1233" t="s">
        <v>20</v>
      </c>
      <c r="J1233" t="s">
        <v>19</v>
      </c>
      <c r="K1233">
        <v>1.459511</v>
      </c>
      <c r="L1233" t="s">
        <v>19</v>
      </c>
      <c r="M1233">
        <v>1.71807</v>
      </c>
      <c r="N1233">
        <v>0</v>
      </c>
      <c r="O1233" t="s">
        <v>20</v>
      </c>
      <c r="P1233" t="s">
        <v>28</v>
      </c>
      <c r="Q1233" t="s">
        <v>30</v>
      </c>
    </row>
    <row r="1234" spans="1:17" x14ac:dyDescent="0.2">
      <c r="A1234" t="s">
        <v>23</v>
      </c>
      <c r="B1234">
        <v>31.315593</v>
      </c>
      <c r="C1234">
        <v>1.673352</v>
      </c>
      <c r="D1234">
        <v>90</v>
      </c>
      <c r="E1234" t="s">
        <v>18</v>
      </c>
      <c r="F1234" t="s">
        <v>18</v>
      </c>
      <c r="G1234">
        <v>2.1901099999999998</v>
      </c>
      <c r="H1234">
        <v>2.0298579999999999</v>
      </c>
      <c r="I1234" t="s">
        <v>20</v>
      </c>
      <c r="J1234" t="s">
        <v>19</v>
      </c>
      <c r="K1234">
        <v>2.3489810000000002</v>
      </c>
      <c r="L1234" t="s">
        <v>19</v>
      </c>
      <c r="M1234">
        <v>1.9469069999999999</v>
      </c>
      <c r="N1234">
        <v>0</v>
      </c>
      <c r="O1234" t="s">
        <v>20</v>
      </c>
      <c r="P1234" t="s">
        <v>28</v>
      </c>
      <c r="Q1234" t="s">
        <v>30</v>
      </c>
    </row>
    <row r="1235" spans="1:17" x14ac:dyDescent="0.2">
      <c r="A1235" t="s">
        <v>23</v>
      </c>
      <c r="B1235">
        <v>22.661556000000001</v>
      </c>
      <c r="C1235">
        <v>1.6603239999999999</v>
      </c>
      <c r="D1235">
        <v>94.189166999999998</v>
      </c>
      <c r="E1235" t="s">
        <v>18</v>
      </c>
      <c r="F1235" t="s">
        <v>18</v>
      </c>
      <c r="G1235">
        <v>2</v>
      </c>
      <c r="H1235">
        <v>3</v>
      </c>
      <c r="I1235" t="s">
        <v>20</v>
      </c>
      <c r="J1235" t="s">
        <v>19</v>
      </c>
      <c r="K1235">
        <v>2</v>
      </c>
      <c r="L1235" t="s">
        <v>19</v>
      </c>
      <c r="M1235">
        <v>0</v>
      </c>
      <c r="N1235">
        <v>0.105936</v>
      </c>
      <c r="O1235" t="s">
        <v>19</v>
      </c>
      <c r="P1235" t="s">
        <v>21</v>
      </c>
      <c r="Q1235" t="s">
        <v>30</v>
      </c>
    </row>
    <row r="1236" spans="1:17" x14ac:dyDescent="0.2">
      <c r="A1236" t="s">
        <v>23</v>
      </c>
      <c r="B1236">
        <v>40.317787000000003</v>
      </c>
      <c r="C1236">
        <v>1.7863180000000001</v>
      </c>
      <c r="D1236">
        <v>98.447310999999999</v>
      </c>
      <c r="E1236" t="s">
        <v>18</v>
      </c>
      <c r="F1236" t="s">
        <v>18</v>
      </c>
      <c r="G1236">
        <v>2</v>
      </c>
      <c r="H1236">
        <v>3</v>
      </c>
      <c r="I1236" t="s">
        <v>20</v>
      </c>
      <c r="J1236" t="s">
        <v>19</v>
      </c>
      <c r="K1236">
        <v>2.6802920000000001</v>
      </c>
      <c r="L1236" t="s">
        <v>19</v>
      </c>
      <c r="M1236">
        <v>1.549693</v>
      </c>
      <c r="N1236">
        <v>0.52225900000000003</v>
      </c>
      <c r="O1236" t="s">
        <v>20</v>
      </c>
      <c r="P1236" t="s">
        <v>28</v>
      </c>
      <c r="Q1236" t="s">
        <v>30</v>
      </c>
    </row>
    <row r="1237" spans="1:17" x14ac:dyDescent="0.2">
      <c r="A1237" t="s">
        <v>23</v>
      </c>
      <c r="B1237">
        <v>23.365649000000001</v>
      </c>
      <c r="C1237">
        <v>1.7576909999999999</v>
      </c>
      <c r="D1237">
        <v>95.361795000000001</v>
      </c>
      <c r="E1237" t="s">
        <v>18</v>
      </c>
      <c r="F1237" t="s">
        <v>18</v>
      </c>
      <c r="G1237">
        <v>2</v>
      </c>
      <c r="H1237">
        <v>3</v>
      </c>
      <c r="I1237" t="s">
        <v>20</v>
      </c>
      <c r="J1237" t="s">
        <v>19</v>
      </c>
      <c r="K1237">
        <v>3</v>
      </c>
      <c r="L1237" t="s">
        <v>19</v>
      </c>
      <c r="M1237">
        <v>3</v>
      </c>
      <c r="N1237">
        <v>2</v>
      </c>
      <c r="O1237" t="s">
        <v>19</v>
      </c>
      <c r="P1237" t="s">
        <v>21</v>
      </c>
      <c r="Q1237" t="s">
        <v>30</v>
      </c>
    </row>
    <row r="1238" spans="1:17" x14ac:dyDescent="0.2">
      <c r="A1238" t="s">
        <v>23</v>
      </c>
      <c r="B1238">
        <v>21.721270000000001</v>
      </c>
      <c r="C1238">
        <v>1.7121630000000001</v>
      </c>
      <c r="D1238">
        <v>98.699971000000005</v>
      </c>
      <c r="E1238" t="s">
        <v>18</v>
      </c>
      <c r="F1238" t="s">
        <v>18</v>
      </c>
      <c r="G1238">
        <v>2</v>
      </c>
      <c r="H1238">
        <v>2.9775429999999998</v>
      </c>
      <c r="I1238" t="s">
        <v>20</v>
      </c>
      <c r="J1238" t="s">
        <v>19</v>
      </c>
      <c r="K1238">
        <v>2.2059769999999999</v>
      </c>
      <c r="L1238" t="s">
        <v>19</v>
      </c>
      <c r="M1238">
        <v>2.698874</v>
      </c>
      <c r="N1238">
        <v>2</v>
      </c>
      <c r="O1238" t="s">
        <v>19</v>
      </c>
      <c r="P1238" t="s">
        <v>21</v>
      </c>
      <c r="Q1238" t="s">
        <v>30</v>
      </c>
    </row>
    <row r="1239" spans="1:17" x14ac:dyDescent="0.2">
      <c r="A1239" t="s">
        <v>23</v>
      </c>
      <c r="B1239">
        <v>35.389491</v>
      </c>
      <c r="C1239">
        <v>1.78</v>
      </c>
      <c r="D1239">
        <v>100.84763</v>
      </c>
      <c r="E1239" t="s">
        <v>18</v>
      </c>
      <c r="F1239" t="s">
        <v>18</v>
      </c>
      <c r="G1239">
        <v>2.069267</v>
      </c>
      <c r="H1239">
        <v>1.4762040000000001</v>
      </c>
      <c r="I1239" t="s">
        <v>20</v>
      </c>
      <c r="J1239" t="s">
        <v>19</v>
      </c>
      <c r="K1239">
        <v>3</v>
      </c>
      <c r="L1239" t="s">
        <v>19</v>
      </c>
      <c r="M1239">
        <v>2.0525199999999999</v>
      </c>
      <c r="N1239">
        <v>9.2735999999999999E-2</v>
      </c>
      <c r="O1239" t="s">
        <v>24</v>
      </c>
      <c r="P1239" t="s">
        <v>28</v>
      </c>
      <c r="Q1239" t="s">
        <v>30</v>
      </c>
    </row>
    <row r="1240" spans="1:17" x14ac:dyDescent="0.2">
      <c r="A1240" t="s">
        <v>17</v>
      </c>
      <c r="B1240">
        <v>22.061461000000001</v>
      </c>
      <c r="C1240">
        <v>1.6</v>
      </c>
      <c r="D1240">
        <v>82.040317999999999</v>
      </c>
      <c r="E1240" t="s">
        <v>18</v>
      </c>
      <c r="F1240" t="s">
        <v>18</v>
      </c>
      <c r="G1240">
        <v>1.362441</v>
      </c>
      <c r="H1240">
        <v>2.5703800000000001</v>
      </c>
      <c r="I1240" t="s">
        <v>20</v>
      </c>
      <c r="J1240" t="s">
        <v>19</v>
      </c>
      <c r="K1240">
        <v>2.1662279999999998</v>
      </c>
      <c r="L1240" t="s">
        <v>19</v>
      </c>
      <c r="M1240">
        <v>2.2328510000000001</v>
      </c>
      <c r="N1240">
        <v>1.2811410000000001</v>
      </c>
      <c r="O1240" t="s">
        <v>19</v>
      </c>
      <c r="P1240" t="s">
        <v>21</v>
      </c>
      <c r="Q1240" t="s">
        <v>30</v>
      </c>
    </row>
    <row r="1241" spans="1:17" x14ac:dyDescent="0.2">
      <c r="A1241" t="s">
        <v>17</v>
      </c>
      <c r="B1241">
        <v>23</v>
      </c>
      <c r="C1241">
        <v>1.6108199999999999</v>
      </c>
      <c r="D1241">
        <v>82.532994000000002</v>
      </c>
      <c r="E1241" t="s">
        <v>18</v>
      </c>
      <c r="F1241" t="s">
        <v>18</v>
      </c>
      <c r="G1241">
        <v>2.0966300000000002</v>
      </c>
      <c r="H1241">
        <v>2.8795410000000001</v>
      </c>
      <c r="I1241" t="s">
        <v>20</v>
      </c>
      <c r="J1241" t="s">
        <v>19</v>
      </c>
      <c r="K1241">
        <v>2.4329670000000001</v>
      </c>
      <c r="L1241" t="s">
        <v>19</v>
      </c>
      <c r="M1241">
        <v>1.8870119999999999</v>
      </c>
      <c r="N1241">
        <v>0</v>
      </c>
      <c r="O1241" t="s">
        <v>19</v>
      </c>
      <c r="P1241" t="s">
        <v>21</v>
      </c>
      <c r="Q1241" t="s">
        <v>30</v>
      </c>
    </row>
    <row r="1242" spans="1:17" x14ac:dyDescent="0.2">
      <c r="A1242" t="s">
        <v>17</v>
      </c>
      <c r="B1242">
        <v>23</v>
      </c>
      <c r="C1242">
        <v>1.6651990000000001</v>
      </c>
      <c r="D1242">
        <v>83.151150000000001</v>
      </c>
      <c r="E1242" t="s">
        <v>18</v>
      </c>
      <c r="F1242" t="s">
        <v>18</v>
      </c>
      <c r="G1242">
        <v>2.9282339999999998</v>
      </c>
      <c r="H1242">
        <v>1.458507</v>
      </c>
      <c r="I1242" t="s">
        <v>20</v>
      </c>
      <c r="J1242" t="s">
        <v>19</v>
      </c>
      <c r="K1242">
        <v>2.7773789999999998</v>
      </c>
      <c r="L1242" t="s">
        <v>19</v>
      </c>
      <c r="M1242">
        <v>0.354541</v>
      </c>
      <c r="N1242">
        <v>1.7070179999999999</v>
      </c>
      <c r="O1242" t="s">
        <v>19</v>
      </c>
      <c r="P1242" t="s">
        <v>21</v>
      </c>
      <c r="Q1242" t="s">
        <v>30</v>
      </c>
    </row>
    <row r="1243" spans="1:17" x14ac:dyDescent="0.2">
      <c r="A1243" t="s">
        <v>17</v>
      </c>
      <c r="B1243">
        <v>40.951591000000001</v>
      </c>
      <c r="C1243">
        <v>1.542122</v>
      </c>
      <c r="D1243">
        <v>80</v>
      </c>
      <c r="E1243" t="s">
        <v>18</v>
      </c>
      <c r="F1243" t="s">
        <v>18</v>
      </c>
      <c r="G1243">
        <v>2</v>
      </c>
      <c r="H1243">
        <v>1.1056170000000001</v>
      </c>
      <c r="I1243" t="s">
        <v>20</v>
      </c>
      <c r="J1243" t="s">
        <v>19</v>
      </c>
      <c r="K1243">
        <v>1.372811</v>
      </c>
      <c r="L1243" t="s">
        <v>19</v>
      </c>
      <c r="M1243">
        <v>1.629432</v>
      </c>
      <c r="N1243">
        <v>0</v>
      </c>
      <c r="O1243" t="s">
        <v>20</v>
      </c>
      <c r="P1243" t="s">
        <v>28</v>
      </c>
      <c r="Q1243" t="s">
        <v>30</v>
      </c>
    </row>
    <row r="1244" spans="1:17" x14ac:dyDescent="0.2">
      <c r="A1244" t="s">
        <v>17</v>
      </c>
      <c r="B1244">
        <v>39.135634000000003</v>
      </c>
      <c r="C1244">
        <v>1.5078670000000001</v>
      </c>
      <c r="D1244">
        <v>79.589579999999998</v>
      </c>
      <c r="E1244" t="s">
        <v>18</v>
      </c>
      <c r="F1244" t="s">
        <v>18</v>
      </c>
      <c r="G1244">
        <v>2</v>
      </c>
      <c r="H1244">
        <v>3</v>
      </c>
      <c r="I1244" t="s">
        <v>20</v>
      </c>
      <c r="J1244" t="s">
        <v>19</v>
      </c>
      <c r="K1244">
        <v>1</v>
      </c>
      <c r="L1244" t="s">
        <v>19</v>
      </c>
      <c r="M1244">
        <v>0</v>
      </c>
      <c r="N1244">
        <v>0</v>
      </c>
      <c r="O1244" t="s">
        <v>20</v>
      </c>
      <c r="P1244" t="s">
        <v>28</v>
      </c>
      <c r="Q1244" t="s">
        <v>30</v>
      </c>
    </row>
    <row r="1245" spans="1:17" x14ac:dyDescent="0.2">
      <c r="A1245" t="s">
        <v>23</v>
      </c>
      <c r="B1245">
        <v>26.271621</v>
      </c>
      <c r="C1245">
        <v>1.660955</v>
      </c>
      <c r="D1245">
        <v>90</v>
      </c>
      <c r="E1245" t="s">
        <v>18</v>
      </c>
      <c r="F1245" t="s">
        <v>18</v>
      </c>
      <c r="G1245">
        <v>2</v>
      </c>
      <c r="H1245">
        <v>3</v>
      </c>
      <c r="I1245" t="s">
        <v>20</v>
      </c>
      <c r="J1245" t="s">
        <v>19</v>
      </c>
      <c r="K1245">
        <v>3</v>
      </c>
      <c r="L1245" t="s">
        <v>19</v>
      </c>
      <c r="M1245">
        <v>0.66927800000000004</v>
      </c>
      <c r="N1245">
        <v>0.50526599999999999</v>
      </c>
      <c r="O1245" t="s">
        <v>20</v>
      </c>
      <c r="P1245" t="s">
        <v>28</v>
      </c>
      <c r="Q1245" t="s">
        <v>30</v>
      </c>
    </row>
    <row r="1246" spans="1:17" x14ac:dyDescent="0.2">
      <c r="A1246" t="s">
        <v>17</v>
      </c>
      <c r="B1246">
        <v>23.779235</v>
      </c>
      <c r="C1246">
        <v>1.5531269999999999</v>
      </c>
      <c r="D1246">
        <v>78</v>
      </c>
      <c r="E1246" t="s">
        <v>18</v>
      </c>
      <c r="F1246" t="s">
        <v>18</v>
      </c>
      <c r="G1246">
        <v>2</v>
      </c>
      <c r="H1246">
        <v>1</v>
      </c>
      <c r="I1246" t="s">
        <v>20</v>
      </c>
      <c r="J1246" t="s">
        <v>19</v>
      </c>
      <c r="K1246">
        <v>2</v>
      </c>
      <c r="L1246" t="s">
        <v>19</v>
      </c>
      <c r="M1246">
        <v>0.82750199999999996</v>
      </c>
      <c r="N1246">
        <v>0</v>
      </c>
      <c r="O1246" t="s">
        <v>19</v>
      </c>
      <c r="P1246" t="s">
        <v>21</v>
      </c>
      <c r="Q1246" t="s">
        <v>30</v>
      </c>
    </row>
    <row r="1247" spans="1:17" x14ac:dyDescent="0.2">
      <c r="A1247" t="s">
        <v>23</v>
      </c>
      <c r="B1247">
        <v>20.586977999999998</v>
      </c>
      <c r="C1247">
        <v>1.781952</v>
      </c>
      <c r="D1247">
        <v>102.910613</v>
      </c>
      <c r="E1247" t="s">
        <v>18</v>
      </c>
      <c r="F1247" t="s">
        <v>18</v>
      </c>
      <c r="G1247">
        <v>2</v>
      </c>
      <c r="H1247">
        <v>3</v>
      </c>
      <c r="I1247" t="s">
        <v>20</v>
      </c>
      <c r="J1247" t="s">
        <v>19</v>
      </c>
      <c r="K1247">
        <v>1.6897930000000001</v>
      </c>
      <c r="L1247" t="s">
        <v>19</v>
      </c>
      <c r="M1247">
        <v>1.4642040000000001</v>
      </c>
      <c r="N1247">
        <v>0</v>
      </c>
      <c r="O1247" t="s">
        <v>19</v>
      </c>
      <c r="P1247" t="s">
        <v>21</v>
      </c>
      <c r="Q1247" t="s">
        <v>30</v>
      </c>
    </row>
    <row r="1248" spans="1:17" x14ac:dyDescent="0.2">
      <c r="A1248" t="s">
        <v>23</v>
      </c>
      <c r="B1248">
        <v>21.669478000000002</v>
      </c>
      <c r="C1248">
        <v>1.75</v>
      </c>
      <c r="D1248">
        <v>96.940254999999993</v>
      </c>
      <c r="E1248" t="s">
        <v>18</v>
      </c>
      <c r="F1248" t="s">
        <v>18</v>
      </c>
      <c r="G1248">
        <v>2</v>
      </c>
      <c r="H1248">
        <v>3</v>
      </c>
      <c r="I1248" t="s">
        <v>20</v>
      </c>
      <c r="J1248" t="s">
        <v>19</v>
      </c>
      <c r="K1248">
        <v>2.7714690000000002</v>
      </c>
      <c r="L1248" t="s">
        <v>19</v>
      </c>
      <c r="M1248">
        <v>2.3593389999999999</v>
      </c>
      <c r="N1248">
        <v>1.206251</v>
      </c>
      <c r="O1248" t="s">
        <v>19</v>
      </c>
      <c r="P1248" t="s">
        <v>21</v>
      </c>
      <c r="Q1248" t="s">
        <v>30</v>
      </c>
    </row>
    <row r="1249" spans="1:17" x14ac:dyDescent="0.2">
      <c r="A1249" t="s">
        <v>17</v>
      </c>
      <c r="B1249">
        <v>23</v>
      </c>
      <c r="C1249">
        <v>1.6158539999999999</v>
      </c>
      <c r="D1249">
        <v>80.615324999999999</v>
      </c>
      <c r="E1249" t="s">
        <v>18</v>
      </c>
      <c r="F1249" t="s">
        <v>18</v>
      </c>
      <c r="G1249">
        <v>2</v>
      </c>
      <c r="H1249">
        <v>1</v>
      </c>
      <c r="I1249" t="s">
        <v>20</v>
      </c>
      <c r="J1249" t="s">
        <v>19</v>
      </c>
      <c r="K1249">
        <v>2</v>
      </c>
      <c r="L1249" t="s">
        <v>19</v>
      </c>
      <c r="M1249">
        <v>2.6141999999999999E-2</v>
      </c>
      <c r="N1249">
        <v>0</v>
      </c>
      <c r="O1249" t="s">
        <v>19</v>
      </c>
      <c r="P1249" t="s">
        <v>21</v>
      </c>
      <c r="Q1249" t="s">
        <v>30</v>
      </c>
    </row>
    <row r="1250" spans="1:17" x14ac:dyDescent="0.2">
      <c r="A1250" t="s">
        <v>23</v>
      </c>
      <c r="B1250">
        <v>20.825962000000001</v>
      </c>
      <c r="C1250">
        <v>1.7933779999999999</v>
      </c>
      <c r="D1250">
        <v>105.65503699999999</v>
      </c>
      <c r="E1250" t="s">
        <v>18</v>
      </c>
      <c r="F1250" t="s">
        <v>18</v>
      </c>
      <c r="G1250">
        <v>2</v>
      </c>
      <c r="H1250">
        <v>3</v>
      </c>
      <c r="I1250" t="s">
        <v>20</v>
      </c>
      <c r="J1250" t="s">
        <v>19</v>
      </c>
      <c r="K1250">
        <v>1.155384</v>
      </c>
      <c r="L1250" t="s">
        <v>19</v>
      </c>
      <c r="M1250">
        <v>3.9379999999999997E-3</v>
      </c>
      <c r="N1250">
        <v>0.526999</v>
      </c>
      <c r="O1250" t="s">
        <v>20</v>
      </c>
      <c r="P1250" t="s">
        <v>21</v>
      </c>
      <c r="Q1250" t="s">
        <v>30</v>
      </c>
    </row>
    <row r="1251" spans="1:17" x14ac:dyDescent="0.2">
      <c r="A1251" t="s">
        <v>23</v>
      </c>
      <c r="B1251">
        <v>18.178023</v>
      </c>
      <c r="C1251">
        <v>1.8547800000000001</v>
      </c>
      <c r="D1251">
        <v>114.77484</v>
      </c>
      <c r="E1251" t="s">
        <v>18</v>
      </c>
      <c r="F1251" t="s">
        <v>18</v>
      </c>
      <c r="G1251">
        <v>2</v>
      </c>
      <c r="H1251">
        <v>1.854536</v>
      </c>
      <c r="I1251" t="s">
        <v>20</v>
      </c>
      <c r="J1251" t="s">
        <v>19</v>
      </c>
      <c r="K1251">
        <v>2.1601689999999998</v>
      </c>
      <c r="L1251" t="s">
        <v>19</v>
      </c>
      <c r="M1251">
        <v>1</v>
      </c>
      <c r="N1251">
        <v>2</v>
      </c>
      <c r="O1251" t="s">
        <v>20</v>
      </c>
      <c r="P1251" t="s">
        <v>21</v>
      </c>
      <c r="Q1251" t="s">
        <v>30</v>
      </c>
    </row>
    <row r="1252" spans="1:17" x14ac:dyDescent="0.2">
      <c r="A1252" t="s">
        <v>17</v>
      </c>
      <c r="B1252">
        <v>18</v>
      </c>
      <c r="C1252">
        <v>1.6856329999999999</v>
      </c>
      <c r="D1252">
        <v>90.032670999999993</v>
      </c>
      <c r="E1252" t="s">
        <v>18</v>
      </c>
      <c r="F1252" t="s">
        <v>18</v>
      </c>
      <c r="G1252">
        <v>2.4964550000000001</v>
      </c>
      <c r="H1252">
        <v>3</v>
      </c>
      <c r="I1252" t="s">
        <v>20</v>
      </c>
      <c r="J1252" t="s">
        <v>19</v>
      </c>
      <c r="K1252">
        <v>1.850344</v>
      </c>
      <c r="L1252" t="s">
        <v>19</v>
      </c>
      <c r="M1252">
        <v>1.066101</v>
      </c>
      <c r="N1252">
        <v>0.73226500000000005</v>
      </c>
      <c r="O1252" t="s">
        <v>20</v>
      </c>
      <c r="P1252" t="s">
        <v>21</v>
      </c>
      <c r="Q1252" t="s">
        <v>30</v>
      </c>
    </row>
    <row r="1253" spans="1:17" x14ac:dyDescent="0.2">
      <c r="A1253" t="s">
        <v>17</v>
      </c>
      <c r="B1253">
        <v>18.267696000000001</v>
      </c>
      <c r="C1253">
        <v>1.7063429999999999</v>
      </c>
      <c r="D1253">
        <v>93.348843000000002</v>
      </c>
      <c r="E1253" t="s">
        <v>18</v>
      </c>
      <c r="F1253" t="s">
        <v>18</v>
      </c>
      <c r="G1253">
        <v>1.70825</v>
      </c>
      <c r="H1253">
        <v>3</v>
      </c>
      <c r="I1253" t="s">
        <v>20</v>
      </c>
      <c r="J1253" t="s">
        <v>19</v>
      </c>
      <c r="K1253">
        <v>1</v>
      </c>
      <c r="L1253" t="s">
        <v>19</v>
      </c>
      <c r="M1253">
        <v>0.899864</v>
      </c>
      <c r="N1253">
        <v>1</v>
      </c>
      <c r="O1253" t="s">
        <v>20</v>
      </c>
      <c r="P1253" t="s">
        <v>21</v>
      </c>
      <c r="Q1253" t="s">
        <v>30</v>
      </c>
    </row>
    <row r="1254" spans="1:17" x14ac:dyDescent="0.2">
      <c r="A1254" t="s">
        <v>23</v>
      </c>
      <c r="B1254">
        <v>23</v>
      </c>
      <c r="C1254">
        <v>1.791415</v>
      </c>
      <c r="D1254">
        <v>105.13807300000001</v>
      </c>
      <c r="E1254" t="s">
        <v>18</v>
      </c>
      <c r="F1254" t="s">
        <v>18</v>
      </c>
      <c r="G1254">
        <v>2.2621709999999999</v>
      </c>
      <c r="H1254">
        <v>3</v>
      </c>
      <c r="I1254" t="s">
        <v>20</v>
      </c>
      <c r="J1254" t="s">
        <v>19</v>
      </c>
      <c r="K1254">
        <v>2.0341499999999999</v>
      </c>
      <c r="L1254" t="s">
        <v>19</v>
      </c>
      <c r="M1254">
        <v>0.31736300000000001</v>
      </c>
      <c r="N1254">
        <v>0.50866299999999998</v>
      </c>
      <c r="O1254" t="s">
        <v>20</v>
      </c>
      <c r="P1254" t="s">
        <v>21</v>
      </c>
      <c r="Q1254" t="s">
        <v>30</v>
      </c>
    </row>
    <row r="1255" spans="1:17" x14ac:dyDescent="0.2">
      <c r="A1255" t="s">
        <v>23</v>
      </c>
      <c r="B1255">
        <v>23</v>
      </c>
      <c r="C1255">
        <v>1.7537160000000001</v>
      </c>
      <c r="D1255">
        <v>106.49141</v>
      </c>
      <c r="E1255" t="s">
        <v>18</v>
      </c>
      <c r="F1255" t="s">
        <v>18</v>
      </c>
      <c r="G1255">
        <v>2.7406329999999999</v>
      </c>
      <c r="H1255">
        <v>3</v>
      </c>
      <c r="I1255" t="s">
        <v>20</v>
      </c>
      <c r="J1255" t="s">
        <v>19</v>
      </c>
      <c r="K1255">
        <v>2.0810050000000002</v>
      </c>
      <c r="L1255" t="s">
        <v>19</v>
      </c>
      <c r="M1255">
        <v>0.65023500000000001</v>
      </c>
      <c r="N1255">
        <v>0.76905999999999997</v>
      </c>
      <c r="O1255" t="s">
        <v>20</v>
      </c>
      <c r="P1255" t="s">
        <v>21</v>
      </c>
      <c r="Q1255" t="s">
        <v>30</v>
      </c>
    </row>
    <row r="1256" spans="1:17" x14ac:dyDescent="0.2">
      <c r="A1256" t="s">
        <v>23</v>
      </c>
      <c r="B1256">
        <v>20.985900000000001</v>
      </c>
      <c r="C1256">
        <v>1.7805029999999999</v>
      </c>
      <c r="D1256">
        <v>103.189532</v>
      </c>
      <c r="E1256" t="s">
        <v>18</v>
      </c>
      <c r="F1256" t="s">
        <v>18</v>
      </c>
      <c r="G1256">
        <v>2</v>
      </c>
      <c r="H1256">
        <v>3</v>
      </c>
      <c r="I1256" t="s">
        <v>20</v>
      </c>
      <c r="J1256" t="s">
        <v>19</v>
      </c>
      <c r="K1256">
        <v>1.608128</v>
      </c>
      <c r="L1256" t="s">
        <v>19</v>
      </c>
      <c r="M1256">
        <v>0.478134</v>
      </c>
      <c r="N1256">
        <v>0</v>
      </c>
      <c r="O1256" t="s">
        <v>19</v>
      </c>
      <c r="P1256" t="s">
        <v>21</v>
      </c>
      <c r="Q1256" t="s">
        <v>30</v>
      </c>
    </row>
    <row r="1257" spans="1:17" x14ac:dyDescent="0.2">
      <c r="A1257" t="s">
        <v>23</v>
      </c>
      <c r="B1257">
        <v>21.504943000000001</v>
      </c>
      <c r="C1257">
        <v>1.8198669999999999</v>
      </c>
      <c r="D1257">
        <v>106.03846799999999</v>
      </c>
      <c r="E1257" t="s">
        <v>18</v>
      </c>
      <c r="F1257" t="s">
        <v>18</v>
      </c>
      <c r="G1257">
        <v>2</v>
      </c>
      <c r="H1257">
        <v>3</v>
      </c>
      <c r="I1257" t="s">
        <v>20</v>
      </c>
      <c r="J1257" t="s">
        <v>19</v>
      </c>
      <c r="K1257">
        <v>2.715252</v>
      </c>
      <c r="L1257" t="s">
        <v>19</v>
      </c>
      <c r="M1257">
        <v>0</v>
      </c>
      <c r="N1257">
        <v>0.62160499999999996</v>
      </c>
      <c r="O1257" t="s">
        <v>19</v>
      </c>
      <c r="P1257" t="s">
        <v>21</v>
      </c>
      <c r="Q1257" t="s">
        <v>30</v>
      </c>
    </row>
    <row r="1258" spans="1:17" x14ac:dyDescent="0.2">
      <c r="A1258" t="s">
        <v>23</v>
      </c>
      <c r="B1258">
        <v>18</v>
      </c>
      <c r="C1258">
        <v>1.791174</v>
      </c>
      <c r="D1258">
        <v>108.9606</v>
      </c>
      <c r="E1258" t="s">
        <v>18</v>
      </c>
      <c r="F1258" t="s">
        <v>18</v>
      </c>
      <c r="G1258">
        <v>2</v>
      </c>
      <c r="H1258">
        <v>1.08687</v>
      </c>
      <c r="I1258" t="s">
        <v>20</v>
      </c>
      <c r="J1258" t="s">
        <v>19</v>
      </c>
      <c r="K1258">
        <v>2.2791239999999999</v>
      </c>
      <c r="L1258" t="s">
        <v>19</v>
      </c>
      <c r="M1258">
        <v>1</v>
      </c>
      <c r="N1258">
        <v>1.6097729999999999</v>
      </c>
      <c r="O1258" t="s">
        <v>19</v>
      </c>
      <c r="P1258" t="s">
        <v>21</v>
      </c>
      <c r="Q1258" t="s">
        <v>30</v>
      </c>
    </row>
    <row r="1259" spans="1:17" x14ac:dyDescent="0.2">
      <c r="A1259" t="s">
        <v>23</v>
      </c>
      <c r="B1259">
        <v>18</v>
      </c>
      <c r="C1259">
        <v>1.8209299999999999</v>
      </c>
      <c r="D1259">
        <v>108.74200500000001</v>
      </c>
      <c r="E1259" t="s">
        <v>18</v>
      </c>
      <c r="F1259" t="s">
        <v>18</v>
      </c>
      <c r="G1259">
        <v>2</v>
      </c>
      <c r="H1259">
        <v>1.25535</v>
      </c>
      <c r="I1259" t="s">
        <v>20</v>
      </c>
      <c r="J1259" t="s">
        <v>19</v>
      </c>
      <c r="K1259">
        <v>2.4970650000000001</v>
      </c>
      <c r="L1259" t="s">
        <v>19</v>
      </c>
      <c r="M1259">
        <v>1</v>
      </c>
      <c r="N1259">
        <v>1.441605</v>
      </c>
      <c r="O1259" t="s">
        <v>19</v>
      </c>
      <c r="P1259" t="s">
        <v>21</v>
      </c>
      <c r="Q1259" t="s">
        <v>30</v>
      </c>
    </row>
    <row r="1260" spans="1:17" x14ac:dyDescent="0.2">
      <c r="A1260" t="s">
        <v>17</v>
      </c>
      <c r="B1260">
        <v>19.442663</v>
      </c>
      <c r="C1260">
        <v>1.627812</v>
      </c>
      <c r="D1260">
        <v>82</v>
      </c>
      <c r="E1260" t="s">
        <v>18</v>
      </c>
      <c r="F1260" t="s">
        <v>18</v>
      </c>
      <c r="G1260">
        <v>1.081585</v>
      </c>
      <c r="H1260">
        <v>2.8706610000000001</v>
      </c>
      <c r="I1260" t="s">
        <v>20</v>
      </c>
      <c r="J1260" t="s">
        <v>19</v>
      </c>
      <c r="K1260">
        <v>1.1175600000000001</v>
      </c>
      <c r="L1260" t="s">
        <v>19</v>
      </c>
      <c r="M1260">
        <v>0</v>
      </c>
      <c r="N1260">
        <v>1.6168260000000001</v>
      </c>
      <c r="O1260" t="s">
        <v>20</v>
      </c>
      <c r="P1260" t="s">
        <v>21</v>
      </c>
      <c r="Q1260" t="s">
        <v>30</v>
      </c>
    </row>
    <row r="1261" spans="1:17" x14ac:dyDescent="0.2">
      <c r="A1261" t="s">
        <v>17</v>
      </c>
      <c r="B1261">
        <v>22.865017999999999</v>
      </c>
      <c r="C1261">
        <v>1.632118</v>
      </c>
      <c r="D1261">
        <v>82</v>
      </c>
      <c r="E1261" t="s">
        <v>18</v>
      </c>
      <c r="F1261" t="s">
        <v>18</v>
      </c>
      <c r="G1261">
        <v>2.5877889999999999</v>
      </c>
      <c r="H1261">
        <v>1.4821029999999999</v>
      </c>
      <c r="I1261" t="s">
        <v>20</v>
      </c>
      <c r="J1261" t="s">
        <v>19</v>
      </c>
      <c r="K1261">
        <v>1.911664</v>
      </c>
      <c r="L1261" t="s">
        <v>19</v>
      </c>
      <c r="M1261">
        <v>0</v>
      </c>
      <c r="N1261">
        <v>0.12868099999999999</v>
      </c>
      <c r="O1261" t="s">
        <v>20</v>
      </c>
      <c r="P1261" t="s">
        <v>21</v>
      </c>
      <c r="Q1261" t="s">
        <v>30</v>
      </c>
    </row>
    <row r="1262" spans="1:17" x14ac:dyDescent="0.2">
      <c r="A1262" t="s">
        <v>23</v>
      </c>
      <c r="B1262">
        <v>21.948577</v>
      </c>
      <c r="C1262">
        <v>1.7735939999999999</v>
      </c>
      <c r="D1262">
        <v>105.000789</v>
      </c>
      <c r="E1262" t="s">
        <v>18</v>
      </c>
      <c r="F1262" t="s">
        <v>18</v>
      </c>
      <c r="G1262">
        <v>2.252653</v>
      </c>
      <c r="H1262">
        <v>3</v>
      </c>
      <c r="I1262" t="s">
        <v>20</v>
      </c>
      <c r="J1262" t="s">
        <v>19</v>
      </c>
      <c r="K1262">
        <v>2.9623710000000001</v>
      </c>
      <c r="L1262" t="s">
        <v>19</v>
      </c>
      <c r="M1262">
        <v>1</v>
      </c>
      <c r="N1262">
        <v>0</v>
      </c>
      <c r="O1262" t="s">
        <v>20</v>
      </c>
      <c r="P1262" t="s">
        <v>21</v>
      </c>
      <c r="Q1262" t="s">
        <v>30</v>
      </c>
    </row>
    <row r="1263" spans="1:17" x14ac:dyDescent="0.2">
      <c r="A1263" t="s">
        <v>23</v>
      </c>
      <c r="B1263">
        <v>21.214617000000001</v>
      </c>
      <c r="C1263">
        <v>1.9304159999999999</v>
      </c>
      <c r="D1263">
        <v>118.560509</v>
      </c>
      <c r="E1263" t="s">
        <v>18</v>
      </c>
      <c r="F1263" t="s">
        <v>18</v>
      </c>
      <c r="G1263">
        <v>2</v>
      </c>
      <c r="H1263">
        <v>3</v>
      </c>
      <c r="I1263" t="s">
        <v>20</v>
      </c>
      <c r="J1263" t="s">
        <v>19</v>
      </c>
      <c r="K1263">
        <v>3</v>
      </c>
      <c r="L1263" t="s">
        <v>19</v>
      </c>
      <c r="M1263">
        <v>0.732186</v>
      </c>
      <c r="N1263">
        <v>1</v>
      </c>
      <c r="O1263" t="s">
        <v>20</v>
      </c>
      <c r="P1263" t="s">
        <v>21</v>
      </c>
      <c r="Q1263" t="s">
        <v>30</v>
      </c>
    </row>
    <row r="1264" spans="1:17" x14ac:dyDescent="0.2">
      <c r="A1264" t="s">
        <v>23</v>
      </c>
      <c r="B1264">
        <v>22.277858999999999</v>
      </c>
      <c r="C1264">
        <v>1.947406</v>
      </c>
      <c r="D1264">
        <v>116.89310500000001</v>
      </c>
      <c r="E1264" t="s">
        <v>18</v>
      </c>
      <c r="F1264" t="s">
        <v>18</v>
      </c>
      <c r="G1264">
        <v>2</v>
      </c>
      <c r="H1264">
        <v>3</v>
      </c>
      <c r="I1264" t="s">
        <v>20</v>
      </c>
      <c r="J1264" t="s">
        <v>19</v>
      </c>
      <c r="K1264">
        <v>3</v>
      </c>
      <c r="L1264" t="s">
        <v>19</v>
      </c>
      <c r="M1264">
        <v>0.97518700000000003</v>
      </c>
      <c r="N1264">
        <v>1</v>
      </c>
      <c r="O1264" t="s">
        <v>20</v>
      </c>
      <c r="P1264" t="s">
        <v>21</v>
      </c>
      <c r="Q1264" t="s">
        <v>30</v>
      </c>
    </row>
    <row r="1265" spans="1:17" x14ac:dyDescent="0.2">
      <c r="A1265" t="s">
        <v>17</v>
      </c>
      <c r="B1265">
        <v>37.832948999999999</v>
      </c>
      <c r="C1265">
        <v>1.610867</v>
      </c>
      <c r="D1265">
        <v>80</v>
      </c>
      <c r="E1265" t="s">
        <v>18</v>
      </c>
      <c r="F1265" t="s">
        <v>18</v>
      </c>
      <c r="G1265">
        <v>2.036613</v>
      </c>
      <c r="H1265">
        <v>1.81698</v>
      </c>
      <c r="I1265" t="s">
        <v>20</v>
      </c>
      <c r="J1265" t="s">
        <v>19</v>
      </c>
      <c r="K1265">
        <v>1.93059</v>
      </c>
      <c r="L1265" t="s">
        <v>19</v>
      </c>
      <c r="M1265">
        <v>1.851404</v>
      </c>
      <c r="N1265">
        <v>0</v>
      </c>
      <c r="O1265" t="s">
        <v>20</v>
      </c>
      <c r="P1265" t="s">
        <v>28</v>
      </c>
      <c r="Q1265" t="s">
        <v>30</v>
      </c>
    </row>
    <row r="1266" spans="1:17" x14ac:dyDescent="0.2">
      <c r="A1266" t="s">
        <v>17</v>
      </c>
      <c r="B1266">
        <v>37.631768999999998</v>
      </c>
      <c r="C1266">
        <v>1.5132019999999999</v>
      </c>
      <c r="D1266">
        <v>75.410646999999997</v>
      </c>
      <c r="E1266" t="s">
        <v>18</v>
      </c>
      <c r="F1266" t="s">
        <v>18</v>
      </c>
      <c r="G1266">
        <v>2</v>
      </c>
      <c r="H1266">
        <v>2.5825909999999999</v>
      </c>
      <c r="I1266" t="s">
        <v>20</v>
      </c>
      <c r="J1266" t="s">
        <v>19</v>
      </c>
      <c r="K1266">
        <v>1.535134</v>
      </c>
      <c r="L1266" t="s">
        <v>19</v>
      </c>
      <c r="M1266">
        <v>1.88452</v>
      </c>
      <c r="N1266">
        <v>0</v>
      </c>
      <c r="O1266" t="s">
        <v>20</v>
      </c>
      <c r="P1266" t="s">
        <v>28</v>
      </c>
      <c r="Q1266" t="s">
        <v>30</v>
      </c>
    </row>
    <row r="1267" spans="1:17" x14ac:dyDescent="0.2">
      <c r="A1267" t="s">
        <v>23</v>
      </c>
      <c r="B1267">
        <v>17.6739</v>
      </c>
      <c r="C1267">
        <v>1.7384649999999999</v>
      </c>
      <c r="D1267">
        <v>97.185473999999999</v>
      </c>
      <c r="E1267" t="s">
        <v>18</v>
      </c>
      <c r="F1267" t="s">
        <v>18</v>
      </c>
      <c r="G1267">
        <v>2</v>
      </c>
      <c r="H1267">
        <v>3</v>
      </c>
      <c r="I1267" t="s">
        <v>20</v>
      </c>
      <c r="J1267" t="s">
        <v>19</v>
      </c>
      <c r="K1267">
        <v>2</v>
      </c>
      <c r="L1267" t="s">
        <v>19</v>
      </c>
      <c r="M1267">
        <v>0</v>
      </c>
      <c r="N1267">
        <v>0.23331399999999999</v>
      </c>
      <c r="O1267" t="s">
        <v>19</v>
      </c>
      <c r="P1267" t="s">
        <v>21</v>
      </c>
      <c r="Q1267" t="s">
        <v>30</v>
      </c>
    </row>
    <row r="1268" spans="1:17" x14ac:dyDescent="0.2">
      <c r="A1268" t="s">
        <v>17</v>
      </c>
      <c r="B1268">
        <v>37.524551000000002</v>
      </c>
      <c r="C1268">
        <v>1.5679149999999999</v>
      </c>
      <c r="D1268">
        <v>76.129784000000001</v>
      </c>
      <c r="E1268" t="s">
        <v>18</v>
      </c>
      <c r="F1268" t="s">
        <v>18</v>
      </c>
      <c r="G1268">
        <v>2</v>
      </c>
      <c r="H1268">
        <v>3</v>
      </c>
      <c r="I1268" t="s">
        <v>20</v>
      </c>
      <c r="J1268" t="s">
        <v>19</v>
      </c>
      <c r="K1268">
        <v>2.102976</v>
      </c>
      <c r="L1268" t="s">
        <v>19</v>
      </c>
      <c r="M1268">
        <v>0</v>
      </c>
      <c r="N1268">
        <v>0</v>
      </c>
      <c r="O1268" t="s">
        <v>20</v>
      </c>
      <c r="P1268" t="s">
        <v>28</v>
      </c>
      <c r="Q1268" t="s">
        <v>30</v>
      </c>
    </row>
    <row r="1269" spans="1:17" x14ac:dyDescent="0.2">
      <c r="A1269" t="s">
        <v>17</v>
      </c>
      <c r="B1269">
        <v>43.510672</v>
      </c>
      <c r="C1269">
        <v>1.5875459999999999</v>
      </c>
      <c r="D1269">
        <v>76.126112000000006</v>
      </c>
      <c r="E1269" t="s">
        <v>18</v>
      </c>
      <c r="F1269" t="s">
        <v>18</v>
      </c>
      <c r="G1269">
        <v>2</v>
      </c>
      <c r="H1269">
        <v>3</v>
      </c>
      <c r="I1269" t="s">
        <v>20</v>
      </c>
      <c r="J1269" t="s">
        <v>19</v>
      </c>
      <c r="K1269">
        <v>2.0919340000000002</v>
      </c>
      <c r="L1269" t="s">
        <v>19</v>
      </c>
      <c r="M1269">
        <v>0</v>
      </c>
      <c r="N1269">
        <v>0</v>
      </c>
      <c r="O1269" t="s">
        <v>20</v>
      </c>
      <c r="P1269" t="s">
        <v>28</v>
      </c>
      <c r="Q1269" t="s">
        <v>30</v>
      </c>
    </row>
    <row r="1270" spans="1:17" x14ac:dyDescent="0.2">
      <c r="A1270" t="s">
        <v>23</v>
      </c>
      <c r="B1270">
        <v>18</v>
      </c>
      <c r="C1270">
        <v>1.8203849999999999</v>
      </c>
      <c r="D1270">
        <v>108.395005</v>
      </c>
      <c r="E1270" t="s">
        <v>18</v>
      </c>
      <c r="F1270" t="s">
        <v>18</v>
      </c>
      <c r="G1270">
        <v>2</v>
      </c>
      <c r="H1270">
        <v>2.1648390000000002</v>
      </c>
      <c r="I1270" t="s">
        <v>20</v>
      </c>
      <c r="J1270" t="s">
        <v>19</v>
      </c>
      <c r="K1270">
        <v>2.0944790000000002</v>
      </c>
      <c r="L1270" t="s">
        <v>19</v>
      </c>
      <c r="M1270">
        <v>1</v>
      </c>
      <c r="N1270">
        <v>0.67655699999999996</v>
      </c>
      <c r="O1270" t="s">
        <v>20</v>
      </c>
      <c r="P1270" t="s">
        <v>21</v>
      </c>
      <c r="Q1270" t="s">
        <v>30</v>
      </c>
    </row>
    <row r="1271" spans="1:17" x14ac:dyDescent="0.2">
      <c r="A1271" t="s">
        <v>23</v>
      </c>
      <c r="B1271">
        <v>18</v>
      </c>
      <c r="C1271">
        <v>1.7922389999999999</v>
      </c>
      <c r="D1271">
        <v>108.244379</v>
      </c>
      <c r="E1271" t="s">
        <v>18</v>
      </c>
      <c r="F1271" t="s">
        <v>18</v>
      </c>
      <c r="G1271">
        <v>2</v>
      </c>
      <c r="H1271">
        <v>2.141839</v>
      </c>
      <c r="I1271" t="s">
        <v>20</v>
      </c>
      <c r="J1271" t="s">
        <v>19</v>
      </c>
      <c r="K1271">
        <v>2.9398469999999999</v>
      </c>
      <c r="L1271" t="s">
        <v>19</v>
      </c>
      <c r="M1271">
        <v>1</v>
      </c>
      <c r="N1271">
        <v>0.10305599999999999</v>
      </c>
      <c r="O1271" t="s">
        <v>20</v>
      </c>
      <c r="P1271" t="s">
        <v>21</v>
      </c>
      <c r="Q1271" t="s">
        <v>30</v>
      </c>
    </row>
    <row r="1272" spans="1:17" x14ac:dyDescent="0.2">
      <c r="A1272" t="s">
        <v>23</v>
      </c>
      <c r="B1272">
        <v>29.506287</v>
      </c>
      <c r="C1272">
        <v>1.82697</v>
      </c>
      <c r="D1272">
        <v>108.751502</v>
      </c>
      <c r="E1272" t="s">
        <v>18</v>
      </c>
      <c r="F1272" t="s">
        <v>18</v>
      </c>
      <c r="G1272">
        <v>2</v>
      </c>
      <c r="H1272">
        <v>2.877583</v>
      </c>
      <c r="I1272" t="s">
        <v>20</v>
      </c>
      <c r="J1272" t="s">
        <v>19</v>
      </c>
      <c r="K1272">
        <v>2.3580380000000001</v>
      </c>
      <c r="L1272" t="s">
        <v>19</v>
      </c>
      <c r="M1272">
        <v>0.87729500000000005</v>
      </c>
      <c r="N1272">
        <v>1.8171459999999999</v>
      </c>
      <c r="O1272" t="s">
        <v>20</v>
      </c>
      <c r="P1272" t="s">
        <v>28</v>
      </c>
      <c r="Q1272" t="s">
        <v>30</v>
      </c>
    </row>
    <row r="1273" spans="1:17" x14ac:dyDescent="0.2">
      <c r="A1273" t="s">
        <v>17</v>
      </c>
      <c r="B1273">
        <v>18</v>
      </c>
      <c r="C1273">
        <v>1.670058</v>
      </c>
      <c r="D1273">
        <v>86.242678999999995</v>
      </c>
      <c r="E1273" t="s">
        <v>18</v>
      </c>
      <c r="F1273" t="s">
        <v>18</v>
      </c>
      <c r="G1273">
        <v>2.6091229999999999</v>
      </c>
      <c r="H1273">
        <v>3</v>
      </c>
      <c r="I1273" t="s">
        <v>20</v>
      </c>
      <c r="J1273" t="s">
        <v>19</v>
      </c>
      <c r="K1273">
        <v>1.9550529999999999</v>
      </c>
      <c r="L1273" t="s">
        <v>19</v>
      </c>
      <c r="M1273">
        <v>1.186013</v>
      </c>
      <c r="N1273">
        <v>0</v>
      </c>
      <c r="O1273" t="s">
        <v>19</v>
      </c>
      <c r="P1273" t="s">
        <v>21</v>
      </c>
      <c r="Q1273" t="s">
        <v>30</v>
      </c>
    </row>
    <row r="1274" spans="1:17" x14ac:dyDescent="0.2">
      <c r="A1274" t="s">
        <v>23</v>
      </c>
      <c r="B1274">
        <v>24.733308000000001</v>
      </c>
      <c r="C1274">
        <v>1.639383</v>
      </c>
      <c r="D1274">
        <v>91.267087000000004</v>
      </c>
      <c r="E1274" t="s">
        <v>18</v>
      </c>
      <c r="F1274" t="s">
        <v>18</v>
      </c>
      <c r="G1274">
        <v>1.0361590000000001</v>
      </c>
      <c r="H1274">
        <v>3</v>
      </c>
      <c r="I1274" t="s">
        <v>20</v>
      </c>
      <c r="J1274" t="s">
        <v>19</v>
      </c>
      <c r="K1274">
        <v>1</v>
      </c>
      <c r="L1274" t="s">
        <v>19</v>
      </c>
      <c r="M1274">
        <v>0.34401300000000001</v>
      </c>
      <c r="N1274">
        <v>0.32936700000000002</v>
      </c>
      <c r="O1274" t="s">
        <v>20</v>
      </c>
      <c r="P1274" t="s">
        <v>28</v>
      </c>
      <c r="Q1274" t="s">
        <v>30</v>
      </c>
    </row>
    <row r="1275" spans="1:17" x14ac:dyDescent="0.2">
      <c r="A1275" t="s">
        <v>23</v>
      </c>
      <c r="B1275">
        <v>29</v>
      </c>
      <c r="C1275">
        <v>1.6829160000000001</v>
      </c>
      <c r="D1275">
        <v>89.991670999999997</v>
      </c>
      <c r="E1275" t="s">
        <v>18</v>
      </c>
      <c r="F1275" t="s">
        <v>18</v>
      </c>
      <c r="G1275">
        <v>1.851262</v>
      </c>
      <c r="H1275">
        <v>3</v>
      </c>
      <c r="I1275" t="s">
        <v>20</v>
      </c>
      <c r="J1275" t="s">
        <v>19</v>
      </c>
      <c r="K1275">
        <v>2.11267</v>
      </c>
      <c r="L1275" t="s">
        <v>19</v>
      </c>
      <c r="M1275">
        <v>0.38826899999999998</v>
      </c>
      <c r="N1275">
        <v>0</v>
      </c>
      <c r="O1275" t="s">
        <v>20</v>
      </c>
      <c r="P1275" t="s">
        <v>28</v>
      </c>
      <c r="Q1275" t="s">
        <v>30</v>
      </c>
    </row>
    <row r="1276" spans="1:17" x14ac:dyDescent="0.2">
      <c r="A1276" t="s">
        <v>17</v>
      </c>
      <c r="B1276">
        <v>18</v>
      </c>
      <c r="C1276">
        <v>1.609321</v>
      </c>
      <c r="D1276">
        <v>84.493155999999999</v>
      </c>
      <c r="E1276" t="s">
        <v>18</v>
      </c>
      <c r="F1276" t="s">
        <v>18</v>
      </c>
      <c r="G1276">
        <v>2</v>
      </c>
      <c r="H1276">
        <v>3</v>
      </c>
      <c r="I1276" t="s">
        <v>20</v>
      </c>
      <c r="J1276" t="s">
        <v>19</v>
      </c>
      <c r="K1276">
        <v>1.0517350000000001</v>
      </c>
      <c r="L1276" t="s">
        <v>19</v>
      </c>
      <c r="M1276">
        <v>1</v>
      </c>
      <c r="N1276">
        <v>0</v>
      </c>
      <c r="O1276" t="s">
        <v>19</v>
      </c>
      <c r="P1276" t="s">
        <v>21</v>
      </c>
      <c r="Q1276" t="s">
        <v>30</v>
      </c>
    </row>
    <row r="1277" spans="1:17" x14ac:dyDescent="0.2">
      <c r="A1277" t="s">
        <v>23</v>
      </c>
      <c r="B1277">
        <v>21.098034999999999</v>
      </c>
      <c r="C1277">
        <v>1.690437</v>
      </c>
      <c r="D1277">
        <v>96.366776999999999</v>
      </c>
      <c r="E1277" t="s">
        <v>18</v>
      </c>
      <c r="F1277" t="s">
        <v>18</v>
      </c>
      <c r="G1277">
        <v>2</v>
      </c>
      <c r="H1277">
        <v>2.9583300000000001</v>
      </c>
      <c r="I1277" t="s">
        <v>20</v>
      </c>
      <c r="J1277" t="s">
        <v>19</v>
      </c>
      <c r="K1277">
        <v>2</v>
      </c>
      <c r="L1277" t="s">
        <v>19</v>
      </c>
      <c r="M1277">
        <v>0</v>
      </c>
      <c r="N1277">
        <v>1.5953059999999999</v>
      </c>
      <c r="O1277" t="s">
        <v>19</v>
      </c>
      <c r="P1277" t="s">
        <v>21</v>
      </c>
      <c r="Q1277" t="s">
        <v>30</v>
      </c>
    </row>
    <row r="1278" spans="1:17" x14ac:dyDescent="0.2">
      <c r="A1278" t="s">
        <v>23</v>
      </c>
      <c r="B1278">
        <v>19.089594999999999</v>
      </c>
      <c r="C1278">
        <v>1.700164</v>
      </c>
      <c r="D1278">
        <v>99.204695000000001</v>
      </c>
      <c r="E1278" t="s">
        <v>18</v>
      </c>
      <c r="F1278" t="s">
        <v>18</v>
      </c>
      <c r="G1278">
        <v>2</v>
      </c>
      <c r="H1278">
        <v>2.1198260000000002</v>
      </c>
      <c r="I1278" t="s">
        <v>20</v>
      </c>
      <c r="J1278" t="s">
        <v>19</v>
      </c>
      <c r="K1278">
        <v>2</v>
      </c>
      <c r="L1278" t="s">
        <v>19</v>
      </c>
      <c r="M1278">
        <v>0</v>
      </c>
      <c r="N1278">
        <v>1.882539</v>
      </c>
      <c r="O1278" t="s">
        <v>19</v>
      </c>
      <c r="P1278" t="s">
        <v>21</v>
      </c>
      <c r="Q1278" t="s">
        <v>30</v>
      </c>
    </row>
    <row r="1279" spans="1:17" x14ac:dyDescent="0.2">
      <c r="A1279" t="s">
        <v>17</v>
      </c>
      <c r="B1279">
        <v>18.312664999999999</v>
      </c>
      <c r="C1279">
        <v>1.6007400000000001</v>
      </c>
      <c r="D1279">
        <v>82.249831</v>
      </c>
      <c r="E1279" t="s">
        <v>18</v>
      </c>
      <c r="F1279" t="s">
        <v>18</v>
      </c>
      <c r="G1279">
        <v>2.501236</v>
      </c>
      <c r="H1279">
        <v>3</v>
      </c>
      <c r="I1279" t="s">
        <v>20</v>
      </c>
      <c r="J1279" t="s">
        <v>19</v>
      </c>
      <c r="K1279">
        <v>1.2203310000000001</v>
      </c>
      <c r="L1279" t="s">
        <v>19</v>
      </c>
      <c r="M1279">
        <v>0.245003</v>
      </c>
      <c r="N1279">
        <v>0.53720199999999996</v>
      </c>
      <c r="O1279" t="s">
        <v>19</v>
      </c>
      <c r="P1279" t="s">
        <v>21</v>
      </c>
      <c r="Q1279" t="s">
        <v>30</v>
      </c>
    </row>
    <row r="1280" spans="1:17" x14ac:dyDescent="0.2">
      <c r="A1280" t="s">
        <v>23</v>
      </c>
      <c r="B1280">
        <v>18.260079000000001</v>
      </c>
      <c r="C1280">
        <v>1.8018479999999999</v>
      </c>
      <c r="D1280">
        <v>104.74191399999999</v>
      </c>
      <c r="E1280" t="s">
        <v>18</v>
      </c>
      <c r="F1280" t="s">
        <v>18</v>
      </c>
      <c r="G1280">
        <v>2</v>
      </c>
      <c r="H1280">
        <v>3</v>
      </c>
      <c r="I1280" t="s">
        <v>20</v>
      </c>
      <c r="J1280" t="s">
        <v>19</v>
      </c>
      <c r="K1280">
        <v>3</v>
      </c>
      <c r="L1280" t="s">
        <v>19</v>
      </c>
      <c r="M1280">
        <v>1.7838579999999999</v>
      </c>
      <c r="N1280">
        <v>0</v>
      </c>
      <c r="O1280" t="s">
        <v>19</v>
      </c>
      <c r="P1280" t="s">
        <v>21</v>
      </c>
      <c r="Q1280" t="s">
        <v>30</v>
      </c>
    </row>
    <row r="1281" spans="1:17" x14ac:dyDescent="0.2">
      <c r="A1281" t="s">
        <v>23</v>
      </c>
      <c r="B1281">
        <v>26.004294000000002</v>
      </c>
      <c r="C1281">
        <v>1.844751</v>
      </c>
      <c r="D1281">
        <v>105.025808</v>
      </c>
      <c r="E1281" t="s">
        <v>18</v>
      </c>
      <c r="F1281" t="s">
        <v>18</v>
      </c>
      <c r="G1281">
        <v>3</v>
      </c>
      <c r="H1281">
        <v>3</v>
      </c>
      <c r="I1281" t="s">
        <v>20</v>
      </c>
      <c r="J1281" t="s">
        <v>19</v>
      </c>
      <c r="K1281">
        <v>2.9250289999999999</v>
      </c>
      <c r="L1281" t="s">
        <v>19</v>
      </c>
      <c r="M1281">
        <v>2</v>
      </c>
      <c r="N1281">
        <v>1.7588649999999999</v>
      </c>
      <c r="O1281" t="s">
        <v>20</v>
      </c>
      <c r="P1281" t="s">
        <v>21</v>
      </c>
      <c r="Q1281" t="s">
        <v>30</v>
      </c>
    </row>
    <row r="1282" spans="1:17" x14ac:dyDescent="0.2">
      <c r="A1282" t="s">
        <v>23</v>
      </c>
      <c r="B1282">
        <v>25.994745999999999</v>
      </c>
      <c r="C1282">
        <v>1.8116019999999999</v>
      </c>
      <c r="D1282">
        <v>106.042142</v>
      </c>
      <c r="E1282" t="s">
        <v>18</v>
      </c>
      <c r="F1282" t="s">
        <v>18</v>
      </c>
      <c r="G1282">
        <v>3</v>
      </c>
      <c r="H1282">
        <v>3</v>
      </c>
      <c r="I1282" t="s">
        <v>20</v>
      </c>
      <c r="J1282" t="s">
        <v>19</v>
      </c>
      <c r="K1282">
        <v>2.858171</v>
      </c>
      <c r="L1282" t="s">
        <v>19</v>
      </c>
      <c r="M1282">
        <v>1.813318</v>
      </c>
      <c r="N1282">
        <v>0.68021500000000001</v>
      </c>
      <c r="O1282" t="s">
        <v>20</v>
      </c>
      <c r="P1282" t="s">
        <v>21</v>
      </c>
      <c r="Q1282" t="s">
        <v>30</v>
      </c>
    </row>
    <row r="1283" spans="1:17" x14ac:dyDescent="0.2">
      <c r="A1283" t="s">
        <v>23</v>
      </c>
      <c r="B1283">
        <v>36.726616999999997</v>
      </c>
      <c r="C1283">
        <v>1.7875209999999999</v>
      </c>
      <c r="D1283">
        <v>100.62455300000001</v>
      </c>
      <c r="E1283" t="s">
        <v>18</v>
      </c>
      <c r="F1283" t="s">
        <v>18</v>
      </c>
      <c r="G1283">
        <v>2.0311849999999998</v>
      </c>
      <c r="H1283">
        <v>2.9926059999999999</v>
      </c>
      <c r="I1283" t="s">
        <v>20</v>
      </c>
      <c r="J1283" t="s">
        <v>19</v>
      </c>
      <c r="K1283">
        <v>2.8522539999999998</v>
      </c>
      <c r="L1283" t="s">
        <v>19</v>
      </c>
      <c r="M1283">
        <v>2.0012300000000001</v>
      </c>
      <c r="N1283">
        <v>0.36037000000000002</v>
      </c>
      <c r="O1283" t="s">
        <v>24</v>
      </c>
      <c r="P1283" t="s">
        <v>28</v>
      </c>
      <c r="Q1283" t="s">
        <v>30</v>
      </c>
    </row>
    <row r="1284" spans="1:17" x14ac:dyDescent="0.2">
      <c r="A1284" t="s">
        <v>23</v>
      </c>
      <c r="B1284">
        <v>38.297258999999997</v>
      </c>
      <c r="C1284">
        <v>1.7891090000000001</v>
      </c>
      <c r="D1284">
        <v>100.06626799999999</v>
      </c>
      <c r="E1284" t="s">
        <v>18</v>
      </c>
      <c r="F1284" t="s">
        <v>18</v>
      </c>
      <c r="G1284">
        <v>2.0141939999999998</v>
      </c>
      <c r="H1284">
        <v>2.0501209999999999</v>
      </c>
      <c r="I1284" t="s">
        <v>20</v>
      </c>
      <c r="J1284" t="s">
        <v>19</v>
      </c>
      <c r="K1284">
        <v>2.184707</v>
      </c>
      <c r="L1284" t="s">
        <v>19</v>
      </c>
      <c r="M1284">
        <v>2.0005609999999998</v>
      </c>
      <c r="N1284">
        <v>0.85389099999999996</v>
      </c>
      <c r="O1284" t="s">
        <v>24</v>
      </c>
      <c r="P1284" t="s">
        <v>28</v>
      </c>
      <c r="Q1284" t="s">
        <v>30</v>
      </c>
    </row>
    <row r="1285" spans="1:17" x14ac:dyDescent="0.2">
      <c r="A1285" t="s">
        <v>17</v>
      </c>
      <c r="B1285">
        <v>30.163408</v>
      </c>
      <c r="C1285">
        <v>1.5333639999999999</v>
      </c>
      <c r="D1285">
        <v>78.030383</v>
      </c>
      <c r="E1285" t="s">
        <v>18</v>
      </c>
      <c r="F1285" t="s">
        <v>18</v>
      </c>
      <c r="G1285">
        <v>2.0282249999999999</v>
      </c>
      <c r="H1285">
        <v>1.9236070000000001</v>
      </c>
      <c r="I1285" t="s">
        <v>20</v>
      </c>
      <c r="J1285" t="s">
        <v>19</v>
      </c>
      <c r="K1285">
        <v>1.7989170000000001</v>
      </c>
      <c r="L1285" t="s">
        <v>19</v>
      </c>
      <c r="M1285">
        <v>0</v>
      </c>
      <c r="N1285">
        <v>0</v>
      </c>
      <c r="O1285" t="s">
        <v>19</v>
      </c>
      <c r="P1285" t="s">
        <v>21</v>
      </c>
      <c r="Q1285" t="s">
        <v>30</v>
      </c>
    </row>
    <row r="1286" spans="1:17" x14ac:dyDescent="0.2">
      <c r="A1286" t="s">
        <v>17</v>
      </c>
      <c r="B1286">
        <v>28.770039000000001</v>
      </c>
      <c r="C1286">
        <v>1.5808580000000001</v>
      </c>
      <c r="D1286">
        <v>79.713492000000002</v>
      </c>
      <c r="E1286" t="s">
        <v>18</v>
      </c>
      <c r="F1286" t="s">
        <v>18</v>
      </c>
      <c r="G1286">
        <v>2</v>
      </c>
      <c r="H1286">
        <v>1</v>
      </c>
      <c r="I1286" t="s">
        <v>20</v>
      </c>
      <c r="J1286" t="s">
        <v>19</v>
      </c>
      <c r="K1286">
        <v>2</v>
      </c>
      <c r="L1286" t="s">
        <v>19</v>
      </c>
      <c r="M1286">
        <v>5.4050000000000001E-3</v>
      </c>
      <c r="N1286">
        <v>0</v>
      </c>
      <c r="O1286" t="s">
        <v>19</v>
      </c>
      <c r="P1286" t="s">
        <v>21</v>
      </c>
      <c r="Q1286" t="s">
        <v>30</v>
      </c>
    </row>
    <row r="1287" spans="1:17" x14ac:dyDescent="0.2">
      <c r="A1287" t="s">
        <v>17</v>
      </c>
      <c r="B1287">
        <v>42.337282999999999</v>
      </c>
      <c r="C1287">
        <v>1.64639</v>
      </c>
      <c r="D1287">
        <v>86.639860999999996</v>
      </c>
      <c r="E1287" t="s">
        <v>18</v>
      </c>
      <c r="F1287" t="s">
        <v>18</v>
      </c>
      <c r="G1287">
        <v>2.8164600000000002</v>
      </c>
      <c r="H1287">
        <v>2.2737400000000001</v>
      </c>
      <c r="I1287" t="s">
        <v>20</v>
      </c>
      <c r="J1287" t="s">
        <v>19</v>
      </c>
      <c r="K1287">
        <v>1.7220629999999999</v>
      </c>
      <c r="L1287" t="s">
        <v>19</v>
      </c>
      <c r="M1287">
        <v>0</v>
      </c>
      <c r="N1287">
        <v>0</v>
      </c>
      <c r="O1287" t="s">
        <v>19</v>
      </c>
      <c r="P1287" t="s">
        <v>28</v>
      </c>
      <c r="Q1287" t="s">
        <v>30</v>
      </c>
    </row>
    <row r="1288" spans="1:17" x14ac:dyDescent="0.2">
      <c r="A1288" t="s">
        <v>17</v>
      </c>
      <c r="B1288">
        <v>47.283374000000002</v>
      </c>
      <c r="C1288">
        <v>1.643786</v>
      </c>
      <c r="D1288">
        <v>81.978742999999994</v>
      </c>
      <c r="E1288" t="s">
        <v>18</v>
      </c>
      <c r="F1288" t="s">
        <v>18</v>
      </c>
      <c r="G1288">
        <v>2.037585</v>
      </c>
      <c r="H1288">
        <v>1.4189849999999999</v>
      </c>
      <c r="I1288" t="s">
        <v>20</v>
      </c>
      <c r="J1288" t="s">
        <v>19</v>
      </c>
      <c r="K1288">
        <v>1.8273509999999999</v>
      </c>
      <c r="L1288" t="s">
        <v>19</v>
      </c>
      <c r="M1288">
        <v>0</v>
      </c>
      <c r="N1288">
        <v>0</v>
      </c>
      <c r="O1288" t="s">
        <v>19</v>
      </c>
      <c r="P1288" t="s">
        <v>28</v>
      </c>
      <c r="Q1288" t="s">
        <v>30</v>
      </c>
    </row>
    <row r="1289" spans="1:17" x14ac:dyDescent="0.2">
      <c r="A1289" t="s">
        <v>17</v>
      </c>
      <c r="B1289">
        <v>22.518787</v>
      </c>
      <c r="C1289">
        <v>1.634342</v>
      </c>
      <c r="D1289">
        <v>82.414477000000005</v>
      </c>
      <c r="E1289" t="s">
        <v>18</v>
      </c>
      <c r="F1289" t="s">
        <v>18</v>
      </c>
      <c r="G1289">
        <v>1.8533139999999999</v>
      </c>
      <c r="H1289">
        <v>1.3207679999999999</v>
      </c>
      <c r="I1289" t="s">
        <v>20</v>
      </c>
      <c r="J1289" t="s">
        <v>19</v>
      </c>
      <c r="K1289">
        <v>2.1355520000000001</v>
      </c>
      <c r="L1289" t="s">
        <v>19</v>
      </c>
      <c r="M1289">
        <v>0.248034</v>
      </c>
      <c r="N1289">
        <v>1.7278279999999999</v>
      </c>
      <c r="O1289" t="s">
        <v>20</v>
      </c>
      <c r="P1289" t="s">
        <v>21</v>
      </c>
      <c r="Q1289" t="s">
        <v>30</v>
      </c>
    </row>
    <row r="1290" spans="1:17" x14ac:dyDescent="0.2">
      <c r="A1290" t="s">
        <v>17</v>
      </c>
      <c r="B1290">
        <v>22.836314999999999</v>
      </c>
      <c r="C1290">
        <v>1.6048929999999999</v>
      </c>
      <c r="D1290">
        <v>82</v>
      </c>
      <c r="E1290" t="s">
        <v>18</v>
      </c>
      <c r="F1290" t="s">
        <v>18</v>
      </c>
      <c r="G1290">
        <v>1.0087600000000001</v>
      </c>
      <c r="H1290">
        <v>1</v>
      </c>
      <c r="I1290" t="s">
        <v>20</v>
      </c>
      <c r="J1290" t="s">
        <v>19</v>
      </c>
      <c r="K1290">
        <v>2</v>
      </c>
      <c r="L1290" t="s">
        <v>19</v>
      </c>
      <c r="M1290">
        <v>0</v>
      </c>
      <c r="N1290">
        <v>0.58591199999999999</v>
      </c>
      <c r="O1290" t="s">
        <v>20</v>
      </c>
      <c r="P1290" t="s">
        <v>21</v>
      </c>
      <c r="Q1290" t="s">
        <v>30</v>
      </c>
    </row>
    <row r="1291" spans="1:17" x14ac:dyDescent="0.2">
      <c r="A1291" t="s">
        <v>23</v>
      </c>
      <c r="B1291">
        <v>23</v>
      </c>
      <c r="C1291">
        <v>1.6549609999999999</v>
      </c>
      <c r="D1291">
        <v>94.790578999999994</v>
      </c>
      <c r="E1291" t="s">
        <v>18</v>
      </c>
      <c r="F1291" t="s">
        <v>18</v>
      </c>
      <c r="G1291">
        <v>2</v>
      </c>
      <c r="H1291">
        <v>3</v>
      </c>
      <c r="I1291" t="s">
        <v>20</v>
      </c>
      <c r="J1291" t="s">
        <v>19</v>
      </c>
      <c r="K1291">
        <v>1.490613</v>
      </c>
      <c r="L1291" t="s">
        <v>19</v>
      </c>
      <c r="M1291">
        <v>0.65431600000000001</v>
      </c>
      <c r="N1291">
        <v>1</v>
      </c>
      <c r="O1291" t="s">
        <v>19</v>
      </c>
      <c r="P1291" t="s">
        <v>21</v>
      </c>
      <c r="Q1291" t="s">
        <v>30</v>
      </c>
    </row>
    <row r="1292" spans="1:17" x14ac:dyDescent="0.2">
      <c r="A1292" t="s">
        <v>23</v>
      </c>
      <c r="B1292">
        <v>22.975525999999999</v>
      </c>
      <c r="C1292">
        <v>1.701986</v>
      </c>
      <c r="D1292">
        <v>95</v>
      </c>
      <c r="E1292" t="s">
        <v>18</v>
      </c>
      <c r="F1292" t="s">
        <v>18</v>
      </c>
      <c r="G1292">
        <v>2</v>
      </c>
      <c r="H1292">
        <v>3</v>
      </c>
      <c r="I1292" t="s">
        <v>20</v>
      </c>
      <c r="J1292" t="s">
        <v>19</v>
      </c>
      <c r="K1292">
        <v>2.0212699999999999</v>
      </c>
      <c r="L1292" t="s">
        <v>19</v>
      </c>
      <c r="M1292">
        <v>1.8148690000000001</v>
      </c>
      <c r="N1292">
        <v>1.066603</v>
      </c>
      <c r="O1292" t="s">
        <v>19</v>
      </c>
      <c r="P1292" t="s">
        <v>21</v>
      </c>
      <c r="Q1292" t="s">
        <v>30</v>
      </c>
    </row>
    <row r="1293" spans="1:17" x14ac:dyDescent="0.2">
      <c r="A1293" t="s">
        <v>23</v>
      </c>
      <c r="B1293">
        <v>22.720448999999999</v>
      </c>
      <c r="C1293">
        <v>1.65</v>
      </c>
      <c r="D1293">
        <v>89.139208999999994</v>
      </c>
      <c r="E1293" t="s">
        <v>18</v>
      </c>
      <c r="F1293" t="s">
        <v>18</v>
      </c>
      <c r="G1293">
        <v>2.103335</v>
      </c>
      <c r="H1293">
        <v>2.9640240000000002</v>
      </c>
      <c r="I1293" t="s">
        <v>20</v>
      </c>
      <c r="J1293" t="s">
        <v>19</v>
      </c>
      <c r="K1293">
        <v>3</v>
      </c>
      <c r="L1293" t="s">
        <v>19</v>
      </c>
      <c r="M1293">
        <v>0.63294700000000004</v>
      </c>
      <c r="N1293">
        <v>1</v>
      </c>
      <c r="O1293" t="s">
        <v>19</v>
      </c>
      <c r="P1293" t="s">
        <v>21</v>
      </c>
      <c r="Q1293" t="s">
        <v>30</v>
      </c>
    </row>
    <row r="1294" spans="1:17" x14ac:dyDescent="0.2">
      <c r="A1294" t="s">
        <v>23</v>
      </c>
      <c r="B1294">
        <v>23.887568999999999</v>
      </c>
      <c r="C1294">
        <v>1.6579950000000001</v>
      </c>
      <c r="D1294">
        <v>90</v>
      </c>
      <c r="E1294" t="s">
        <v>18</v>
      </c>
      <c r="F1294" t="s">
        <v>18</v>
      </c>
      <c r="G1294">
        <v>2</v>
      </c>
      <c r="H1294">
        <v>3</v>
      </c>
      <c r="I1294" t="s">
        <v>20</v>
      </c>
      <c r="J1294" t="s">
        <v>19</v>
      </c>
      <c r="K1294">
        <v>3</v>
      </c>
      <c r="L1294" t="s">
        <v>19</v>
      </c>
      <c r="M1294">
        <v>0.60363800000000001</v>
      </c>
      <c r="N1294">
        <v>0.96908499999999997</v>
      </c>
      <c r="O1294" t="s">
        <v>19</v>
      </c>
      <c r="P1294" t="s">
        <v>21</v>
      </c>
      <c r="Q1294" t="s">
        <v>30</v>
      </c>
    </row>
    <row r="1295" spans="1:17" x14ac:dyDescent="0.2">
      <c r="A1295" t="s">
        <v>17</v>
      </c>
      <c r="B1295">
        <v>23</v>
      </c>
      <c r="C1295">
        <v>1.6346879999999999</v>
      </c>
      <c r="D1295">
        <v>82.628</v>
      </c>
      <c r="E1295" t="s">
        <v>18</v>
      </c>
      <c r="F1295" t="s">
        <v>18</v>
      </c>
      <c r="G1295">
        <v>2.0609220000000001</v>
      </c>
      <c r="H1295">
        <v>2.9334090000000002</v>
      </c>
      <c r="I1295" t="s">
        <v>20</v>
      </c>
      <c r="J1295" t="s">
        <v>19</v>
      </c>
      <c r="K1295">
        <v>2.2352820000000002</v>
      </c>
      <c r="L1295" t="s">
        <v>19</v>
      </c>
      <c r="M1295">
        <v>0.380633</v>
      </c>
      <c r="N1295">
        <v>2.5999999999999999E-3</v>
      </c>
      <c r="O1295" t="s">
        <v>19</v>
      </c>
      <c r="P1295" t="s">
        <v>21</v>
      </c>
      <c r="Q1295" t="s">
        <v>30</v>
      </c>
    </row>
    <row r="1296" spans="1:17" x14ac:dyDescent="0.2">
      <c r="A1296" t="s">
        <v>17</v>
      </c>
      <c r="B1296">
        <v>23</v>
      </c>
      <c r="C1296">
        <v>1.6281680000000001</v>
      </c>
      <c r="D1296">
        <v>84.497979999999998</v>
      </c>
      <c r="E1296" t="s">
        <v>18</v>
      </c>
      <c r="F1296" t="s">
        <v>18</v>
      </c>
      <c r="G1296">
        <v>2.0586869999999999</v>
      </c>
      <c r="H1296">
        <v>2.9620039999999999</v>
      </c>
      <c r="I1296" t="s">
        <v>20</v>
      </c>
      <c r="J1296" t="s">
        <v>19</v>
      </c>
      <c r="K1296">
        <v>2.010596</v>
      </c>
      <c r="L1296" t="s">
        <v>19</v>
      </c>
      <c r="M1296">
        <v>0.85105900000000001</v>
      </c>
      <c r="N1296">
        <v>0.63086600000000004</v>
      </c>
      <c r="O1296" t="s">
        <v>19</v>
      </c>
      <c r="P1296" t="s">
        <v>21</v>
      </c>
      <c r="Q1296" t="s">
        <v>30</v>
      </c>
    </row>
    <row r="1297" spans="1:17" x14ac:dyDescent="0.2">
      <c r="A1297" t="s">
        <v>17</v>
      </c>
      <c r="B1297">
        <v>38.148845000000001</v>
      </c>
      <c r="C1297">
        <v>1.5578080000000001</v>
      </c>
      <c r="D1297">
        <v>79.661693</v>
      </c>
      <c r="E1297" t="s">
        <v>18</v>
      </c>
      <c r="F1297" t="s">
        <v>18</v>
      </c>
      <c r="G1297">
        <v>2</v>
      </c>
      <c r="H1297">
        <v>3</v>
      </c>
      <c r="I1297" t="s">
        <v>20</v>
      </c>
      <c r="J1297" t="s">
        <v>19</v>
      </c>
      <c r="K1297">
        <v>1.2747740000000001</v>
      </c>
      <c r="L1297" t="s">
        <v>19</v>
      </c>
      <c r="M1297">
        <v>0</v>
      </c>
      <c r="N1297">
        <v>0</v>
      </c>
      <c r="O1297" t="s">
        <v>20</v>
      </c>
      <c r="P1297" t="s">
        <v>28</v>
      </c>
      <c r="Q1297" t="s">
        <v>30</v>
      </c>
    </row>
    <row r="1298" spans="1:17" x14ac:dyDescent="0.2">
      <c r="A1298" t="s">
        <v>17</v>
      </c>
      <c r="B1298">
        <v>37.965429999999998</v>
      </c>
      <c r="C1298">
        <v>1.5601989999999999</v>
      </c>
      <c r="D1298">
        <v>80</v>
      </c>
      <c r="E1298" t="s">
        <v>18</v>
      </c>
      <c r="F1298" t="s">
        <v>18</v>
      </c>
      <c r="G1298">
        <v>2.5336050000000001</v>
      </c>
      <c r="H1298">
        <v>1.2716240000000001</v>
      </c>
      <c r="I1298" t="s">
        <v>20</v>
      </c>
      <c r="J1298" t="s">
        <v>19</v>
      </c>
      <c r="K1298">
        <v>1.893691</v>
      </c>
      <c r="L1298" t="s">
        <v>19</v>
      </c>
      <c r="M1298">
        <v>1.296535</v>
      </c>
      <c r="N1298">
        <v>0</v>
      </c>
      <c r="O1298" t="s">
        <v>20</v>
      </c>
      <c r="P1298" t="s">
        <v>28</v>
      </c>
      <c r="Q1298" t="s">
        <v>30</v>
      </c>
    </row>
    <row r="1299" spans="1:17" x14ac:dyDescent="0.2">
      <c r="A1299" t="s">
        <v>23</v>
      </c>
      <c r="B1299">
        <v>22.771612000000001</v>
      </c>
      <c r="C1299">
        <v>1.7503839999999999</v>
      </c>
      <c r="D1299">
        <v>95.324281999999997</v>
      </c>
      <c r="E1299" t="s">
        <v>18</v>
      </c>
      <c r="F1299" t="s">
        <v>18</v>
      </c>
      <c r="G1299">
        <v>2</v>
      </c>
      <c r="H1299">
        <v>3</v>
      </c>
      <c r="I1299" t="s">
        <v>20</v>
      </c>
      <c r="J1299" t="s">
        <v>19</v>
      </c>
      <c r="K1299">
        <v>3</v>
      </c>
      <c r="L1299" t="s">
        <v>19</v>
      </c>
      <c r="M1299">
        <v>3</v>
      </c>
      <c r="N1299">
        <v>2</v>
      </c>
      <c r="O1299" t="s">
        <v>19</v>
      </c>
      <c r="P1299" t="s">
        <v>21</v>
      </c>
      <c r="Q1299" t="s">
        <v>30</v>
      </c>
    </row>
    <row r="1300" spans="1:17" x14ac:dyDescent="0.2">
      <c r="A1300" t="s">
        <v>23</v>
      </c>
      <c r="B1300">
        <v>22.582370999999998</v>
      </c>
      <c r="C1300">
        <v>1.7530809999999999</v>
      </c>
      <c r="D1300">
        <v>95.269088999999994</v>
      </c>
      <c r="E1300" t="s">
        <v>18</v>
      </c>
      <c r="F1300" t="s">
        <v>18</v>
      </c>
      <c r="G1300">
        <v>2</v>
      </c>
      <c r="H1300">
        <v>3</v>
      </c>
      <c r="I1300" t="s">
        <v>20</v>
      </c>
      <c r="J1300" t="s">
        <v>19</v>
      </c>
      <c r="K1300">
        <v>3</v>
      </c>
      <c r="L1300" t="s">
        <v>19</v>
      </c>
      <c r="M1300">
        <v>3</v>
      </c>
      <c r="N1300">
        <v>2</v>
      </c>
      <c r="O1300" t="s">
        <v>19</v>
      </c>
      <c r="P1300" t="s">
        <v>21</v>
      </c>
      <c r="Q1300" t="s">
        <v>30</v>
      </c>
    </row>
    <row r="1301" spans="1:17" x14ac:dyDescent="0.2">
      <c r="A1301" t="s">
        <v>17</v>
      </c>
      <c r="B1301">
        <v>21.008050999999998</v>
      </c>
      <c r="C1301">
        <v>1.65</v>
      </c>
      <c r="D1301">
        <v>88.126543999999996</v>
      </c>
      <c r="E1301" t="s">
        <v>18</v>
      </c>
      <c r="F1301" t="s">
        <v>18</v>
      </c>
      <c r="G1301">
        <v>2.4575469999999999</v>
      </c>
      <c r="H1301">
        <v>1.00061</v>
      </c>
      <c r="I1301" t="s">
        <v>20</v>
      </c>
      <c r="J1301" t="s">
        <v>19</v>
      </c>
      <c r="K1301">
        <v>3</v>
      </c>
      <c r="L1301" t="s">
        <v>19</v>
      </c>
      <c r="M1301">
        <v>1.3615330000000001</v>
      </c>
      <c r="N1301">
        <v>1</v>
      </c>
      <c r="O1301" t="s">
        <v>19</v>
      </c>
      <c r="P1301" t="s">
        <v>21</v>
      </c>
      <c r="Q1301" t="s">
        <v>30</v>
      </c>
    </row>
    <row r="1302" spans="1:17" x14ac:dyDescent="0.2">
      <c r="A1302" t="s">
        <v>17</v>
      </c>
      <c r="B1302">
        <v>22.591025999999999</v>
      </c>
      <c r="C1302">
        <v>1.650012</v>
      </c>
      <c r="D1302">
        <v>87.676153999999997</v>
      </c>
      <c r="E1302" t="s">
        <v>18</v>
      </c>
      <c r="F1302" t="s">
        <v>18</v>
      </c>
      <c r="G1302">
        <v>2.983851</v>
      </c>
      <c r="H1302">
        <v>1.068443</v>
      </c>
      <c r="I1302" t="s">
        <v>20</v>
      </c>
      <c r="J1302" t="s">
        <v>19</v>
      </c>
      <c r="K1302">
        <v>2.8541609999999999</v>
      </c>
      <c r="L1302" t="s">
        <v>19</v>
      </c>
      <c r="M1302">
        <v>1.1032090000000001</v>
      </c>
      <c r="N1302">
        <v>1</v>
      </c>
      <c r="O1302" t="s">
        <v>19</v>
      </c>
      <c r="P1302" t="s">
        <v>21</v>
      </c>
      <c r="Q1302" t="s">
        <v>30</v>
      </c>
    </row>
    <row r="1303" spans="1:17" x14ac:dyDescent="0.2">
      <c r="A1303" t="s">
        <v>17</v>
      </c>
      <c r="B1303">
        <v>16.129279</v>
      </c>
      <c r="C1303">
        <v>1.65</v>
      </c>
      <c r="D1303">
        <v>85.583484999999996</v>
      </c>
      <c r="E1303" t="s">
        <v>18</v>
      </c>
      <c r="F1303" t="s">
        <v>18</v>
      </c>
      <c r="G1303">
        <v>2.954996</v>
      </c>
      <c r="H1303">
        <v>3</v>
      </c>
      <c r="I1303" t="s">
        <v>20</v>
      </c>
      <c r="J1303" t="s">
        <v>19</v>
      </c>
      <c r="K1303">
        <v>1</v>
      </c>
      <c r="L1303" t="s">
        <v>19</v>
      </c>
      <c r="M1303">
        <v>2.0918619999999999</v>
      </c>
      <c r="N1303">
        <v>1.06053</v>
      </c>
      <c r="O1303" t="s">
        <v>19</v>
      </c>
      <c r="P1303" t="s">
        <v>21</v>
      </c>
      <c r="Q1303" t="s">
        <v>30</v>
      </c>
    </row>
    <row r="1304" spans="1:17" x14ac:dyDescent="0.2">
      <c r="A1304" t="s">
        <v>17</v>
      </c>
      <c r="B1304">
        <v>16.913841000000001</v>
      </c>
      <c r="C1304">
        <v>1.6348320000000001</v>
      </c>
      <c r="D1304">
        <v>85.803809000000001</v>
      </c>
      <c r="E1304" t="s">
        <v>18</v>
      </c>
      <c r="F1304" t="s">
        <v>18</v>
      </c>
      <c r="G1304">
        <v>2.0619689999999999</v>
      </c>
      <c r="H1304">
        <v>3</v>
      </c>
      <c r="I1304" t="s">
        <v>20</v>
      </c>
      <c r="J1304" t="s">
        <v>19</v>
      </c>
      <c r="K1304">
        <v>1.229171</v>
      </c>
      <c r="L1304" t="s">
        <v>19</v>
      </c>
      <c r="M1304">
        <v>2.3920469999999998</v>
      </c>
      <c r="N1304">
        <v>1.256119</v>
      </c>
      <c r="O1304" t="s">
        <v>19</v>
      </c>
      <c r="P1304" t="s">
        <v>21</v>
      </c>
      <c r="Q1304" t="s">
        <v>30</v>
      </c>
    </row>
    <row r="1305" spans="1:17" x14ac:dyDescent="0.2">
      <c r="A1305" t="s">
        <v>23</v>
      </c>
      <c r="B1305">
        <v>29.438790000000001</v>
      </c>
      <c r="C1305">
        <v>1.7701260000000001</v>
      </c>
      <c r="D1305">
        <v>108.602715</v>
      </c>
      <c r="E1305" t="s">
        <v>18</v>
      </c>
      <c r="F1305" t="s">
        <v>18</v>
      </c>
      <c r="G1305">
        <v>3</v>
      </c>
      <c r="H1305">
        <v>3</v>
      </c>
      <c r="I1305" t="s">
        <v>20</v>
      </c>
      <c r="J1305" t="s">
        <v>19</v>
      </c>
      <c r="K1305">
        <v>1.1632640000000001</v>
      </c>
      <c r="L1305" t="s">
        <v>19</v>
      </c>
      <c r="M1305">
        <v>1.866023</v>
      </c>
      <c r="N1305">
        <v>1.604608</v>
      </c>
      <c r="O1305" t="s">
        <v>20</v>
      </c>
      <c r="P1305" t="s">
        <v>28</v>
      </c>
      <c r="Q1305" t="s">
        <v>30</v>
      </c>
    </row>
    <row r="1306" spans="1:17" x14ac:dyDescent="0.2">
      <c r="A1306" t="s">
        <v>23</v>
      </c>
      <c r="B1306">
        <v>29.881301000000001</v>
      </c>
      <c r="C1306">
        <v>1.758189</v>
      </c>
      <c r="D1306">
        <v>108.72189299999999</v>
      </c>
      <c r="E1306" t="s">
        <v>18</v>
      </c>
      <c r="F1306" t="s">
        <v>18</v>
      </c>
      <c r="G1306">
        <v>3</v>
      </c>
      <c r="H1306">
        <v>3</v>
      </c>
      <c r="I1306" t="s">
        <v>20</v>
      </c>
      <c r="J1306" t="s">
        <v>19</v>
      </c>
      <c r="K1306">
        <v>1.2711779999999999</v>
      </c>
      <c r="L1306" t="s">
        <v>19</v>
      </c>
      <c r="M1306">
        <v>1.944728</v>
      </c>
      <c r="N1306">
        <v>0</v>
      </c>
      <c r="O1306" t="s">
        <v>20</v>
      </c>
      <c r="P1306" t="s">
        <v>28</v>
      </c>
      <c r="Q1306" t="s">
        <v>30</v>
      </c>
    </row>
    <row r="1307" spans="1:17" x14ac:dyDescent="0.2">
      <c r="A1307" t="s">
        <v>17</v>
      </c>
      <c r="B1307">
        <v>43.591999000000001</v>
      </c>
      <c r="C1307">
        <v>1.5951649999999999</v>
      </c>
      <c r="D1307">
        <v>77.354743999999997</v>
      </c>
      <c r="E1307" t="s">
        <v>18</v>
      </c>
      <c r="F1307" t="s">
        <v>18</v>
      </c>
      <c r="G1307">
        <v>2</v>
      </c>
      <c r="H1307">
        <v>3</v>
      </c>
      <c r="I1307" t="s">
        <v>20</v>
      </c>
      <c r="J1307" t="s">
        <v>19</v>
      </c>
      <c r="K1307">
        <v>2.117346</v>
      </c>
      <c r="L1307" t="s">
        <v>19</v>
      </c>
      <c r="M1307">
        <v>0</v>
      </c>
      <c r="N1307">
        <v>0</v>
      </c>
      <c r="O1307" t="s">
        <v>19</v>
      </c>
      <c r="P1307" t="s">
        <v>28</v>
      </c>
      <c r="Q1307" t="s">
        <v>30</v>
      </c>
    </row>
    <row r="1308" spans="1:17" x14ac:dyDescent="0.2">
      <c r="A1308" t="s">
        <v>17</v>
      </c>
      <c r="B1308">
        <v>40.993178999999998</v>
      </c>
      <c r="C1308">
        <v>1.5677559999999999</v>
      </c>
      <c r="D1308">
        <v>79.493626000000006</v>
      </c>
      <c r="E1308" t="s">
        <v>18</v>
      </c>
      <c r="F1308" t="s">
        <v>18</v>
      </c>
      <c r="G1308">
        <v>2</v>
      </c>
      <c r="H1308">
        <v>3</v>
      </c>
      <c r="I1308" t="s">
        <v>20</v>
      </c>
      <c r="J1308" t="s">
        <v>19</v>
      </c>
      <c r="K1308">
        <v>2.9525060000000001</v>
      </c>
      <c r="L1308" t="s">
        <v>19</v>
      </c>
      <c r="M1308">
        <v>0</v>
      </c>
      <c r="N1308">
        <v>0</v>
      </c>
      <c r="O1308" t="s">
        <v>19</v>
      </c>
      <c r="P1308" t="s">
        <v>28</v>
      </c>
      <c r="Q1308" t="s">
        <v>30</v>
      </c>
    </row>
    <row r="1309" spans="1:17" x14ac:dyDescent="0.2">
      <c r="A1309" t="s">
        <v>23</v>
      </c>
      <c r="B1309">
        <v>22.936098000000001</v>
      </c>
      <c r="C1309">
        <v>1.702825</v>
      </c>
      <c r="D1309">
        <v>93.638317999999998</v>
      </c>
      <c r="E1309" t="s">
        <v>18</v>
      </c>
      <c r="F1309" t="s">
        <v>18</v>
      </c>
      <c r="G1309">
        <v>2</v>
      </c>
      <c r="H1309">
        <v>3</v>
      </c>
      <c r="I1309" t="s">
        <v>20</v>
      </c>
      <c r="J1309" t="s">
        <v>19</v>
      </c>
      <c r="K1309">
        <v>1.746197</v>
      </c>
      <c r="L1309" t="s">
        <v>19</v>
      </c>
      <c r="M1309">
        <v>0.45521600000000001</v>
      </c>
      <c r="N1309">
        <v>0.33515800000000001</v>
      </c>
      <c r="O1309" t="s">
        <v>19</v>
      </c>
      <c r="P1309" t="s">
        <v>21</v>
      </c>
      <c r="Q1309" t="s">
        <v>30</v>
      </c>
    </row>
    <row r="1310" spans="1:17" x14ac:dyDescent="0.2">
      <c r="A1310" t="s">
        <v>23</v>
      </c>
      <c r="B1310">
        <v>23</v>
      </c>
      <c r="C1310">
        <v>1.7356590000000001</v>
      </c>
      <c r="D1310">
        <v>93.429204999999996</v>
      </c>
      <c r="E1310" t="s">
        <v>18</v>
      </c>
      <c r="F1310" t="s">
        <v>18</v>
      </c>
      <c r="G1310">
        <v>2</v>
      </c>
      <c r="H1310">
        <v>3</v>
      </c>
      <c r="I1310" t="s">
        <v>20</v>
      </c>
      <c r="J1310" t="s">
        <v>19</v>
      </c>
      <c r="K1310">
        <v>1.2493069999999999</v>
      </c>
      <c r="L1310" t="s">
        <v>19</v>
      </c>
      <c r="M1310">
        <v>0.97346500000000002</v>
      </c>
      <c r="N1310">
        <v>1</v>
      </c>
      <c r="O1310" t="s">
        <v>19</v>
      </c>
      <c r="P1310" t="s">
        <v>21</v>
      </c>
      <c r="Q1310" t="s">
        <v>30</v>
      </c>
    </row>
    <row r="1311" spans="1:17" x14ac:dyDescent="0.2">
      <c r="A1311" t="s">
        <v>17</v>
      </c>
      <c r="B1311">
        <v>37.597952999999997</v>
      </c>
      <c r="C1311">
        <v>1.6290100000000001</v>
      </c>
      <c r="D1311">
        <v>80</v>
      </c>
      <c r="E1311" t="s">
        <v>18</v>
      </c>
      <c r="F1311" t="s">
        <v>18</v>
      </c>
      <c r="G1311">
        <v>2.4507840000000001</v>
      </c>
      <c r="H1311">
        <v>2.9528210000000001</v>
      </c>
      <c r="I1311" t="s">
        <v>20</v>
      </c>
      <c r="J1311" t="s">
        <v>19</v>
      </c>
      <c r="K1311">
        <v>1.3351919999999999</v>
      </c>
      <c r="L1311" t="s">
        <v>19</v>
      </c>
      <c r="M1311">
        <v>0.18027599999999999</v>
      </c>
      <c r="N1311">
        <v>0</v>
      </c>
      <c r="O1311" t="s">
        <v>20</v>
      </c>
      <c r="P1311" t="s">
        <v>28</v>
      </c>
      <c r="Q1311" t="s">
        <v>30</v>
      </c>
    </row>
    <row r="1312" spans="1:17" x14ac:dyDescent="0.2">
      <c r="A1312" t="s">
        <v>17</v>
      </c>
      <c r="B1312">
        <v>37.532066</v>
      </c>
      <c r="C1312">
        <v>1.6153850000000001</v>
      </c>
      <c r="D1312">
        <v>80</v>
      </c>
      <c r="E1312" t="s">
        <v>18</v>
      </c>
      <c r="F1312" t="s">
        <v>18</v>
      </c>
      <c r="G1312">
        <v>2.972426</v>
      </c>
      <c r="H1312">
        <v>3</v>
      </c>
      <c r="I1312" t="s">
        <v>20</v>
      </c>
      <c r="J1312" t="s">
        <v>19</v>
      </c>
      <c r="K1312">
        <v>1.6363259999999999</v>
      </c>
      <c r="L1312" t="s">
        <v>19</v>
      </c>
      <c r="M1312">
        <v>0</v>
      </c>
      <c r="N1312">
        <v>0</v>
      </c>
      <c r="O1312" t="s">
        <v>20</v>
      </c>
      <c r="P1312" t="s">
        <v>28</v>
      </c>
      <c r="Q1312" t="s">
        <v>30</v>
      </c>
    </row>
    <row r="1313" spans="1:17" x14ac:dyDescent="0.2">
      <c r="A1313" t="s">
        <v>23</v>
      </c>
      <c r="B1313">
        <v>31.630054000000001</v>
      </c>
      <c r="C1313">
        <v>1.671705</v>
      </c>
      <c r="D1313">
        <v>90</v>
      </c>
      <c r="E1313" t="s">
        <v>18</v>
      </c>
      <c r="F1313" t="s">
        <v>18</v>
      </c>
      <c r="G1313">
        <v>2.4670019999999999</v>
      </c>
      <c r="H1313">
        <v>1.8510880000000001</v>
      </c>
      <c r="I1313" t="s">
        <v>20</v>
      </c>
      <c r="J1313" t="s">
        <v>19</v>
      </c>
      <c r="K1313">
        <v>2.1040540000000001</v>
      </c>
      <c r="L1313" t="s">
        <v>19</v>
      </c>
      <c r="M1313">
        <v>1.991565</v>
      </c>
      <c r="N1313">
        <v>0</v>
      </c>
      <c r="O1313" t="s">
        <v>20</v>
      </c>
      <c r="P1313" t="s">
        <v>28</v>
      </c>
      <c r="Q1313" t="s">
        <v>30</v>
      </c>
    </row>
    <row r="1314" spans="1:17" x14ac:dyDescent="0.2">
      <c r="A1314" t="s">
        <v>23</v>
      </c>
      <c r="B1314">
        <v>31.641081</v>
      </c>
      <c r="C1314">
        <v>1.6765950000000001</v>
      </c>
      <c r="D1314">
        <v>89.993812000000005</v>
      </c>
      <c r="E1314" t="s">
        <v>18</v>
      </c>
      <c r="F1314" t="s">
        <v>18</v>
      </c>
      <c r="G1314">
        <v>2.9346709999999998</v>
      </c>
      <c r="H1314">
        <v>2.1196820000000001</v>
      </c>
      <c r="I1314" t="s">
        <v>20</v>
      </c>
      <c r="J1314" t="s">
        <v>19</v>
      </c>
      <c r="K1314">
        <v>2.0414620000000001</v>
      </c>
      <c r="L1314" t="s">
        <v>19</v>
      </c>
      <c r="M1314">
        <v>0.57807399999999998</v>
      </c>
      <c r="N1314">
        <v>0</v>
      </c>
      <c r="O1314" t="s">
        <v>20</v>
      </c>
      <c r="P1314" t="s">
        <v>28</v>
      </c>
      <c r="Q1314" t="s">
        <v>30</v>
      </c>
    </row>
    <row r="1315" spans="1:17" x14ac:dyDescent="0.2">
      <c r="A1315" t="s">
        <v>23</v>
      </c>
      <c r="B1315">
        <v>21.872484</v>
      </c>
      <c r="C1315">
        <v>1.6999979999999999</v>
      </c>
      <c r="D1315">
        <v>95.564428000000007</v>
      </c>
      <c r="E1315" t="s">
        <v>18</v>
      </c>
      <c r="F1315" t="s">
        <v>18</v>
      </c>
      <c r="G1315">
        <v>2</v>
      </c>
      <c r="H1315">
        <v>2.970675</v>
      </c>
      <c r="I1315" t="s">
        <v>20</v>
      </c>
      <c r="J1315" t="s">
        <v>19</v>
      </c>
      <c r="K1315">
        <v>2</v>
      </c>
      <c r="L1315" t="s">
        <v>19</v>
      </c>
      <c r="M1315">
        <v>0</v>
      </c>
      <c r="N1315">
        <v>0.169294</v>
      </c>
      <c r="O1315" t="s">
        <v>19</v>
      </c>
      <c r="P1315" t="s">
        <v>21</v>
      </c>
      <c r="Q1315" t="s">
        <v>30</v>
      </c>
    </row>
    <row r="1316" spans="1:17" x14ac:dyDescent="0.2">
      <c r="A1316" t="s">
        <v>23</v>
      </c>
      <c r="B1316">
        <v>21.834893999999998</v>
      </c>
      <c r="C1316">
        <v>1.722785</v>
      </c>
      <c r="D1316">
        <v>94.094183999999998</v>
      </c>
      <c r="E1316" t="s">
        <v>18</v>
      </c>
      <c r="F1316" t="s">
        <v>18</v>
      </c>
      <c r="G1316">
        <v>2</v>
      </c>
      <c r="H1316">
        <v>2.9668030000000001</v>
      </c>
      <c r="I1316" t="s">
        <v>20</v>
      </c>
      <c r="J1316" t="s">
        <v>19</v>
      </c>
      <c r="K1316">
        <v>2</v>
      </c>
      <c r="L1316" t="s">
        <v>19</v>
      </c>
      <c r="M1316">
        <v>0</v>
      </c>
      <c r="N1316">
        <v>1.281541</v>
      </c>
      <c r="O1316" t="s">
        <v>19</v>
      </c>
      <c r="P1316" t="s">
        <v>21</v>
      </c>
      <c r="Q1316" t="s">
        <v>30</v>
      </c>
    </row>
    <row r="1317" spans="1:17" x14ac:dyDescent="0.2">
      <c r="A1317" t="s">
        <v>23</v>
      </c>
      <c r="B1317">
        <v>36.023972000000001</v>
      </c>
      <c r="C1317">
        <v>1.6706669999999999</v>
      </c>
      <c r="D1317">
        <v>90.575934000000004</v>
      </c>
      <c r="E1317" t="s">
        <v>18</v>
      </c>
      <c r="F1317" t="s">
        <v>18</v>
      </c>
      <c r="G1317">
        <v>2.9035449999999998</v>
      </c>
      <c r="H1317">
        <v>1.5086850000000001</v>
      </c>
      <c r="I1317" t="s">
        <v>20</v>
      </c>
      <c r="J1317" t="s">
        <v>19</v>
      </c>
      <c r="K1317">
        <v>2.4500690000000001</v>
      </c>
      <c r="L1317" t="s">
        <v>19</v>
      </c>
      <c r="M1317">
        <v>1.4547300000000001</v>
      </c>
      <c r="N1317">
        <v>0</v>
      </c>
      <c r="O1317" t="s">
        <v>20</v>
      </c>
      <c r="P1317" t="s">
        <v>28</v>
      </c>
      <c r="Q1317" t="s">
        <v>30</v>
      </c>
    </row>
    <row r="1318" spans="1:17" x14ac:dyDescent="0.2">
      <c r="A1318" t="s">
        <v>23</v>
      </c>
      <c r="B1318">
        <v>39.656559000000001</v>
      </c>
      <c r="C1318">
        <v>1.789992</v>
      </c>
      <c r="D1318">
        <v>98.021766</v>
      </c>
      <c r="E1318" t="s">
        <v>18</v>
      </c>
      <c r="F1318" t="s">
        <v>18</v>
      </c>
      <c r="G1318">
        <v>2.0433590000000001</v>
      </c>
      <c r="H1318">
        <v>2.209314</v>
      </c>
      <c r="I1318" t="s">
        <v>20</v>
      </c>
      <c r="J1318" t="s">
        <v>19</v>
      </c>
      <c r="K1318">
        <v>2.7858040000000002</v>
      </c>
      <c r="L1318" t="s">
        <v>19</v>
      </c>
      <c r="M1318">
        <v>1.2596130000000001</v>
      </c>
      <c r="N1318">
        <v>0.66961599999999999</v>
      </c>
      <c r="O1318" t="s">
        <v>20</v>
      </c>
      <c r="P1318" t="s">
        <v>28</v>
      </c>
      <c r="Q1318" t="s">
        <v>30</v>
      </c>
    </row>
    <row r="1319" spans="1:17" x14ac:dyDescent="0.2">
      <c r="A1319" t="s">
        <v>23</v>
      </c>
      <c r="B1319">
        <v>24.184891</v>
      </c>
      <c r="C1319">
        <v>1.768834</v>
      </c>
      <c r="D1319">
        <v>97.449742999999998</v>
      </c>
      <c r="E1319" t="s">
        <v>18</v>
      </c>
      <c r="F1319" t="s">
        <v>18</v>
      </c>
      <c r="G1319">
        <v>2</v>
      </c>
      <c r="H1319">
        <v>3</v>
      </c>
      <c r="I1319" t="s">
        <v>20</v>
      </c>
      <c r="J1319" t="s">
        <v>19</v>
      </c>
      <c r="K1319">
        <v>2.9737290000000001</v>
      </c>
      <c r="L1319" t="s">
        <v>19</v>
      </c>
      <c r="M1319">
        <v>2.4916420000000001</v>
      </c>
      <c r="N1319">
        <v>1.36595</v>
      </c>
      <c r="O1319" t="s">
        <v>19</v>
      </c>
      <c r="P1319" t="s">
        <v>21</v>
      </c>
      <c r="Q1319" t="s">
        <v>30</v>
      </c>
    </row>
    <row r="1320" spans="1:17" x14ac:dyDescent="0.2">
      <c r="A1320" t="s">
        <v>23</v>
      </c>
      <c r="B1320">
        <v>23.237302</v>
      </c>
      <c r="C1320">
        <v>1.7610079999999999</v>
      </c>
      <c r="D1320">
        <v>97.829344000000006</v>
      </c>
      <c r="E1320" t="s">
        <v>18</v>
      </c>
      <c r="F1320" t="s">
        <v>18</v>
      </c>
      <c r="G1320">
        <v>2</v>
      </c>
      <c r="H1320">
        <v>3</v>
      </c>
      <c r="I1320" t="s">
        <v>20</v>
      </c>
      <c r="J1320" t="s">
        <v>19</v>
      </c>
      <c r="K1320">
        <v>2.9887709999999998</v>
      </c>
      <c r="L1320" t="s">
        <v>19</v>
      </c>
      <c r="M1320">
        <v>2.4299230000000001</v>
      </c>
      <c r="N1320">
        <v>1.978043</v>
      </c>
      <c r="O1320" t="s">
        <v>19</v>
      </c>
      <c r="P1320" t="s">
        <v>21</v>
      </c>
      <c r="Q1320" t="s">
        <v>30</v>
      </c>
    </row>
    <row r="1321" spans="1:17" x14ac:dyDescent="0.2">
      <c r="A1321" t="s">
        <v>23</v>
      </c>
      <c r="B1321">
        <v>35.322111999999997</v>
      </c>
      <c r="C1321">
        <v>1.78</v>
      </c>
      <c r="D1321">
        <v>102.26595500000001</v>
      </c>
      <c r="E1321" t="s">
        <v>18</v>
      </c>
      <c r="F1321" t="s">
        <v>18</v>
      </c>
      <c r="G1321">
        <v>2.7875890000000001</v>
      </c>
      <c r="H1321">
        <v>1.1145640000000001</v>
      </c>
      <c r="I1321" t="s">
        <v>20</v>
      </c>
      <c r="J1321" t="s">
        <v>19</v>
      </c>
      <c r="K1321">
        <v>3</v>
      </c>
      <c r="L1321" t="s">
        <v>19</v>
      </c>
      <c r="M1321">
        <v>2.7103380000000001</v>
      </c>
      <c r="N1321">
        <v>0.57218500000000005</v>
      </c>
      <c r="O1321" t="s">
        <v>20</v>
      </c>
      <c r="P1321" t="s">
        <v>28</v>
      </c>
      <c r="Q1321" t="s">
        <v>30</v>
      </c>
    </row>
    <row r="1322" spans="1:17" x14ac:dyDescent="0.2">
      <c r="A1322" t="s">
        <v>23</v>
      </c>
      <c r="B1322">
        <v>31.387982000000001</v>
      </c>
      <c r="C1322">
        <v>1.8102149999999999</v>
      </c>
      <c r="D1322">
        <v>105.25435400000001</v>
      </c>
      <c r="E1322" t="s">
        <v>18</v>
      </c>
      <c r="F1322" t="s">
        <v>18</v>
      </c>
      <c r="G1322">
        <v>2.3972799999999999</v>
      </c>
      <c r="H1322">
        <v>2.036794</v>
      </c>
      <c r="I1322" t="s">
        <v>20</v>
      </c>
      <c r="J1322" t="s">
        <v>19</v>
      </c>
      <c r="K1322">
        <v>2.6594190000000002</v>
      </c>
      <c r="L1322" t="s">
        <v>19</v>
      </c>
      <c r="M1322">
        <v>1.062011</v>
      </c>
      <c r="N1322">
        <v>1.7711349999999999</v>
      </c>
      <c r="O1322" t="s">
        <v>20</v>
      </c>
      <c r="P1322" t="s">
        <v>28</v>
      </c>
      <c r="Q1322" t="s">
        <v>30</v>
      </c>
    </row>
    <row r="1323" spans="1:17" x14ac:dyDescent="0.2">
      <c r="A1323" t="s">
        <v>17</v>
      </c>
      <c r="B1323">
        <v>23</v>
      </c>
      <c r="C1323">
        <v>1.6084689999999999</v>
      </c>
      <c r="D1323">
        <v>82.954796000000002</v>
      </c>
      <c r="E1323" t="s">
        <v>18</v>
      </c>
      <c r="F1323" t="s">
        <v>18</v>
      </c>
      <c r="G1323">
        <v>2.1500539999999999</v>
      </c>
      <c r="H1323">
        <v>2.9885389999999998</v>
      </c>
      <c r="I1323" t="s">
        <v>20</v>
      </c>
      <c r="J1323" t="s">
        <v>19</v>
      </c>
      <c r="K1323">
        <v>2.7683249999999999</v>
      </c>
      <c r="L1323" t="s">
        <v>19</v>
      </c>
      <c r="M1323">
        <v>2.0851500000000001</v>
      </c>
      <c r="N1323">
        <v>0</v>
      </c>
      <c r="O1323" t="s">
        <v>19</v>
      </c>
      <c r="P1323" t="s">
        <v>21</v>
      </c>
      <c r="Q1323" t="s">
        <v>30</v>
      </c>
    </row>
    <row r="1324" spans="1:17" x14ac:dyDescent="0.2">
      <c r="A1324" t="s">
        <v>17</v>
      </c>
      <c r="B1324">
        <v>23</v>
      </c>
      <c r="C1324">
        <v>1.6303570000000001</v>
      </c>
      <c r="D1324">
        <v>83.101100000000002</v>
      </c>
      <c r="E1324" t="s">
        <v>18</v>
      </c>
      <c r="F1324" t="s">
        <v>18</v>
      </c>
      <c r="G1324">
        <v>2.9775849999999999</v>
      </c>
      <c r="H1324">
        <v>1.630506</v>
      </c>
      <c r="I1324" t="s">
        <v>20</v>
      </c>
      <c r="J1324" t="s">
        <v>19</v>
      </c>
      <c r="K1324">
        <v>2.8393190000000001</v>
      </c>
      <c r="L1324" t="s">
        <v>19</v>
      </c>
      <c r="M1324">
        <v>1.0914740000000001</v>
      </c>
      <c r="N1324">
        <v>0.889517</v>
      </c>
      <c r="O1324" t="s">
        <v>19</v>
      </c>
      <c r="P1324" t="s">
        <v>21</v>
      </c>
      <c r="Q1324" t="s">
        <v>30</v>
      </c>
    </row>
    <row r="1325" spans="1:17" x14ac:dyDescent="0.2">
      <c r="A1325" t="s">
        <v>17</v>
      </c>
      <c r="B1325">
        <v>22.679454</v>
      </c>
      <c r="C1325">
        <v>1.62826</v>
      </c>
      <c r="D1325">
        <v>82.967937000000006</v>
      </c>
      <c r="E1325" t="s">
        <v>18</v>
      </c>
      <c r="F1325" t="s">
        <v>18</v>
      </c>
      <c r="G1325">
        <v>2.2744909999999998</v>
      </c>
      <c r="H1325">
        <v>1</v>
      </c>
      <c r="I1325" t="s">
        <v>20</v>
      </c>
      <c r="J1325" t="s">
        <v>19</v>
      </c>
      <c r="K1325">
        <v>2.2694999999999999</v>
      </c>
      <c r="L1325" t="s">
        <v>19</v>
      </c>
      <c r="M1325">
        <v>0.946461</v>
      </c>
      <c r="N1325">
        <v>1.7310700000000001</v>
      </c>
      <c r="O1325" t="s">
        <v>20</v>
      </c>
      <c r="P1325" t="s">
        <v>21</v>
      </c>
      <c r="Q1325" t="s">
        <v>30</v>
      </c>
    </row>
    <row r="1326" spans="1:17" x14ac:dyDescent="0.2">
      <c r="A1326" t="s">
        <v>17</v>
      </c>
      <c r="B1326">
        <v>22.480889000000001</v>
      </c>
      <c r="C1326">
        <v>1.6056619999999999</v>
      </c>
      <c r="D1326">
        <v>82.470375000000004</v>
      </c>
      <c r="E1326" t="s">
        <v>18</v>
      </c>
      <c r="F1326" t="s">
        <v>18</v>
      </c>
      <c r="G1326">
        <v>1.5572870000000001</v>
      </c>
      <c r="H1326">
        <v>1</v>
      </c>
      <c r="I1326" t="s">
        <v>20</v>
      </c>
      <c r="J1326" t="s">
        <v>19</v>
      </c>
      <c r="K1326">
        <v>2.3710149999999999</v>
      </c>
      <c r="L1326" t="s">
        <v>19</v>
      </c>
      <c r="M1326">
        <v>0.28803200000000001</v>
      </c>
      <c r="N1326">
        <v>2</v>
      </c>
      <c r="O1326" t="s">
        <v>20</v>
      </c>
      <c r="P1326" t="s">
        <v>21</v>
      </c>
      <c r="Q1326" t="s">
        <v>30</v>
      </c>
    </row>
    <row r="1327" spans="1:17" x14ac:dyDescent="0.2">
      <c r="A1327" t="s">
        <v>17</v>
      </c>
      <c r="B1327">
        <v>41.403861999999997</v>
      </c>
      <c r="C1327">
        <v>1.5679730000000001</v>
      </c>
      <c r="D1327">
        <v>81.056850999999995</v>
      </c>
      <c r="E1327" t="s">
        <v>18</v>
      </c>
      <c r="F1327" t="s">
        <v>18</v>
      </c>
      <c r="G1327">
        <v>2.1522640000000002</v>
      </c>
      <c r="H1327">
        <v>2.9779990000000001</v>
      </c>
      <c r="I1327" t="s">
        <v>20</v>
      </c>
      <c r="J1327" t="s">
        <v>19</v>
      </c>
      <c r="K1327">
        <v>1.513199</v>
      </c>
      <c r="L1327" t="s">
        <v>19</v>
      </c>
      <c r="M1327">
        <v>0</v>
      </c>
      <c r="N1327">
        <v>0</v>
      </c>
      <c r="O1327" t="s">
        <v>20</v>
      </c>
      <c r="P1327" t="s">
        <v>28</v>
      </c>
      <c r="Q1327" t="s">
        <v>30</v>
      </c>
    </row>
    <row r="1328" spans="1:17" x14ac:dyDescent="0.2">
      <c r="A1328" t="s">
        <v>17</v>
      </c>
      <c r="B1328">
        <v>40.702770999999998</v>
      </c>
      <c r="C1328">
        <v>1.548403</v>
      </c>
      <c r="D1328">
        <v>80</v>
      </c>
      <c r="E1328" t="s">
        <v>18</v>
      </c>
      <c r="F1328" t="s">
        <v>18</v>
      </c>
      <c r="G1328">
        <v>2</v>
      </c>
      <c r="H1328">
        <v>3</v>
      </c>
      <c r="I1328" t="s">
        <v>20</v>
      </c>
      <c r="J1328" t="s">
        <v>19</v>
      </c>
      <c r="K1328">
        <v>1.326165</v>
      </c>
      <c r="L1328" t="s">
        <v>19</v>
      </c>
      <c r="M1328">
        <v>0</v>
      </c>
      <c r="N1328">
        <v>0</v>
      </c>
      <c r="O1328" t="s">
        <v>20</v>
      </c>
      <c r="P1328" t="s">
        <v>28</v>
      </c>
      <c r="Q1328" t="s">
        <v>30</v>
      </c>
    </row>
    <row r="1329" spans="1:17" x14ac:dyDescent="0.2">
      <c r="A1329" t="s">
        <v>23</v>
      </c>
      <c r="B1329">
        <v>29.389239</v>
      </c>
      <c r="C1329">
        <v>1.6818550000000001</v>
      </c>
      <c r="D1329">
        <v>90</v>
      </c>
      <c r="E1329" t="s">
        <v>18</v>
      </c>
      <c r="F1329" t="s">
        <v>18</v>
      </c>
      <c r="G1329">
        <v>2.0884100000000001</v>
      </c>
      <c r="H1329">
        <v>2.644692</v>
      </c>
      <c r="I1329" t="s">
        <v>20</v>
      </c>
      <c r="J1329" t="s">
        <v>19</v>
      </c>
      <c r="K1329">
        <v>2.7732359999999998</v>
      </c>
      <c r="L1329" t="s">
        <v>19</v>
      </c>
      <c r="M1329">
        <v>1.252472</v>
      </c>
      <c r="N1329">
        <v>0</v>
      </c>
      <c r="O1329" t="s">
        <v>20</v>
      </c>
      <c r="P1329" t="s">
        <v>28</v>
      </c>
      <c r="Q1329" t="s">
        <v>30</v>
      </c>
    </row>
    <row r="1330" spans="1:17" x14ac:dyDescent="0.2">
      <c r="A1330" t="s">
        <v>23</v>
      </c>
      <c r="B1330">
        <v>30.967417000000001</v>
      </c>
      <c r="C1330">
        <v>1.688436</v>
      </c>
      <c r="D1330">
        <v>90</v>
      </c>
      <c r="E1330" t="s">
        <v>18</v>
      </c>
      <c r="F1330" t="s">
        <v>18</v>
      </c>
      <c r="G1330">
        <v>2.1800470000000001</v>
      </c>
      <c r="H1330">
        <v>2.7330770000000002</v>
      </c>
      <c r="I1330" t="s">
        <v>20</v>
      </c>
      <c r="J1330" t="s">
        <v>19</v>
      </c>
      <c r="K1330">
        <v>2.77962</v>
      </c>
      <c r="L1330" t="s">
        <v>19</v>
      </c>
      <c r="M1330">
        <v>1.454129</v>
      </c>
      <c r="N1330">
        <v>0</v>
      </c>
      <c r="O1330" t="s">
        <v>20</v>
      </c>
      <c r="P1330" t="s">
        <v>28</v>
      </c>
      <c r="Q1330" t="s">
        <v>30</v>
      </c>
    </row>
    <row r="1331" spans="1:17" x14ac:dyDescent="0.2">
      <c r="A1331" t="s">
        <v>17</v>
      </c>
      <c r="B1331">
        <v>23.474164999999999</v>
      </c>
      <c r="C1331">
        <v>1.577115</v>
      </c>
      <c r="D1331">
        <v>78</v>
      </c>
      <c r="E1331" t="s">
        <v>18</v>
      </c>
      <c r="F1331" t="s">
        <v>18</v>
      </c>
      <c r="G1331">
        <v>2</v>
      </c>
      <c r="H1331">
        <v>1</v>
      </c>
      <c r="I1331" t="s">
        <v>20</v>
      </c>
      <c r="J1331" t="s">
        <v>19</v>
      </c>
      <c r="K1331">
        <v>2</v>
      </c>
      <c r="L1331" t="s">
        <v>19</v>
      </c>
      <c r="M1331">
        <v>0.87610100000000002</v>
      </c>
      <c r="N1331">
        <v>0</v>
      </c>
      <c r="O1331" t="s">
        <v>19</v>
      </c>
      <c r="P1331" t="s">
        <v>21</v>
      </c>
      <c r="Q1331" t="s">
        <v>30</v>
      </c>
    </row>
    <row r="1332" spans="1:17" x14ac:dyDescent="0.2">
      <c r="A1332" t="s">
        <v>17</v>
      </c>
      <c r="B1332">
        <v>24.317606999999999</v>
      </c>
      <c r="C1332">
        <v>1.586751</v>
      </c>
      <c r="D1332">
        <v>79.109029000000007</v>
      </c>
      <c r="E1332" t="s">
        <v>18</v>
      </c>
      <c r="F1332" t="s">
        <v>18</v>
      </c>
      <c r="G1332">
        <v>2</v>
      </c>
      <c r="H1332">
        <v>1</v>
      </c>
      <c r="I1332" t="s">
        <v>20</v>
      </c>
      <c r="J1332" t="s">
        <v>19</v>
      </c>
      <c r="K1332">
        <v>2</v>
      </c>
      <c r="L1332" t="s">
        <v>19</v>
      </c>
      <c r="M1332">
        <v>0.85244600000000004</v>
      </c>
      <c r="N1332">
        <v>0</v>
      </c>
      <c r="O1332" t="s">
        <v>19</v>
      </c>
      <c r="P1332" t="s">
        <v>21</v>
      </c>
      <c r="Q1332" t="s">
        <v>30</v>
      </c>
    </row>
    <row r="1333" spans="1:17" x14ac:dyDescent="0.2">
      <c r="A1333" t="s">
        <v>23</v>
      </c>
      <c r="B1333">
        <v>17.052914000000001</v>
      </c>
      <c r="C1333">
        <v>1.7106159999999999</v>
      </c>
      <c r="D1333">
        <v>99.860253999999998</v>
      </c>
      <c r="E1333" t="s">
        <v>18</v>
      </c>
      <c r="F1333" t="s">
        <v>18</v>
      </c>
      <c r="G1333">
        <v>2</v>
      </c>
      <c r="H1333">
        <v>3</v>
      </c>
      <c r="I1333" t="s">
        <v>20</v>
      </c>
      <c r="J1333" t="s">
        <v>19</v>
      </c>
      <c r="K1333">
        <v>2</v>
      </c>
      <c r="L1333" t="s">
        <v>19</v>
      </c>
      <c r="M1333">
        <v>6.7490999999999995E-2</v>
      </c>
      <c r="N1333">
        <v>0.89410500000000004</v>
      </c>
      <c r="O1333" t="s">
        <v>19</v>
      </c>
      <c r="P1333" t="s">
        <v>21</v>
      </c>
      <c r="Q1333" t="s">
        <v>30</v>
      </c>
    </row>
    <row r="1334" spans="1:17" x14ac:dyDescent="0.2">
      <c r="A1334" t="s">
        <v>23</v>
      </c>
      <c r="B1334">
        <v>18.048919999999999</v>
      </c>
      <c r="C1334">
        <v>1.721384</v>
      </c>
      <c r="D1334">
        <v>99.430611999999996</v>
      </c>
      <c r="E1334" t="s">
        <v>18</v>
      </c>
      <c r="F1334" t="s">
        <v>18</v>
      </c>
      <c r="G1334">
        <v>2</v>
      </c>
      <c r="H1334">
        <v>3</v>
      </c>
      <c r="I1334" t="s">
        <v>20</v>
      </c>
      <c r="J1334" t="s">
        <v>19</v>
      </c>
      <c r="K1334">
        <v>2</v>
      </c>
      <c r="L1334" t="s">
        <v>19</v>
      </c>
      <c r="M1334">
        <v>1.579431</v>
      </c>
      <c r="N1334">
        <v>0.839862</v>
      </c>
      <c r="O1334" t="s">
        <v>19</v>
      </c>
      <c r="P1334" t="s">
        <v>21</v>
      </c>
      <c r="Q1334" t="s">
        <v>30</v>
      </c>
    </row>
    <row r="1335" spans="1:17" x14ac:dyDescent="0.2">
      <c r="A1335" t="s">
        <v>17</v>
      </c>
      <c r="B1335">
        <v>22.875222999999998</v>
      </c>
      <c r="C1335">
        <v>1.6243669999999999</v>
      </c>
      <c r="D1335">
        <v>82</v>
      </c>
      <c r="E1335" t="s">
        <v>18</v>
      </c>
      <c r="F1335" t="s">
        <v>18</v>
      </c>
      <c r="G1335">
        <v>1.8268850000000001</v>
      </c>
      <c r="H1335">
        <v>1</v>
      </c>
      <c r="I1335" t="s">
        <v>20</v>
      </c>
      <c r="J1335" t="s">
        <v>19</v>
      </c>
      <c r="K1335">
        <v>2</v>
      </c>
      <c r="L1335" t="s">
        <v>19</v>
      </c>
      <c r="M1335">
        <v>0</v>
      </c>
      <c r="N1335">
        <v>0.45927400000000002</v>
      </c>
      <c r="O1335" t="s">
        <v>19</v>
      </c>
      <c r="P1335" t="s">
        <v>21</v>
      </c>
      <c r="Q1335" t="s">
        <v>30</v>
      </c>
    </row>
    <row r="1336" spans="1:17" x14ac:dyDescent="0.2">
      <c r="A1336" t="s">
        <v>17</v>
      </c>
      <c r="B1336">
        <v>22.884722</v>
      </c>
      <c r="C1336">
        <v>1.622787</v>
      </c>
      <c r="D1336">
        <v>82</v>
      </c>
      <c r="E1336" t="s">
        <v>18</v>
      </c>
      <c r="F1336" t="s">
        <v>18</v>
      </c>
      <c r="G1336">
        <v>1.7544010000000001</v>
      </c>
      <c r="H1336">
        <v>1</v>
      </c>
      <c r="I1336" t="s">
        <v>20</v>
      </c>
      <c r="J1336" t="s">
        <v>19</v>
      </c>
      <c r="K1336">
        <v>2</v>
      </c>
      <c r="L1336" t="s">
        <v>19</v>
      </c>
      <c r="M1336">
        <v>0</v>
      </c>
      <c r="N1336">
        <v>0.30190899999999998</v>
      </c>
      <c r="O1336" t="s">
        <v>19</v>
      </c>
      <c r="P1336" t="s">
        <v>21</v>
      </c>
      <c r="Q1336" t="s">
        <v>30</v>
      </c>
    </row>
    <row r="1337" spans="1:17" x14ac:dyDescent="0.2">
      <c r="A1337" t="s">
        <v>23</v>
      </c>
      <c r="B1337">
        <v>18.729565999999998</v>
      </c>
      <c r="C1337">
        <v>1.8554330000000001</v>
      </c>
      <c r="D1337">
        <v>112.875283</v>
      </c>
      <c r="E1337" t="s">
        <v>18</v>
      </c>
      <c r="F1337" t="s">
        <v>18</v>
      </c>
      <c r="G1337">
        <v>2</v>
      </c>
      <c r="H1337">
        <v>2.4271370000000001</v>
      </c>
      <c r="I1337" t="s">
        <v>20</v>
      </c>
      <c r="J1337" t="s">
        <v>19</v>
      </c>
      <c r="K1337">
        <v>2.5740729999999998</v>
      </c>
      <c r="L1337" t="s">
        <v>19</v>
      </c>
      <c r="M1337">
        <v>1</v>
      </c>
      <c r="N1337">
        <v>2</v>
      </c>
      <c r="O1337" t="s">
        <v>20</v>
      </c>
      <c r="P1337" t="s">
        <v>21</v>
      </c>
      <c r="Q1337" t="s">
        <v>30</v>
      </c>
    </row>
    <row r="1338" spans="1:17" x14ac:dyDescent="0.2">
      <c r="A1338" t="s">
        <v>23</v>
      </c>
      <c r="B1338">
        <v>21.011123999999999</v>
      </c>
      <c r="C1338">
        <v>1.8563149999999999</v>
      </c>
      <c r="D1338">
        <v>118.183797</v>
      </c>
      <c r="E1338" t="s">
        <v>18</v>
      </c>
      <c r="F1338" t="s">
        <v>18</v>
      </c>
      <c r="G1338">
        <v>2</v>
      </c>
      <c r="H1338">
        <v>3</v>
      </c>
      <c r="I1338" t="s">
        <v>20</v>
      </c>
      <c r="J1338" t="s">
        <v>19</v>
      </c>
      <c r="K1338">
        <v>3</v>
      </c>
      <c r="L1338" t="s">
        <v>19</v>
      </c>
      <c r="M1338">
        <v>0.78858499999999998</v>
      </c>
      <c r="N1338">
        <v>1.220029</v>
      </c>
      <c r="O1338" t="s">
        <v>20</v>
      </c>
      <c r="P1338" t="s">
        <v>21</v>
      </c>
      <c r="Q1338" t="s">
        <v>30</v>
      </c>
    </row>
    <row r="1339" spans="1:17" x14ac:dyDescent="0.2">
      <c r="A1339" t="s">
        <v>17</v>
      </c>
      <c r="B1339">
        <v>18.603496</v>
      </c>
      <c r="C1339">
        <v>1.681719</v>
      </c>
      <c r="D1339">
        <v>90.671870999999996</v>
      </c>
      <c r="E1339" t="s">
        <v>18</v>
      </c>
      <c r="F1339" t="s">
        <v>18</v>
      </c>
      <c r="G1339">
        <v>1.5244279999999999</v>
      </c>
      <c r="H1339">
        <v>3</v>
      </c>
      <c r="I1339" t="s">
        <v>20</v>
      </c>
      <c r="J1339" t="s">
        <v>19</v>
      </c>
      <c r="K1339">
        <v>1.383831</v>
      </c>
      <c r="L1339" t="s">
        <v>19</v>
      </c>
      <c r="M1339">
        <v>0.13041700000000001</v>
      </c>
      <c r="N1339">
        <v>1</v>
      </c>
      <c r="O1339" t="s">
        <v>20</v>
      </c>
      <c r="P1339" t="s">
        <v>21</v>
      </c>
      <c r="Q1339" t="s">
        <v>30</v>
      </c>
    </row>
    <row r="1340" spans="1:17" x14ac:dyDescent="0.2">
      <c r="A1340" t="s">
        <v>17</v>
      </c>
      <c r="B1340">
        <v>21.106055999999999</v>
      </c>
      <c r="C1340">
        <v>1.7228840000000001</v>
      </c>
      <c r="D1340">
        <v>92.949253999999996</v>
      </c>
      <c r="E1340" t="s">
        <v>18</v>
      </c>
      <c r="F1340" t="s">
        <v>18</v>
      </c>
      <c r="G1340">
        <v>1.1640619999999999</v>
      </c>
      <c r="H1340">
        <v>3</v>
      </c>
      <c r="I1340" t="s">
        <v>20</v>
      </c>
      <c r="J1340" t="s">
        <v>19</v>
      </c>
      <c r="K1340">
        <v>1.157395</v>
      </c>
      <c r="L1340" t="s">
        <v>19</v>
      </c>
      <c r="M1340">
        <v>0</v>
      </c>
      <c r="N1340">
        <v>0.320851</v>
      </c>
      <c r="O1340" t="s">
        <v>20</v>
      </c>
      <c r="P1340" t="s">
        <v>21</v>
      </c>
      <c r="Q1340" t="s">
        <v>30</v>
      </c>
    </row>
    <row r="1341" spans="1:17" x14ac:dyDescent="0.2">
      <c r="A1341" t="s">
        <v>23</v>
      </c>
      <c r="B1341">
        <v>23</v>
      </c>
      <c r="C1341">
        <v>1.7994060000000001</v>
      </c>
      <c r="D1341">
        <v>106.528811</v>
      </c>
      <c r="E1341" t="s">
        <v>18</v>
      </c>
      <c r="F1341" t="s">
        <v>18</v>
      </c>
      <c r="G1341">
        <v>2.1231589999999998</v>
      </c>
      <c r="H1341">
        <v>3</v>
      </c>
      <c r="I1341" t="s">
        <v>20</v>
      </c>
      <c r="J1341" t="s">
        <v>19</v>
      </c>
      <c r="K1341">
        <v>2.415343</v>
      </c>
      <c r="L1341" t="s">
        <v>19</v>
      </c>
      <c r="M1341">
        <v>0.295178</v>
      </c>
      <c r="N1341">
        <v>0.56985200000000003</v>
      </c>
      <c r="O1341" t="s">
        <v>20</v>
      </c>
      <c r="P1341" t="s">
        <v>21</v>
      </c>
      <c r="Q1341" t="s">
        <v>30</v>
      </c>
    </row>
    <row r="1342" spans="1:17" x14ac:dyDescent="0.2">
      <c r="A1342" t="s">
        <v>23</v>
      </c>
      <c r="B1342">
        <v>21.980847000000001</v>
      </c>
      <c r="C1342">
        <v>1.8198749999999999</v>
      </c>
      <c r="D1342">
        <v>106.04851600000001</v>
      </c>
      <c r="E1342" t="s">
        <v>18</v>
      </c>
      <c r="F1342" t="s">
        <v>18</v>
      </c>
      <c r="G1342">
        <v>2</v>
      </c>
      <c r="H1342">
        <v>3</v>
      </c>
      <c r="I1342" t="s">
        <v>20</v>
      </c>
      <c r="J1342" t="s">
        <v>19</v>
      </c>
      <c r="K1342">
        <v>2.7452420000000002</v>
      </c>
      <c r="L1342" t="s">
        <v>19</v>
      </c>
      <c r="M1342">
        <v>0</v>
      </c>
      <c r="N1342">
        <v>0.80898000000000003</v>
      </c>
      <c r="O1342" t="s">
        <v>20</v>
      </c>
      <c r="P1342" t="s">
        <v>21</v>
      </c>
      <c r="Q1342" t="s">
        <v>30</v>
      </c>
    </row>
    <row r="1343" spans="1:17" x14ac:dyDescent="0.2">
      <c r="A1343" t="s">
        <v>23</v>
      </c>
      <c r="B1343">
        <v>21.016665</v>
      </c>
      <c r="C1343">
        <v>1.7901720000000001</v>
      </c>
      <c r="D1343">
        <v>105.04219399999999</v>
      </c>
      <c r="E1343" t="s">
        <v>18</v>
      </c>
      <c r="F1343" t="s">
        <v>18</v>
      </c>
      <c r="G1343">
        <v>2.2596790000000002</v>
      </c>
      <c r="H1343">
        <v>3</v>
      </c>
      <c r="I1343" t="s">
        <v>20</v>
      </c>
      <c r="J1343" t="s">
        <v>19</v>
      </c>
      <c r="K1343">
        <v>1.026143</v>
      </c>
      <c r="L1343" t="s">
        <v>19</v>
      </c>
      <c r="M1343">
        <v>0.26880100000000001</v>
      </c>
      <c r="N1343">
        <v>7.7817999999999998E-2</v>
      </c>
      <c r="O1343" t="s">
        <v>20</v>
      </c>
      <c r="P1343" t="s">
        <v>21</v>
      </c>
      <c r="Q1343" t="s">
        <v>30</v>
      </c>
    </row>
    <row r="1344" spans="1:17" x14ac:dyDescent="0.2">
      <c r="A1344" t="s">
        <v>23</v>
      </c>
      <c r="B1344">
        <v>21.72738</v>
      </c>
      <c r="C1344">
        <v>1.783782</v>
      </c>
      <c r="D1344">
        <v>105.000276</v>
      </c>
      <c r="E1344" t="s">
        <v>18</v>
      </c>
      <c r="F1344" t="s">
        <v>18</v>
      </c>
      <c r="G1344">
        <v>2.0443259999999999</v>
      </c>
      <c r="H1344">
        <v>3</v>
      </c>
      <c r="I1344" t="s">
        <v>20</v>
      </c>
      <c r="J1344" t="s">
        <v>19</v>
      </c>
      <c r="K1344">
        <v>2.3581799999999999</v>
      </c>
      <c r="L1344" t="s">
        <v>19</v>
      </c>
      <c r="M1344">
        <v>0.34937099999999999</v>
      </c>
      <c r="N1344">
        <v>0</v>
      </c>
      <c r="O1344" t="s">
        <v>20</v>
      </c>
      <c r="P1344" t="s">
        <v>21</v>
      </c>
      <c r="Q1344" t="s">
        <v>30</v>
      </c>
    </row>
    <row r="1345" spans="1:17" x14ac:dyDescent="0.2">
      <c r="A1345" t="s">
        <v>23</v>
      </c>
      <c r="B1345">
        <v>18</v>
      </c>
      <c r="C1345">
        <v>1.783906</v>
      </c>
      <c r="D1345">
        <v>109.20761400000001</v>
      </c>
      <c r="E1345" t="s">
        <v>18</v>
      </c>
      <c r="F1345" t="s">
        <v>18</v>
      </c>
      <c r="G1345">
        <v>2</v>
      </c>
      <c r="H1345">
        <v>1.8678360000000001</v>
      </c>
      <c r="I1345" t="s">
        <v>20</v>
      </c>
      <c r="J1345" t="s">
        <v>19</v>
      </c>
      <c r="K1345">
        <v>2.4383979999999998</v>
      </c>
      <c r="L1345" t="s">
        <v>19</v>
      </c>
      <c r="M1345">
        <v>1</v>
      </c>
      <c r="N1345">
        <v>0.80230500000000005</v>
      </c>
      <c r="O1345" t="s">
        <v>19</v>
      </c>
      <c r="P1345" t="s">
        <v>21</v>
      </c>
      <c r="Q1345" t="s">
        <v>30</v>
      </c>
    </row>
    <row r="1346" spans="1:17" x14ac:dyDescent="0.2">
      <c r="A1346" t="s">
        <v>23</v>
      </c>
      <c r="B1346">
        <v>18</v>
      </c>
      <c r="C1346">
        <v>1.8442179999999999</v>
      </c>
      <c r="D1346">
        <v>109.19552899999999</v>
      </c>
      <c r="E1346" t="s">
        <v>18</v>
      </c>
      <c r="F1346" t="s">
        <v>18</v>
      </c>
      <c r="G1346">
        <v>2</v>
      </c>
      <c r="H1346">
        <v>1.5484070000000001</v>
      </c>
      <c r="I1346" t="s">
        <v>20</v>
      </c>
      <c r="J1346" t="s">
        <v>19</v>
      </c>
      <c r="K1346">
        <v>2.1914009999999999</v>
      </c>
      <c r="L1346" t="s">
        <v>19</v>
      </c>
      <c r="M1346">
        <v>1</v>
      </c>
      <c r="N1346">
        <v>1.676944</v>
      </c>
      <c r="O1346" t="s">
        <v>19</v>
      </c>
      <c r="P1346" t="s">
        <v>21</v>
      </c>
      <c r="Q1346" t="s">
        <v>30</v>
      </c>
    </row>
    <row r="1347" spans="1:17" x14ac:dyDescent="0.2">
      <c r="A1347" t="s">
        <v>17</v>
      </c>
      <c r="B1347">
        <v>19.431661999999999</v>
      </c>
      <c r="C1347">
        <v>1.6316619999999999</v>
      </c>
      <c r="D1347">
        <v>82</v>
      </c>
      <c r="E1347" t="s">
        <v>18</v>
      </c>
      <c r="F1347" t="s">
        <v>18</v>
      </c>
      <c r="G1347">
        <v>2.8434560000000002</v>
      </c>
      <c r="H1347">
        <v>2.937989</v>
      </c>
      <c r="I1347" t="s">
        <v>20</v>
      </c>
      <c r="J1347" t="s">
        <v>19</v>
      </c>
      <c r="K1347">
        <v>1.001995</v>
      </c>
      <c r="L1347" t="s">
        <v>19</v>
      </c>
      <c r="M1347">
        <v>0</v>
      </c>
      <c r="N1347">
        <v>1.5544039999999999</v>
      </c>
      <c r="O1347" t="s">
        <v>19</v>
      </c>
      <c r="P1347" t="s">
        <v>21</v>
      </c>
      <c r="Q1347" t="s">
        <v>30</v>
      </c>
    </row>
    <row r="1348" spans="1:17" x14ac:dyDescent="0.2">
      <c r="A1348" t="s">
        <v>17</v>
      </c>
      <c r="B1348">
        <v>18.166318</v>
      </c>
      <c r="C1348">
        <v>1.649553</v>
      </c>
      <c r="D1348">
        <v>82.323954000000001</v>
      </c>
      <c r="E1348" t="s">
        <v>18</v>
      </c>
      <c r="F1348" t="s">
        <v>18</v>
      </c>
      <c r="G1348">
        <v>2.864776</v>
      </c>
      <c r="H1348">
        <v>3</v>
      </c>
      <c r="I1348" t="s">
        <v>20</v>
      </c>
      <c r="J1348" t="s">
        <v>19</v>
      </c>
      <c r="K1348">
        <v>1.8769149999999999</v>
      </c>
      <c r="L1348" t="s">
        <v>19</v>
      </c>
      <c r="M1348">
        <v>0.63156500000000004</v>
      </c>
      <c r="N1348">
        <v>0.186414</v>
      </c>
      <c r="O1348" t="s">
        <v>19</v>
      </c>
      <c r="P1348" t="s">
        <v>21</v>
      </c>
      <c r="Q1348" t="s">
        <v>30</v>
      </c>
    </row>
    <row r="1349" spans="1:17" x14ac:dyDescent="0.2">
      <c r="A1349" t="s">
        <v>23</v>
      </c>
      <c r="B1349">
        <v>22.352025000000001</v>
      </c>
      <c r="C1349">
        <v>1.7547109999999999</v>
      </c>
      <c r="D1349">
        <v>105.00070599999999</v>
      </c>
      <c r="E1349" t="s">
        <v>18</v>
      </c>
      <c r="F1349" t="s">
        <v>18</v>
      </c>
      <c r="G1349">
        <v>2.8711370000000001</v>
      </c>
      <c r="H1349">
        <v>3</v>
      </c>
      <c r="I1349" t="s">
        <v>20</v>
      </c>
      <c r="J1349" t="s">
        <v>19</v>
      </c>
      <c r="K1349">
        <v>2.6275689999999998</v>
      </c>
      <c r="L1349" t="s">
        <v>19</v>
      </c>
      <c r="M1349">
        <v>1</v>
      </c>
      <c r="N1349">
        <v>0</v>
      </c>
      <c r="O1349" t="s">
        <v>20</v>
      </c>
      <c r="P1349" t="s">
        <v>21</v>
      </c>
      <c r="Q1349" t="s">
        <v>30</v>
      </c>
    </row>
    <row r="1350" spans="1:17" x14ac:dyDescent="0.2">
      <c r="A1350" t="s">
        <v>23</v>
      </c>
      <c r="B1350">
        <v>22.469351</v>
      </c>
      <c r="C1350">
        <v>1.7625150000000001</v>
      </c>
      <c r="D1350">
        <v>105.000097</v>
      </c>
      <c r="E1350" t="s">
        <v>18</v>
      </c>
      <c r="F1350" t="s">
        <v>18</v>
      </c>
      <c r="G1350">
        <v>2.2828029999999999</v>
      </c>
      <c r="H1350">
        <v>3</v>
      </c>
      <c r="I1350" t="s">
        <v>20</v>
      </c>
      <c r="J1350" t="s">
        <v>19</v>
      </c>
      <c r="K1350">
        <v>2.1042640000000001</v>
      </c>
      <c r="L1350" t="s">
        <v>19</v>
      </c>
      <c r="M1350">
        <v>1</v>
      </c>
      <c r="N1350">
        <v>0</v>
      </c>
      <c r="O1350" t="s">
        <v>20</v>
      </c>
      <c r="P1350" t="s">
        <v>21</v>
      </c>
      <c r="Q1350" t="s">
        <v>30</v>
      </c>
    </row>
    <row r="1351" spans="1:17" x14ac:dyDescent="0.2">
      <c r="A1351" t="s">
        <v>23</v>
      </c>
      <c r="B1351">
        <v>19.524698000000001</v>
      </c>
      <c r="C1351">
        <v>1.942725</v>
      </c>
      <c r="D1351">
        <v>121.657979</v>
      </c>
      <c r="E1351" t="s">
        <v>18</v>
      </c>
      <c r="F1351" t="s">
        <v>18</v>
      </c>
      <c r="G1351">
        <v>2</v>
      </c>
      <c r="H1351">
        <v>3</v>
      </c>
      <c r="I1351" t="s">
        <v>20</v>
      </c>
      <c r="J1351" t="s">
        <v>19</v>
      </c>
      <c r="K1351">
        <v>3</v>
      </c>
      <c r="L1351" t="s">
        <v>19</v>
      </c>
      <c r="M1351">
        <v>1</v>
      </c>
      <c r="N1351">
        <v>1.0148079999999999</v>
      </c>
      <c r="O1351" t="s">
        <v>20</v>
      </c>
      <c r="P1351" t="s">
        <v>21</v>
      </c>
      <c r="Q1351" t="s">
        <v>30</v>
      </c>
    </row>
    <row r="1352" spans="1:17" x14ac:dyDescent="0.2">
      <c r="A1352" t="s">
        <v>23</v>
      </c>
      <c r="B1352">
        <v>20.491475000000001</v>
      </c>
      <c r="C1352">
        <v>1.9756629999999999</v>
      </c>
      <c r="D1352">
        <v>120.702935</v>
      </c>
      <c r="E1352" t="s">
        <v>18</v>
      </c>
      <c r="F1352" t="s">
        <v>18</v>
      </c>
      <c r="G1352">
        <v>2</v>
      </c>
      <c r="H1352">
        <v>3</v>
      </c>
      <c r="I1352" t="s">
        <v>20</v>
      </c>
      <c r="J1352" t="s">
        <v>19</v>
      </c>
      <c r="K1352">
        <v>3</v>
      </c>
      <c r="L1352" t="s">
        <v>19</v>
      </c>
      <c r="M1352">
        <v>0.76701299999999994</v>
      </c>
      <c r="N1352">
        <v>1</v>
      </c>
      <c r="O1352" t="s">
        <v>20</v>
      </c>
      <c r="P1352" t="s">
        <v>21</v>
      </c>
      <c r="Q1352" t="s">
        <v>30</v>
      </c>
    </row>
    <row r="1353" spans="1:17" x14ac:dyDescent="0.2">
      <c r="A1353" t="s">
        <v>17</v>
      </c>
      <c r="B1353">
        <v>39.213399000000003</v>
      </c>
      <c r="C1353">
        <v>1.586301</v>
      </c>
      <c r="D1353">
        <v>80</v>
      </c>
      <c r="E1353" t="s">
        <v>18</v>
      </c>
      <c r="F1353" t="s">
        <v>18</v>
      </c>
      <c r="G1353">
        <v>2.020502</v>
      </c>
      <c r="H1353">
        <v>1.2374540000000001</v>
      </c>
      <c r="I1353" t="s">
        <v>20</v>
      </c>
      <c r="J1353" t="s">
        <v>19</v>
      </c>
      <c r="K1353">
        <v>1.9314199999999999</v>
      </c>
      <c r="L1353" t="s">
        <v>19</v>
      </c>
      <c r="M1353">
        <v>1.967973</v>
      </c>
      <c r="N1353">
        <v>0</v>
      </c>
      <c r="O1353" t="s">
        <v>20</v>
      </c>
      <c r="P1353" t="s">
        <v>28</v>
      </c>
      <c r="Q1353" t="s">
        <v>30</v>
      </c>
    </row>
    <row r="1354" spans="1:17" x14ac:dyDescent="0.2">
      <c r="A1354" t="s">
        <v>17</v>
      </c>
      <c r="B1354">
        <v>38.098745000000001</v>
      </c>
      <c r="C1354">
        <v>1.5984480000000001</v>
      </c>
      <c r="D1354">
        <v>80</v>
      </c>
      <c r="E1354" t="s">
        <v>18</v>
      </c>
      <c r="F1354" t="s">
        <v>18</v>
      </c>
      <c r="G1354">
        <v>2.0207850000000001</v>
      </c>
      <c r="H1354">
        <v>1.169173</v>
      </c>
      <c r="I1354" t="s">
        <v>20</v>
      </c>
      <c r="J1354" t="s">
        <v>19</v>
      </c>
      <c r="K1354">
        <v>1.9725509999999999</v>
      </c>
      <c r="L1354" t="s">
        <v>19</v>
      </c>
      <c r="M1354">
        <v>1.903338</v>
      </c>
      <c r="N1354">
        <v>0</v>
      </c>
      <c r="O1354" t="s">
        <v>20</v>
      </c>
      <c r="P1354" t="s">
        <v>28</v>
      </c>
      <c r="Q1354" t="s">
        <v>30</v>
      </c>
    </row>
    <row r="1355" spans="1:17" x14ac:dyDescent="0.2">
      <c r="A1355" t="s">
        <v>23</v>
      </c>
      <c r="B1355">
        <v>19.034033000000001</v>
      </c>
      <c r="C1355">
        <v>1.703098</v>
      </c>
      <c r="D1355">
        <v>98.296650999999997</v>
      </c>
      <c r="E1355" t="s">
        <v>18</v>
      </c>
      <c r="F1355" t="s">
        <v>18</v>
      </c>
      <c r="G1355">
        <v>2</v>
      </c>
      <c r="H1355">
        <v>2.391753</v>
      </c>
      <c r="I1355" t="s">
        <v>20</v>
      </c>
      <c r="J1355" t="s">
        <v>19</v>
      </c>
      <c r="K1355">
        <v>2</v>
      </c>
      <c r="L1355" t="s">
        <v>19</v>
      </c>
      <c r="M1355">
        <v>0</v>
      </c>
      <c r="N1355">
        <v>1.119877</v>
      </c>
      <c r="O1355" t="s">
        <v>19</v>
      </c>
      <c r="P1355" t="s">
        <v>21</v>
      </c>
      <c r="Q1355" t="s">
        <v>30</v>
      </c>
    </row>
    <row r="1356" spans="1:17" x14ac:dyDescent="0.2">
      <c r="A1356" t="s">
        <v>23</v>
      </c>
      <c r="B1356">
        <v>17.073647999999999</v>
      </c>
      <c r="C1356">
        <v>1.706996</v>
      </c>
      <c r="D1356">
        <v>99.544696000000002</v>
      </c>
      <c r="E1356" t="s">
        <v>18</v>
      </c>
      <c r="F1356" t="s">
        <v>18</v>
      </c>
      <c r="G1356">
        <v>2</v>
      </c>
      <c r="H1356">
        <v>3</v>
      </c>
      <c r="I1356" t="s">
        <v>20</v>
      </c>
      <c r="J1356" t="s">
        <v>19</v>
      </c>
      <c r="K1356">
        <v>2</v>
      </c>
      <c r="L1356" t="s">
        <v>19</v>
      </c>
      <c r="M1356">
        <v>1.7320899999999999</v>
      </c>
      <c r="N1356">
        <v>4.8617E-2</v>
      </c>
      <c r="O1356" t="s">
        <v>19</v>
      </c>
      <c r="P1356" t="s">
        <v>21</v>
      </c>
      <c r="Q1356" t="s">
        <v>30</v>
      </c>
    </row>
    <row r="1357" spans="1:17" x14ac:dyDescent="0.2">
      <c r="A1357" t="s">
        <v>17</v>
      </c>
      <c r="B1357">
        <v>38.547266999999998</v>
      </c>
      <c r="C1357">
        <v>1.5264720000000001</v>
      </c>
      <c r="D1357">
        <v>75.150345000000002</v>
      </c>
      <c r="E1357" t="s">
        <v>18</v>
      </c>
      <c r="F1357" t="s">
        <v>18</v>
      </c>
      <c r="G1357">
        <v>2</v>
      </c>
      <c r="H1357">
        <v>3</v>
      </c>
      <c r="I1357" t="s">
        <v>20</v>
      </c>
      <c r="J1357" t="s">
        <v>19</v>
      </c>
      <c r="K1357">
        <v>1.0844419999999999</v>
      </c>
      <c r="L1357" t="s">
        <v>19</v>
      </c>
      <c r="M1357">
        <v>0</v>
      </c>
      <c r="N1357">
        <v>0</v>
      </c>
      <c r="O1357" t="s">
        <v>20</v>
      </c>
      <c r="P1357" t="s">
        <v>28</v>
      </c>
      <c r="Q1357" t="s">
        <v>30</v>
      </c>
    </row>
    <row r="1358" spans="1:17" x14ac:dyDescent="0.2">
      <c r="A1358" t="s">
        <v>17</v>
      </c>
      <c r="B1358">
        <v>38.683793999999999</v>
      </c>
      <c r="C1358">
        <v>1.5019929999999999</v>
      </c>
      <c r="D1358">
        <v>76.642944</v>
      </c>
      <c r="E1358" t="s">
        <v>18</v>
      </c>
      <c r="F1358" t="s">
        <v>18</v>
      </c>
      <c r="G1358">
        <v>2</v>
      </c>
      <c r="H1358">
        <v>3</v>
      </c>
      <c r="I1358" t="s">
        <v>20</v>
      </c>
      <c r="J1358" t="s">
        <v>19</v>
      </c>
      <c r="K1358">
        <v>1</v>
      </c>
      <c r="L1358" t="s">
        <v>19</v>
      </c>
      <c r="M1358">
        <v>0</v>
      </c>
      <c r="N1358">
        <v>0</v>
      </c>
      <c r="O1358" t="s">
        <v>20</v>
      </c>
      <c r="P1358" t="s">
        <v>28</v>
      </c>
      <c r="Q1358" t="s">
        <v>30</v>
      </c>
    </row>
    <row r="1359" spans="1:17" x14ac:dyDescent="0.2">
      <c r="A1359" t="s">
        <v>23</v>
      </c>
      <c r="B1359">
        <v>18</v>
      </c>
      <c r="C1359">
        <v>1.784402</v>
      </c>
      <c r="D1359">
        <v>108.41311899999999</v>
      </c>
      <c r="E1359" t="s">
        <v>18</v>
      </c>
      <c r="F1359" t="s">
        <v>18</v>
      </c>
      <c r="G1359">
        <v>2</v>
      </c>
      <c r="H1359">
        <v>2.475444</v>
      </c>
      <c r="I1359" t="s">
        <v>20</v>
      </c>
      <c r="J1359" t="s">
        <v>19</v>
      </c>
      <c r="K1359">
        <v>2.6557949999999999</v>
      </c>
      <c r="L1359" t="s">
        <v>19</v>
      </c>
      <c r="M1359">
        <v>1</v>
      </c>
      <c r="N1359">
        <v>0.169879</v>
      </c>
      <c r="O1359" t="s">
        <v>19</v>
      </c>
      <c r="P1359" t="s">
        <v>21</v>
      </c>
      <c r="Q1359" t="s">
        <v>30</v>
      </c>
    </row>
    <row r="1360" spans="1:17" x14ac:dyDescent="0.2">
      <c r="A1360" t="s">
        <v>23</v>
      </c>
      <c r="B1360">
        <v>18</v>
      </c>
      <c r="C1360">
        <v>1.7926869999999999</v>
      </c>
      <c r="D1360">
        <v>108.20454700000001</v>
      </c>
      <c r="E1360" t="s">
        <v>18</v>
      </c>
      <c r="F1360" t="s">
        <v>18</v>
      </c>
      <c r="G1360">
        <v>2</v>
      </c>
      <c r="H1360">
        <v>2.4787940000000002</v>
      </c>
      <c r="I1360" t="s">
        <v>20</v>
      </c>
      <c r="J1360" t="s">
        <v>19</v>
      </c>
      <c r="K1360">
        <v>2.9670640000000001</v>
      </c>
      <c r="L1360" t="s">
        <v>19</v>
      </c>
      <c r="M1360">
        <v>1</v>
      </c>
      <c r="N1360">
        <v>0.43459999999999999</v>
      </c>
      <c r="O1360" t="s">
        <v>19</v>
      </c>
      <c r="P1360" t="s">
        <v>21</v>
      </c>
      <c r="Q1360" t="s">
        <v>30</v>
      </c>
    </row>
    <row r="1361" spans="1:17" x14ac:dyDescent="0.2">
      <c r="A1361" t="s">
        <v>23</v>
      </c>
      <c r="B1361">
        <v>29.622803999999999</v>
      </c>
      <c r="C1361">
        <v>1.814052</v>
      </c>
      <c r="D1361">
        <v>109.41162199999999</v>
      </c>
      <c r="E1361" t="s">
        <v>18</v>
      </c>
      <c r="F1361" t="s">
        <v>18</v>
      </c>
      <c r="G1361">
        <v>2.4078170000000001</v>
      </c>
      <c r="H1361">
        <v>2.070033</v>
      </c>
      <c r="I1361" t="s">
        <v>20</v>
      </c>
      <c r="J1361" t="s">
        <v>19</v>
      </c>
      <c r="K1361">
        <v>1.796257</v>
      </c>
      <c r="L1361" t="s">
        <v>19</v>
      </c>
      <c r="M1361">
        <v>1.234483</v>
      </c>
      <c r="N1361">
        <v>0.17870800000000001</v>
      </c>
      <c r="O1361" t="s">
        <v>20</v>
      </c>
      <c r="P1361" t="s">
        <v>28</v>
      </c>
      <c r="Q1361" t="s">
        <v>30</v>
      </c>
    </row>
    <row r="1362" spans="1:17" x14ac:dyDescent="0.2">
      <c r="A1362" t="s">
        <v>23</v>
      </c>
      <c r="B1362">
        <v>30.79626</v>
      </c>
      <c r="C1362">
        <v>1.7894209999999999</v>
      </c>
      <c r="D1362">
        <v>109.599453</v>
      </c>
      <c r="E1362" t="s">
        <v>18</v>
      </c>
      <c r="F1362" t="s">
        <v>18</v>
      </c>
      <c r="G1362">
        <v>2.2149800000000002</v>
      </c>
      <c r="H1362">
        <v>2.2823920000000002</v>
      </c>
      <c r="I1362" t="s">
        <v>20</v>
      </c>
      <c r="J1362" t="s">
        <v>19</v>
      </c>
      <c r="K1362">
        <v>1.179942</v>
      </c>
      <c r="L1362" t="s">
        <v>19</v>
      </c>
      <c r="M1362">
        <v>1.7717540000000001</v>
      </c>
      <c r="N1362">
        <v>0.537659</v>
      </c>
      <c r="O1362" t="s">
        <v>20</v>
      </c>
      <c r="P1362" t="s">
        <v>28</v>
      </c>
      <c r="Q1362" t="s">
        <v>30</v>
      </c>
    </row>
    <row r="1363" spans="1:17" x14ac:dyDescent="0.2">
      <c r="A1363" t="s">
        <v>17</v>
      </c>
      <c r="B1363">
        <v>18</v>
      </c>
      <c r="C1363">
        <v>1.686904</v>
      </c>
      <c r="D1363">
        <v>90.004046000000002</v>
      </c>
      <c r="E1363" t="s">
        <v>18</v>
      </c>
      <c r="F1363" t="s">
        <v>18</v>
      </c>
      <c r="G1363">
        <v>2.7371490000000001</v>
      </c>
      <c r="H1363">
        <v>3</v>
      </c>
      <c r="I1363" t="s">
        <v>20</v>
      </c>
      <c r="J1363" t="s">
        <v>19</v>
      </c>
      <c r="K1363">
        <v>1.9971950000000001</v>
      </c>
      <c r="L1363" t="s">
        <v>19</v>
      </c>
      <c r="M1363">
        <v>1.3526629999999999</v>
      </c>
      <c r="N1363">
        <v>0.46848299999999998</v>
      </c>
      <c r="O1363" t="s">
        <v>20</v>
      </c>
      <c r="P1363" t="s">
        <v>21</v>
      </c>
      <c r="Q1363" t="s">
        <v>30</v>
      </c>
    </row>
    <row r="1364" spans="1:17" x14ac:dyDescent="0.2">
      <c r="A1364" t="s">
        <v>17</v>
      </c>
      <c r="B1364">
        <v>18.107092000000002</v>
      </c>
      <c r="C1364">
        <v>1.7032590000000001</v>
      </c>
      <c r="D1364">
        <v>91.499683000000005</v>
      </c>
      <c r="E1364" t="s">
        <v>18</v>
      </c>
      <c r="F1364" t="s">
        <v>18</v>
      </c>
      <c r="G1364">
        <v>1.8997930000000001</v>
      </c>
      <c r="H1364">
        <v>3</v>
      </c>
      <c r="I1364" t="s">
        <v>20</v>
      </c>
      <c r="J1364" t="s">
        <v>19</v>
      </c>
      <c r="K1364">
        <v>1.439962</v>
      </c>
      <c r="L1364" t="s">
        <v>19</v>
      </c>
      <c r="M1364">
        <v>0.95289999999999997</v>
      </c>
      <c r="N1364">
        <v>0.83884700000000001</v>
      </c>
      <c r="O1364" t="s">
        <v>20</v>
      </c>
      <c r="P1364" t="s">
        <v>21</v>
      </c>
      <c r="Q1364" t="s">
        <v>30</v>
      </c>
    </row>
    <row r="1365" spans="1:17" x14ac:dyDescent="0.2">
      <c r="A1365" t="s">
        <v>23</v>
      </c>
      <c r="B1365">
        <v>31.335093000000001</v>
      </c>
      <c r="C1365">
        <v>1.6657979999999999</v>
      </c>
      <c r="D1365">
        <v>89.738596000000001</v>
      </c>
      <c r="E1365" t="s">
        <v>18</v>
      </c>
      <c r="F1365" t="s">
        <v>18</v>
      </c>
      <c r="G1365">
        <v>2.2741639999999999</v>
      </c>
      <c r="H1365">
        <v>1.049534</v>
      </c>
      <c r="I1365" t="s">
        <v>20</v>
      </c>
      <c r="J1365" t="s">
        <v>19</v>
      </c>
      <c r="K1365">
        <v>1.3581719999999999</v>
      </c>
      <c r="L1365" t="s">
        <v>19</v>
      </c>
      <c r="M1365">
        <v>1.4824109999999999</v>
      </c>
      <c r="N1365">
        <v>0</v>
      </c>
      <c r="O1365" t="s">
        <v>20</v>
      </c>
      <c r="P1365" t="s">
        <v>28</v>
      </c>
      <c r="Q1365" t="s">
        <v>30</v>
      </c>
    </row>
    <row r="1366" spans="1:17" x14ac:dyDescent="0.2">
      <c r="A1366" t="s">
        <v>23</v>
      </c>
      <c r="B1366">
        <v>29</v>
      </c>
      <c r="C1366">
        <v>1.6667099999999999</v>
      </c>
      <c r="D1366">
        <v>89.048151000000004</v>
      </c>
      <c r="E1366" t="s">
        <v>18</v>
      </c>
      <c r="F1366" t="s">
        <v>18</v>
      </c>
      <c r="G1366">
        <v>1.897796</v>
      </c>
      <c r="H1366">
        <v>3</v>
      </c>
      <c r="I1366" t="s">
        <v>20</v>
      </c>
      <c r="J1366" t="s">
        <v>19</v>
      </c>
      <c r="K1366">
        <v>1.193039</v>
      </c>
      <c r="L1366" t="s">
        <v>19</v>
      </c>
      <c r="M1366">
        <v>1.1519E-2</v>
      </c>
      <c r="N1366">
        <v>0</v>
      </c>
      <c r="O1366" t="s">
        <v>20</v>
      </c>
      <c r="P1366" t="s">
        <v>28</v>
      </c>
      <c r="Q1366" t="s">
        <v>30</v>
      </c>
    </row>
    <row r="1367" spans="1:17" x14ac:dyDescent="0.2">
      <c r="A1367" t="s">
        <v>17</v>
      </c>
      <c r="B1367">
        <v>18.011903</v>
      </c>
      <c r="C1367">
        <v>1.65</v>
      </c>
      <c r="D1367">
        <v>84.210534999999993</v>
      </c>
      <c r="E1367" t="s">
        <v>18</v>
      </c>
      <c r="F1367" t="s">
        <v>18</v>
      </c>
      <c r="G1367">
        <v>2.8591600000000001</v>
      </c>
      <c r="H1367">
        <v>3</v>
      </c>
      <c r="I1367" t="s">
        <v>20</v>
      </c>
      <c r="J1367" t="s">
        <v>19</v>
      </c>
      <c r="K1367">
        <v>1</v>
      </c>
      <c r="L1367" t="s">
        <v>19</v>
      </c>
      <c r="M1367">
        <v>1.0205249999999999</v>
      </c>
      <c r="N1367">
        <v>0.78606600000000004</v>
      </c>
      <c r="O1367" t="s">
        <v>19</v>
      </c>
      <c r="P1367" t="s">
        <v>21</v>
      </c>
      <c r="Q1367" t="s">
        <v>30</v>
      </c>
    </row>
    <row r="1368" spans="1:17" x14ac:dyDescent="0.2">
      <c r="A1368" t="s">
        <v>17</v>
      </c>
      <c r="B1368">
        <v>18</v>
      </c>
      <c r="C1368">
        <v>1.6494390000000001</v>
      </c>
      <c r="D1368">
        <v>84.897738000000004</v>
      </c>
      <c r="E1368" t="s">
        <v>18</v>
      </c>
      <c r="F1368" t="s">
        <v>18</v>
      </c>
      <c r="G1368">
        <v>2</v>
      </c>
      <c r="H1368">
        <v>3</v>
      </c>
      <c r="I1368" t="s">
        <v>20</v>
      </c>
      <c r="J1368" t="s">
        <v>19</v>
      </c>
      <c r="K1368">
        <v>1.0393129999999999</v>
      </c>
      <c r="L1368" t="s">
        <v>19</v>
      </c>
      <c r="M1368">
        <v>1</v>
      </c>
      <c r="N1368">
        <v>0</v>
      </c>
      <c r="O1368" t="s">
        <v>19</v>
      </c>
      <c r="P1368" t="s">
        <v>21</v>
      </c>
      <c r="Q1368" t="s">
        <v>30</v>
      </c>
    </row>
    <row r="1369" spans="1:17" x14ac:dyDescent="0.2">
      <c r="A1369" t="s">
        <v>23</v>
      </c>
      <c r="B1369">
        <v>21.077356000000002</v>
      </c>
      <c r="C1369">
        <v>1.702002</v>
      </c>
      <c r="D1369">
        <v>97.971598</v>
      </c>
      <c r="E1369" t="s">
        <v>18</v>
      </c>
      <c r="F1369" t="s">
        <v>18</v>
      </c>
      <c r="G1369">
        <v>2</v>
      </c>
      <c r="H1369">
        <v>1.6633800000000001</v>
      </c>
      <c r="I1369" t="s">
        <v>20</v>
      </c>
      <c r="J1369" t="s">
        <v>19</v>
      </c>
      <c r="K1369">
        <v>2</v>
      </c>
      <c r="L1369" t="s">
        <v>19</v>
      </c>
      <c r="M1369">
        <v>0</v>
      </c>
      <c r="N1369">
        <v>1.8658509999999999</v>
      </c>
      <c r="O1369" t="s">
        <v>19</v>
      </c>
      <c r="P1369" t="s">
        <v>21</v>
      </c>
      <c r="Q1369" t="s">
        <v>30</v>
      </c>
    </row>
    <row r="1370" spans="1:17" x14ac:dyDescent="0.2">
      <c r="A1370" t="s">
        <v>23</v>
      </c>
      <c r="B1370">
        <v>21.052015999999998</v>
      </c>
      <c r="C1370">
        <v>1.6938200000000001</v>
      </c>
      <c r="D1370">
        <v>99.530970999999994</v>
      </c>
      <c r="E1370" t="s">
        <v>18</v>
      </c>
      <c r="F1370" t="s">
        <v>18</v>
      </c>
      <c r="G1370">
        <v>2</v>
      </c>
      <c r="H1370">
        <v>1.6727510000000001</v>
      </c>
      <c r="I1370" t="s">
        <v>20</v>
      </c>
      <c r="J1370" t="s">
        <v>19</v>
      </c>
      <c r="K1370">
        <v>2</v>
      </c>
      <c r="L1370" t="s">
        <v>19</v>
      </c>
      <c r="M1370">
        <v>0</v>
      </c>
      <c r="N1370">
        <v>1.9461729999999999</v>
      </c>
      <c r="O1370" t="s">
        <v>19</v>
      </c>
      <c r="P1370" t="s">
        <v>21</v>
      </c>
      <c r="Q1370" t="s">
        <v>30</v>
      </c>
    </row>
    <row r="1371" spans="1:17" x14ac:dyDescent="0.2">
      <c r="A1371" t="s">
        <v>17</v>
      </c>
      <c r="B1371">
        <v>18.078256</v>
      </c>
      <c r="C1371">
        <v>1.6229990000000001</v>
      </c>
      <c r="D1371">
        <v>82.403075999999999</v>
      </c>
      <c r="E1371" t="s">
        <v>18</v>
      </c>
      <c r="F1371" t="s">
        <v>18</v>
      </c>
      <c r="G1371">
        <v>2.3404050000000001</v>
      </c>
      <c r="H1371">
        <v>3</v>
      </c>
      <c r="I1371" t="s">
        <v>20</v>
      </c>
      <c r="J1371" t="s">
        <v>19</v>
      </c>
      <c r="K1371">
        <v>1.6552450000000001</v>
      </c>
      <c r="L1371" t="s">
        <v>19</v>
      </c>
      <c r="M1371">
        <v>1.0068839999999999</v>
      </c>
      <c r="N1371">
        <v>0.548539</v>
      </c>
      <c r="O1371" t="s">
        <v>19</v>
      </c>
      <c r="P1371" t="s">
        <v>21</v>
      </c>
      <c r="Q1371" t="s">
        <v>30</v>
      </c>
    </row>
    <row r="1372" spans="1:17" x14ac:dyDescent="0.2">
      <c r="A1372" t="s">
        <v>17</v>
      </c>
      <c r="B1372">
        <v>18.063582</v>
      </c>
      <c r="C1372">
        <v>1.633675</v>
      </c>
      <c r="D1372">
        <v>82.459576999999996</v>
      </c>
      <c r="E1372" t="s">
        <v>18</v>
      </c>
      <c r="F1372" t="s">
        <v>18</v>
      </c>
      <c r="G1372">
        <v>2.921576</v>
      </c>
      <c r="H1372">
        <v>3</v>
      </c>
      <c r="I1372" t="s">
        <v>20</v>
      </c>
      <c r="J1372" t="s">
        <v>19</v>
      </c>
      <c r="K1372">
        <v>1.003636</v>
      </c>
      <c r="L1372" t="s">
        <v>19</v>
      </c>
      <c r="M1372">
        <v>1.000227</v>
      </c>
      <c r="N1372">
        <v>0.90559599999999996</v>
      </c>
      <c r="O1372" t="s">
        <v>19</v>
      </c>
      <c r="P1372" t="s">
        <v>21</v>
      </c>
      <c r="Q1372" t="s">
        <v>30</v>
      </c>
    </row>
    <row r="1373" spans="1:17" x14ac:dyDescent="0.2">
      <c r="A1373" t="s">
        <v>23</v>
      </c>
      <c r="B1373">
        <v>20.418831999999998</v>
      </c>
      <c r="C1373">
        <v>1.8366690000000001</v>
      </c>
      <c r="D1373">
        <v>105.257543</v>
      </c>
      <c r="E1373" t="s">
        <v>18</v>
      </c>
      <c r="F1373" t="s">
        <v>18</v>
      </c>
      <c r="G1373">
        <v>2</v>
      </c>
      <c r="H1373">
        <v>3</v>
      </c>
      <c r="I1373" t="s">
        <v>20</v>
      </c>
      <c r="J1373" t="s">
        <v>19</v>
      </c>
      <c r="K1373">
        <v>2.7935050000000001</v>
      </c>
      <c r="L1373" t="s">
        <v>19</v>
      </c>
      <c r="M1373">
        <v>2.2193900000000002</v>
      </c>
      <c r="N1373">
        <v>0.202902</v>
      </c>
      <c r="O1373" t="s">
        <v>19</v>
      </c>
      <c r="P1373" t="s">
        <v>21</v>
      </c>
      <c r="Q1373" t="s">
        <v>30</v>
      </c>
    </row>
    <row r="1374" spans="1:17" x14ac:dyDescent="0.2">
      <c r="A1374" t="s">
        <v>23</v>
      </c>
      <c r="B1374">
        <v>20.580984000000001</v>
      </c>
      <c r="C1374">
        <v>1.798354</v>
      </c>
      <c r="D1374">
        <v>103.70541799999999</v>
      </c>
      <c r="E1374" t="s">
        <v>18</v>
      </c>
      <c r="F1374" t="s">
        <v>18</v>
      </c>
      <c r="G1374">
        <v>2</v>
      </c>
      <c r="H1374">
        <v>3</v>
      </c>
      <c r="I1374" t="s">
        <v>20</v>
      </c>
      <c r="J1374" t="s">
        <v>19</v>
      </c>
      <c r="K1374">
        <v>2.4013149999999999</v>
      </c>
      <c r="L1374" t="s">
        <v>19</v>
      </c>
      <c r="M1374">
        <v>2.8919860000000002</v>
      </c>
      <c r="N1374">
        <v>0</v>
      </c>
      <c r="O1374" t="s">
        <v>19</v>
      </c>
      <c r="P1374" t="s">
        <v>21</v>
      </c>
      <c r="Q1374" t="s">
        <v>30</v>
      </c>
    </row>
    <row r="1375" spans="1:17" x14ac:dyDescent="0.2">
      <c r="A1375" t="s">
        <v>23</v>
      </c>
      <c r="B1375">
        <v>26.032416000000001</v>
      </c>
      <c r="C1375">
        <v>1.8244320000000001</v>
      </c>
      <c r="D1375">
        <v>105.131956</v>
      </c>
      <c r="E1375" t="s">
        <v>18</v>
      </c>
      <c r="F1375" t="s">
        <v>18</v>
      </c>
      <c r="G1375">
        <v>3</v>
      </c>
      <c r="H1375">
        <v>3</v>
      </c>
      <c r="I1375" t="s">
        <v>20</v>
      </c>
      <c r="J1375" t="s">
        <v>19</v>
      </c>
      <c r="K1375">
        <v>2.110611</v>
      </c>
      <c r="L1375" t="s">
        <v>19</v>
      </c>
      <c r="M1375">
        <v>1.8909069999999999</v>
      </c>
      <c r="N1375">
        <v>1.58483</v>
      </c>
      <c r="O1375" t="s">
        <v>20</v>
      </c>
      <c r="P1375" t="s">
        <v>21</v>
      </c>
      <c r="Q1375" t="s">
        <v>30</v>
      </c>
    </row>
    <row r="1376" spans="1:17" x14ac:dyDescent="0.2">
      <c r="A1376" t="s">
        <v>23</v>
      </c>
      <c r="B1376">
        <v>25.955361</v>
      </c>
      <c r="C1376">
        <v>1.830384</v>
      </c>
      <c r="D1376">
        <v>105.479313</v>
      </c>
      <c r="E1376" t="s">
        <v>18</v>
      </c>
      <c r="F1376" t="s">
        <v>18</v>
      </c>
      <c r="G1376">
        <v>3</v>
      </c>
      <c r="H1376">
        <v>3</v>
      </c>
      <c r="I1376" t="s">
        <v>20</v>
      </c>
      <c r="J1376" t="s">
        <v>19</v>
      </c>
      <c r="K1376">
        <v>2.4802770000000001</v>
      </c>
      <c r="L1376" t="s">
        <v>19</v>
      </c>
      <c r="M1376">
        <v>1.7967789999999999</v>
      </c>
      <c r="N1376">
        <v>1.596562</v>
      </c>
      <c r="O1376" t="s">
        <v>20</v>
      </c>
      <c r="P1376" t="s">
        <v>21</v>
      </c>
      <c r="Q1376" t="s">
        <v>30</v>
      </c>
    </row>
    <row r="1377" spans="1:17" x14ac:dyDescent="0.2">
      <c r="A1377" t="s">
        <v>23</v>
      </c>
      <c r="B1377">
        <v>26.015447999999999</v>
      </c>
      <c r="C1377">
        <v>1.829907</v>
      </c>
      <c r="D1377">
        <v>105.436173</v>
      </c>
      <c r="E1377" t="s">
        <v>18</v>
      </c>
      <c r="F1377" t="s">
        <v>18</v>
      </c>
      <c r="G1377">
        <v>3</v>
      </c>
      <c r="H1377">
        <v>3</v>
      </c>
      <c r="I1377" t="s">
        <v>20</v>
      </c>
      <c r="J1377" t="s">
        <v>19</v>
      </c>
      <c r="K1377">
        <v>2.2249140000000001</v>
      </c>
      <c r="L1377" t="s">
        <v>19</v>
      </c>
      <c r="M1377">
        <v>1.7815890000000001</v>
      </c>
      <c r="N1377">
        <v>1.59405</v>
      </c>
      <c r="O1377" t="s">
        <v>20</v>
      </c>
      <c r="P1377" t="s">
        <v>21</v>
      </c>
      <c r="Q1377" t="s">
        <v>30</v>
      </c>
    </row>
    <row r="1378" spans="1:17" x14ac:dyDescent="0.2">
      <c r="A1378" t="s">
        <v>23</v>
      </c>
      <c r="B1378">
        <v>25.920738</v>
      </c>
      <c r="C1378">
        <v>1.823755</v>
      </c>
      <c r="D1378">
        <v>105.800158</v>
      </c>
      <c r="E1378" t="s">
        <v>18</v>
      </c>
      <c r="F1378" t="s">
        <v>18</v>
      </c>
      <c r="G1378">
        <v>2.9271099999999999</v>
      </c>
      <c r="H1378">
        <v>3</v>
      </c>
      <c r="I1378" t="s">
        <v>20</v>
      </c>
      <c r="J1378" t="s">
        <v>19</v>
      </c>
      <c r="K1378">
        <v>2.1514959999999999</v>
      </c>
      <c r="L1378" t="s">
        <v>19</v>
      </c>
      <c r="M1378">
        <v>1.166064</v>
      </c>
      <c r="N1378">
        <v>1.5098309999999999</v>
      </c>
      <c r="O1378" t="s">
        <v>20</v>
      </c>
      <c r="P1378" t="s">
        <v>21</v>
      </c>
      <c r="Q1378" t="s">
        <v>30</v>
      </c>
    </row>
    <row r="1379" spans="1:17" x14ac:dyDescent="0.2">
      <c r="A1379" t="s">
        <v>23</v>
      </c>
      <c r="B1379">
        <v>29.633714999999999</v>
      </c>
      <c r="C1379">
        <v>1.8348420000000001</v>
      </c>
      <c r="D1379">
        <v>105.19936</v>
      </c>
      <c r="E1379" t="s">
        <v>18</v>
      </c>
      <c r="F1379" t="s">
        <v>18</v>
      </c>
      <c r="G1379">
        <v>2.8055330000000001</v>
      </c>
      <c r="H1379">
        <v>3</v>
      </c>
      <c r="I1379" t="s">
        <v>20</v>
      </c>
      <c r="J1379" t="s">
        <v>19</v>
      </c>
      <c r="K1379">
        <v>1.8828469999999999</v>
      </c>
      <c r="L1379" t="s">
        <v>19</v>
      </c>
      <c r="M1379">
        <v>2</v>
      </c>
      <c r="N1379">
        <v>0.70777999999999996</v>
      </c>
      <c r="O1379" t="s">
        <v>20</v>
      </c>
      <c r="P1379" t="s">
        <v>28</v>
      </c>
      <c r="Q1379" t="s">
        <v>30</v>
      </c>
    </row>
    <row r="1380" spans="1:17" x14ac:dyDescent="0.2">
      <c r="A1380" t="s">
        <v>23</v>
      </c>
      <c r="B1380">
        <v>32.895637000000001</v>
      </c>
      <c r="C1380">
        <v>1.783901</v>
      </c>
      <c r="D1380">
        <v>103.771371</v>
      </c>
      <c r="E1380" t="s">
        <v>18</v>
      </c>
      <c r="F1380" t="s">
        <v>18</v>
      </c>
      <c r="G1380">
        <v>2.902469</v>
      </c>
      <c r="H1380">
        <v>1.7347619999999999</v>
      </c>
      <c r="I1380" t="s">
        <v>20</v>
      </c>
      <c r="J1380" t="s">
        <v>19</v>
      </c>
      <c r="K1380">
        <v>2.600238</v>
      </c>
      <c r="L1380" t="s">
        <v>19</v>
      </c>
      <c r="M1380">
        <v>2.1139920000000001</v>
      </c>
      <c r="N1380">
        <v>0.58475500000000002</v>
      </c>
      <c r="O1380" t="s">
        <v>20</v>
      </c>
      <c r="P1380" t="s">
        <v>28</v>
      </c>
      <c r="Q1380" t="s">
        <v>30</v>
      </c>
    </row>
    <row r="1381" spans="1:17" x14ac:dyDescent="0.2">
      <c r="A1381" t="s">
        <v>23</v>
      </c>
      <c r="B1381">
        <v>38.748306999999997</v>
      </c>
      <c r="C1381">
        <v>1.7820670000000001</v>
      </c>
      <c r="D1381">
        <v>103.586342</v>
      </c>
      <c r="E1381" t="s">
        <v>18</v>
      </c>
      <c r="F1381" t="s">
        <v>18</v>
      </c>
      <c r="G1381">
        <v>2.845961</v>
      </c>
      <c r="H1381">
        <v>1.92822</v>
      </c>
      <c r="I1381" t="s">
        <v>20</v>
      </c>
      <c r="J1381" t="s">
        <v>19</v>
      </c>
      <c r="K1381">
        <v>2.6422729999999999</v>
      </c>
      <c r="L1381" t="s">
        <v>19</v>
      </c>
      <c r="M1381">
        <v>2.9999180000000001</v>
      </c>
      <c r="N1381">
        <v>1</v>
      </c>
      <c r="O1381" t="s">
        <v>24</v>
      </c>
      <c r="P1381" t="s">
        <v>28</v>
      </c>
      <c r="Q1381" t="s">
        <v>30</v>
      </c>
    </row>
    <row r="1382" spans="1:17" x14ac:dyDescent="0.2">
      <c r="A1382" t="s">
        <v>23</v>
      </c>
      <c r="B1382">
        <v>39.685845999999998</v>
      </c>
      <c r="C1382">
        <v>1.7810319999999999</v>
      </c>
      <c r="D1382">
        <v>96.303854999999999</v>
      </c>
      <c r="E1382" t="s">
        <v>18</v>
      </c>
      <c r="F1382" t="s">
        <v>18</v>
      </c>
      <c r="G1382">
        <v>2.2526980000000001</v>
      </c>
      <c r="H1382">
        <v>2.475228</v>
      </c>
      <c r="I1382" t="s">
        <v>20</v>
      </c>
      <c r="J1382" t="s">
        <v>19</v>
      </c>
      <c r="K1382">
        <v>2.9238559999999998</v>
      </c>
      <c r="L1382" t="s">
        <v>19</v>
      </c>
      <c r="M1382">
        <v>2.165429</v>
      </c>
      <c r="N1382">
        <v>0.61604499999999995</v>
      </c>
      <c r="O1382" t="s">
        <v>24</v>
      </c>
      <c r="P1382" t="s">
        <v>28</v>
      </c>
      <c r="Q1382" t="s">
        <v>30</v>
      </c>
    </row>
    <row r="1383" spans="1:17" x14ac:dyDescent="0.2">
      <c r="A1383" t="s">
        <v>17</v>
      </c>
      <c r="B1383">
        <v>33.226807999999998</v>
      </c>
      <c r="C1383">
        <v>1.5579430000000001</v>
      </c>
      <c r="D1383">
        <v>77.647716000000003</v>
      </c>
      <c r="E1383" t="s">
        <v>18</v>
      </c>
      <c r="F1383" t="s">
        <v>18</v>
      </c>
      <c r="G1383">
        <v>2.0209100000000002</v>
      </c>
      <c r="H1383">
        <v>2.0938310000000002</v>
      </c>
      <c r="I1383" t="s">
        <v>20</v>
      </c>
      <c r="J1383" t="s">
        <v>19</v>
      </c>
      <c r="K1383">
        <v>1.506518</v>
      </c>
      <c r="L1383" t="s">
        <v>19</v>
      </c>
      <c r="M1383">
        <v>0</v>
      </c>
      <c r="N1383">
        <v>0</v>
      </c>
      <c r="O1383" t="s">
        <v>20</v>
      </c>
      <c r="P1383" t="s">
        <v>28</v>
      </c>
      <c r="Q1383" t="s">
        <v>30</v>
      </c>
    </row>
    <row r="1384" spans="1:17" x14ac:dyDescent="0.2">
      <c r="A1384" t="s">
        <v>17</v>
      </c>
      <c r="B1384">
        <v>26.220065000000002</v>
      </c>
      <c r="C1384">
        <v>1.5602579999999999</v>
      </c>
      <c r="D1384">
        <v>78.435903999999994</v>
      </c>
      <c r="E1384" t="s">
        <v>18</v>
      </c>
      <c r="F1384" t="s">
        <v>18</v>
      </c>
      <c r="G1384">
        <v>2.1081629999999998</v>
      </c>
      <c r="H1384">
        <v>1.2319150000000001</v>
      </c>
      <c r="I1384" t="s">
        <v>20</v>
      </c>
      <c r="J1384" t="s">
        <v>19</v>
      </c>
      <c r="K1384">
        <v>1.808127</v>
      </c>
      <c r="L1384" t="s">
        <v>19</v>
      </c>
      <c r="M1384">
        <v>0</v>
      </c>
      <c r="N1384">
        <v>0</v>
      </c>
      <c r="O1384" t="s">
        <v>20</v>
      </c>
      <c r="P1384" t="s">
        <v>28</v>
      </c>
      <c r="Q1384" t="s">
        <v>30</v>
      </c>
    </row>
    <row r="1385" spans="1:17" x14ac:dyDescent="0.2">
      <c r="A1385" t="s">
        <v>17</v>
      </c>
      <c r="B1385">
        <v>23.090215000000001</v>
      </c>
      <c r="C1385">
        <v>1.5965860000000001</v>
      </c>
      <c r="D1385">
        <v>80.726195000000004</v>
      </c>
      <c r="E1385" t="s">
        <v>18</v>
      </c>
      <c r="F1385" t="s">
        <v>18</v>
      </c>
      <c r="G1385">
        <v>1.518966</v>
      </c>
      <c r="H1385">
        <v>1</v>
      </c>
      <c r="I1385" t="s">
        <v>20</v>
      </c>
      <c r="J1385" t="s">
        <v>19</v>
      </c>
      <c r="K1385">
        <v>2</v>
      </c>
      <c r="L1385" t="s">
        <v>19</v>
      </c>
      <c r="M1385">
        <v>0</v>
      </c>
      <c r="N1385">
        <v>1.0940460000000001</v>
      </c>
      <c r="O1385" t="s">
        <v>19</v>
      </c>
      <c r="P1385" t="s">
        <v>21</v>
      </c>
      <c r="Q1385" t="s">
        <v>30</v>
      </c>
    </row>
    <row r="1386" spans="1:17" x14ac:dyDescent="0.2">
      <c r="A1386" t="s">
        <v>17</v>
      </c>
      <c r="B1386">
        <v>24.565628</v>
      </c>
      <c r="C1386">
        <v>1.62093</v>
      </c>
      <c r="D1386">
        <v>81.718232</v>
      </c>
      <c r="E1386" t="s">
        <v>18</v>
      </c>
      <c r="F1386" t="s">
        <v>18</v>
      </c>
      <c r="G1386">
        <v>2.2605430000000002</v>
      </c>
      <c r="H1386">
        <v>1.3747910000000001</v>
      </c>
      <c r="I1386" t="s">
        <v>20</v>
      </c>
      <c r="J1386" t="s">
        <v>19</v>
      </c>
      <c r="K1386">
        <v>1.947935</v>
      </c>
      <c r="L1386" t="s">
        <v>19</v>
      </c>
      <c r="M1386">
        <v>0</v>
      </c>
      <c r="N1386">
        <v>7.8606999999999996E-2</v>
      </c>
      <c r="O1386" t="s">
        <v>19</v>
      </c>
      <c r="P1386" t="s">
        <v>21</v>
      </c>
      <c r="Q1386" t="s">
        <v>30</v>
      </c>
    </row>
    <row r="1387" spans="1:17" x14ac:dyDescent="0.2">
      <c r="A1387" t="s">
        <v>17</v>
      </c>
      <c r="B1387">
        <v>42.586284999999997</v>
      </c>
      <c r="C1387">
        <v>1.5714170000000001</v>
      </c>
      <c r="D1387">
        <v>81.918808999999996</v>
      </c>
      <c r="E1387" t="s">
        <v>18</v>
      </c>
      <c r="F1387" t="s">
        <v>18</v>
      </c>
      <c r="G1387">
        <v>2.5221830000000001</v>
      </c>
      <c r="H1387">
        <v>1.3269820000000001</v>
      </c>
      <c r="I1387" t="s">
        <v>20</v>
      </c>
      <c r="J1387" t="s">
        <v>19</v>
      </c>
      <c r="K1387">
        <v>1.872673</v>
      </c>
      <c r="L1387" t="s">
        <v>19</v>
      </c>
      <c r="M1387">
        <v>1.0485070000000001</v>
      </c>
      <c r="N1387">
        <v>0</v>
      </c>
      <c r="O1387" t="s">
        <v>19</v>
      </c>
      <c r="P1387" t="s">
        <v>28</v>
      </c>
      <c r="Q1387" t="s">
        <v>30</v>
      </c>
    </row>
    <row r="1388" spans="1:17" x14ac:dyDescent="0.2">
      <c r="A1388" t="s">
        <v>17</v>
      </c>
      <c r="B1388">
        <v>43.719394999999999</v>
      </c>
      <c r="C1388">
        <v>1.584322</v>
      </c>
      <c r="D1388">
        <v>80.986496000000002</v>
      </c>
      <c r="E1388" t="s">
        <v>18</v>
      </c>
      <c r="F1388" t="s">
        <v>18</v>
      </c>
      <c r="G1388">
        <v>2.1863220000000001</v>
      </c>
      <c r="H1388">
        <v>2.9009149999999999</v>
      </c>
      <c r="I1388" t="s">
        <v>20</v>
      </c>
      <c r="J1388" t="s">
        <v>19</v>
      </c>
      <c r="K1388">
        <v>2.4710329999999998</v>
      </c>
      <c r="L1388" t="s">
        <v>19</v>
      </c>
      <c r="M1388">
        <v>0.25611299999999998</v>
      </c>
      <c r="N1388">
        <v>0</v>
      </c>
      <c r="O1388" t="s">
        <v>19</v>
      </c>
      <c r="P1388" t="s">
        <v>28</v>
      </c>
      <c r="Q1388" t="s">
        <v>30</v>
      </c>
    </row>
    <row r="1389" spans="1:17" x14ac:dyDescent="0.2">
      <c r="A1389" t="s">
        <v>17</v>
      </c>
      <c r="B1389">
        <v>43.376339999999999</v>
      </c>
      <c r="C1389">
        <v>1.5825229999999999</v>
      </c>
      <c r="D1389">
        <v>81.919454000000002</v>
      </c>
      <c r="E1389" t="s">
        <v>18</v>
      </c>
      <c r="F1389" t="s">
        <v>18</v>
      </c>
      <c r="G1389">
        <v>2.7663199999999999</v>
      </c>
      <c r="H1389">
        <v>1.3178840000000001</v>
      </c>
      <c r="I1389" t="s">
        <v>20</v>
      </c>
      <c r="J1389" t="s">
        <v>19</v>
      </c>
      <c r="K1389">
        <v>1.8893409999999999</v>
      </c>
      <c r="L1389" t="s">
        <v>19</v>
      </c>
      <c r="M1389">
        <v>0.99064200000000002</v>
      </c>
      <c r="N1389">
        <v>0</v>
      </c>
      <c r="O1389" t="s">
        <v>19</v>
      </c>
      <c r="P1389" t="s">
        <v>28</v>
      </c>
      <c r="Q1389" t="s">
        <v>30</v>
      </c>
    </row>
    <row r="1390" spans="1:17" x14ac:dyDescent="0.2">
      <c r="A1390" t="s">
        <v>17</v>
      </c>
      <c r="B1390">
        <v>39.648946000000002</v>
      </c>
      <c r="C1390">
        <v>1.5727910000000001</v>
      </c>
      <c r="D1390">
        <v>80.086523999999997</v>
      </c>
      <c r="E1390" t="s">
        <v>18</v>
      </c>
      <c r="F1390" t="s">
        <v>18</v>
      </c>
      <c r="G1390">
        <v>2.0716220000000001</v>
      </c>
      <c r="H1390">
        <v>2.9779089999999999</v>
      </c>
      <c r="I1390" t="s">
        <v>20</v>
      </c>
      <c r="J1390" t="s">
        <v>19</v>
      </c>
      <c r="K1390">
        <v>1.468297</v>
      </c>
      <c r="L1390" t="s">
        <v>19</v>
      </c>
      <c r="M1390">
        <v>0</v>
      </c>
      <c r="N1390">
        <v>0</v>
      </c>
      <c r="O1390" t="s">
        <v>19</v>
      </c>
      <c r="P1390" t="s">
        <v>28</v>
      </c>
      <c r="Q1390" t="s">
        <v>30</v>
      </c>
    </row>
    <row r="1391" spans="1:17" x14ac:dyDescent="0.2">
      <c r="A1391" t="s">
        <v>17</v>
      </c>
      <c r="B1391">
        <v>22.693988999999998</v>
      </c>
      <c r="C1391">
        <v>1.6279079999999999</v>
      </c>
      <c r="D1391">
        <v>82</v>
      </c>
      <c r="E1391" t="s">
        <v>18</v>
      </c>
      <c r="F1391" t="s">
        <v>18</v>
      </c>
      <c r="G1391">
        <v>1.9182509999999999</v>
      </c>
      <c r="H1391">
        <v>1.3557520000000001</v>
      </c>
      <c r="I1391" t="s">
        <v>20</v>
      </c>
      <c r="J1391" t="s">
        <v>19</v>
      </c>
      <c r="K1391">
        <v>1.998108</v>
      </c>
      <c r="L1391" t="s">
        <v>19</v>
      </c>
      <c r="M1391">
        <v>0</v>
      </c>
      <c r="N1391">
        <v>1.382906</v>
      </c>
      <c r="O1391" t="s">
        <v>20</v>
      </c>
      <c r="P1391" t="s">
        <v>21</v>
      </c>
      <c r="Q1391" t="s">
        <v>30</v>
      </c>
    </row>
    <row r="1392" spans="1:17" x14ac:dyDescent="0.2">
      <c r="A1392" t="s">
        <v>17</v>
      </c>
      <c r="B1392">
        <v>22.676242999999999</v>
      </c>
      <c r="C1392">
        <v>1.620938</v>
      </c>
      <c r="D1392">
        <v>82.283185000000003</v>
      </c>
      <c r="E1392" t="s">
        <v>18</v>
      </c>
      <c r="F1392" t="s">
        <v>18</v>
      </c>
      <c r="G1392">
        <v>1.9670609999999999</v>
      </c>
      <c r="H1392">
        <v>1</v>
      </c>
      <c r="I1392" t="s">
        <v>20</v>
      </c>
      <c r="J1392" t="s">
        <v>19</v>
      </c>
      <c r="K1392">
        <v>2.548651</v>
      </c>
      <c r="L1392" t="s">
        <v>19</v>
      </c>
      <c r="M1392">
        <v>0.24926400000000001</v>
      </c>
      <c r="N1392">
        <v>1.5167310000000001</v>
      </c>
      <c r="O1392" t="s">
        <v>20</v>
      </c>
      <c r="P1392" t="s">
        <v>21</v>
      </c>
      <c r="Q1392" t="s">
        <v>30</v>
      </c>
    </row>
    <row r="1393" spans="1:17" x14ac:dyDescent="0.2">
      <c r="A1393" t="s">
        <v>17</v>
      </c>
      <c r="B1393">
        <v>22.804818000000001</v>
      </c>
      <c r="C1393">
        <v>1.613119</v>
      </c>
      <c r="D1393">
        <v>82.636161999999999</v>
      </c>
      <c r="E1393" t="s">
        <v>18</v>
      </c>
      <c r="F1393" t="s">
        <v>18</v>
      </c>
      <c r="G1393">
        <v>2.9644189999999999</v>
      </c>
      <c r="H1393">
        <v>1</v>
      </c>
      <c r="I1393" t="s">
        <v>20</v>
      </c>
      <c r="J1393" t="s">
        <v>19</v>
      </c>
      <c r="K1393">
        <v>2.9775160000000001</v>
      </c>
      <c r="L1393" t="s">
        <v>19</v>
      </c>
      <c r="M1393">
        <v>0.74211300000000002</v>
      </c>
      <c r="N1393">
        <v>2</v>
      </c>
      <c r="O1393" t="s">
        <v>20</v>
      </c>
      <c r="P1393" t="s">
        <v>21</v>
      </c>
      <c r="Q1393" t="s">
        <v>30</v>
      </c>
    </row>
    <row r="1394" spans="1:17" x14ac:dyDescent="0.2">
      <c r="A1394" t="s">
        <v>17</v>
      </c>
      <c r="B1394">
        <v>22.857123000000001</v>
      </c>
      <c r="C1394">
        <v>1.62686</v>
      </c>
      <c r="D1394">
        <v>82.410189000000003</v>
      </c>
      <c r="E1394" t="s">
        <v>18</v>
      </c>
      <c r="F1394" t="s">
        <v>18</v>
      </c>
      <c r="G1394">
        <v>2.6408010000000002</v>
      </c>
      <c r="H1394">
        <v>1.0154879999999999</v>
      </c>
      <c r="I1394" t="s">
        <v>20</v>
      </c>
      <c r="J1394" t="s">
        <v>19</v>
      </c>
      <c r="K1394">
        <v>2.0223550000000001</v>
      </c>
      <c r="L1394" t="s">
        <v>19</v>
      </c>
      <c r="M1394">
        <v>0.24474899999999999</v>
      </c>
      <c r="N1394">
        <v>0.28921799999999998</v>
      </c>
      <c r="O1394" t="s">
        <v>20</v>
      </c>
      <c r="P1394" t="s">
        <v>21</v>
      </c>
      <c r="Q1394" t="s">
        <v>30</v>
      </c>
    </row>
    <row r="1395" spans="1:17" x14ac:dyDescent="0.2">
      <c r="A1395" t="s">
        <v>23</v>
      </c>
      <c r="B1395">
        <v>23.096353000000001</v>
      </c>
      <c r="C1395">
        <v>1.728183</v>
      </c>
      <c r="D1395">
        <v>97.959898999999993</v>
      </c>
      <c r="E1395" t="s">
        <v>18</v>
      </c>
      <c r="F1395" t="s">
        <v>18</v>
      </c>
      <c r="G1395">
        <v>2</v>
      </c>
      <c r="H1395">
        <v>2.9861719999999998</v>
      </c>
      <c r="I1395" t="s">
        <v>20</v>
      </c>
      <c r="J1395" t="s">
        <v>19</v>
      </c>
      <c r="K1395">
        <v>2.3642080000000001</v>
      </c>
      <c r="L1395" t="s">
        <v>19</v>
      </c>
      <c r="M1395">
        <v>2.4924019999999998</v>
      </c>
      <c r="N1395">
        <v>1.632506</v>
      </c>
      <c r="O1395" t="s">
        <v>19</v>
      </c>
      <c r="P1395" t="s">
        <v>21</v>
      </c>
      <c r="Q1395" t="s">
        <v>30</v>
      </c>
    </row>
    <row r="1396" spans="1:17" x14ac:dyDescent="0.2">
      <c r="A1396" t="s">
        <v>23</v>
      </c>
      <c r="B1396">
        <v>22.815415999999999</v>
      </c>
      <c r="C1396">
        <v>1.732694</v>
      </c>
      <c r="D1396">
        <v>98.441130000000001</v>
      </c>
      <c r="E1396" t="s">
        <v>18</v>
      </c>
      <c r="F1396" t="s">
        <v>18</v>
      </c>
      <c r="G1396">
        <v>2</v>
      </c>
      <c r="H1396">
        <v>2.9936229999999999</v>
      </c>
      <c r="I1396" t="s">
        <v>20</v>
      </c>
      <c r="J1396" t="s">
        <v>19</v>
      </c>
      <c r="K1396">
        <v>2.326635</v>
      </c>
      <c r="L1396" t="s">
        <v>19</v>
      </c>
      <c r="M1396">
        <v>2.236586</v>
      </c>
      <c r="N1396">
        <v>1.529423</v>
      </c>
      <c r="O1396" t="s">
        <v>19</v>
      </c>
      <c r="P1396" t="s">
        <v>21</v>
      </c>
      <c r="Q1396" t="s">
        <v>30</v>
      </c>
    </row>
    <row r="1397" spans="1:17" x14ac:dyDescent="0.2">
      <c r="A1397" t="s">
        <v>17</v>
      </c>
      <c r="B1397">
        <v>21.02064</v>
      </c>
      <c r="C1397">
        <v>1.65</v>
      </c>
      <c r="D1397">
        <v>88.129436999999996</v>
      </c>
      <c r="E1397" t="s">
        <v>18</v>
      </c>
      <c r="F1397" t="s">
        <v>18</v>
      </c>
      <c r="G1397">
        <v>2.870152</v>
      </c>
      <c r="H1397">
        <v>1.0013829999999999</v>
      </c>
      <c r="I1397" t="s">
        <v>20</v>
      </c>
      <c r="J1397" t="s">
        <v>19</v>
      </c>
      <c r="K1397">
        <v>3</v>
      </c>
      <c r="L1397" t="s">
        <v>19</v>
      </c>
      <c r="M1397">
        <v>1.3225579999999999</v>
      </c>
      <c r="N1397">
        <v>1</v>
      </c>
      <c r="O1397" t="s">
        <v>19</v>
      </c>
      <c r="P1397" t="s">
        <v>21</v>
      </c>
      <c r="Q1397" t="s">
        <v>30</v>
      </c>
    </row>
    <row r="1398" spans="1:17" x14ac:dyDescent="0.2">
      <c r="A1398" t="s">
        <v>17</v>
      </c>
      <c r="B1398">
        <v>21.001458</v>
      </c>
      <c r="C1398">
        <v>1.65</v>
      </c>
      <c r="D1398">
        <v>88.026943000000003</v>
      </c>
      <c r="E1398" t="s">
        <v>18</v>
      </c>
      <c r="F1398" t="s">
        <v>18</v>
      </c>
      <c r="G1398">
        <v>2.4825750000000002</v>
      </c>
      <c r="H1398">
        <v>1.0015419999999999</v>
      </c>
      <c r="I1398" t="s">
        <v>20</v>
      </c>
      <c r="J1398" t="s">
        <v>19</v>
      </c>
      <c r="K1398">
        <v>3</v>
      </c>
      <c r="L1398" t="s">
        <v>19</v>
      </c>
      <c r="M1398">
        <v>1.7516560000000001</v>
      </c>
      <c r="N1398">
        <v>1</v>
      </c>
      <c r="O1398" t="s">
        <v>19</v>
      </c>
      <c r="P1398" t="s">
        <v>21</v>
      </c>
      <c r="Q1398" t="s">
        <v>30</v>
      </c>
    </row>
    <row r="1399" spans="1:17" x14ac:dyDescent="0.2">
      <c r="A1399" t="s">
        <v>17</v>
      </c>
      <c r="B1399">
        <v>22.877949999999998</v>
      </c>
      <c r="C1399">
        <v>1.66913</v>
      </c>
      <c r="D1399">
        <v>86.002735999999999</v>
      </c>
      <c r="E1399" t="s">
        <v>18</v>
      </c>
      <c r="F1399" t="s">
        <v>18</v>
      </c>
      <c r="G1399">
        <v>2.290095</v>
      </c>
      <c r="H1399">
        <v>2.5902829999999999</v>
      </c>
      <c r="I1399" t="s">
        <v>20</v>
      </c>
      <c r="J1399" t="s">
        <v>19</v>
      </c>
      <c r="K1399">
        <v>2.5062959999999999</v>
      </c>
      <c r="L1399" t="s">
        <v>19</v>
      </c>
      <c r="M1399">
        <v>0.31225399999999998</v>
      </c>
      <c r="N1399">
        <v>1</v>
      </c>
      <c r="O1399" t="s">
        <v>19</v>
      </c>
      <c r="P1399" t="s">
        <v>21</v>
      </c>
      <c r="Q1399" t="s">
        <v>30</v>
      </c>
    </row>
    <row r="1400" spans="1:17" x14ac:dyDescent="0.2">
      <c r="A1400" t="s">
        <v>17</v>
      </c>
      <c r="B1400">
        <v>22.847618000000001</v>
      </c>
      <c r="C1400">
        <v>1.669136</v>
      </c>
      <c r="D1400">
        <v>85.568385000000006</v>
      </c>
      <c r="E1400" t="s">
        <v>18</v>
      </c>
      <c r="F1400" t="s">
        <v>18</v>
      </c>
      <c r="G1400">
        <v>2.074843</v>
      </c>
      <c r="H1400">
        <v>1.773916</v>
      </c>
      <c r="I1400" t="s">
        <v>20</v>
      </c>
      <c r="J1400" t="s">
        <v>19</v>
      </c>
      <c r="K1400">
        <v>2.4282710000000001</v>
      </c>
      <c r="L1400" t="s">
        <v>19</v>
      </c>
      <c r="M1400">
        <v>3.5090999999999997E-2</v>
      </c>
      <c r="N1400">
        <v>1</v>
      </c>
      <c r="O1400" t="s">
        <v>19</v>
      </c>
      <c r="P1400" t="s">
        <v>21</v>
      </c>
      <c r="Q1400" t="s">
        <v>30</v>
      </c>
    </row>
    <row r="1401" spans="1:17" x14ac:dyDescent="0.2">
      <c r="A1401" t="s">
        <v>17</v>
      </c>
      <c r="B1401">
        <v>23</v>
      </c>
      <c r="C1401">
        <v>1.6110580000000001</v>
      </c>
      <c r="D1401">
        <v>84.191125</v>
      </c>
      <c r="E1401" t="s">
        <v>18</v>
      </c>
      <c r="F1401" t="s">
        <v>18</v>
      </c>
      <c r="G1401">
        <v>2.1412800000000001</v>
      </c>
      <c r="H1401">
        <v>2.989112</v>
      </c>
      <c r="I1401" t="s">
        <v>20</v>
      </c>
      <c r="J1401" t="s">
        <v>19</v>
      </c>
      <c r="K1401">
        <v>2.519841</v>
      </c>
      <c r="L1401" t="s">
        <v>19</v>
      </c>
      <c r="M1401">
        <v>2.11137</v>
      </c>
      <c r="N1401">
        <v>1.3483E-2</v>
      </c>
      <c r="O1401" t="s">
        <v>19</v>
      </c>
      <c r="P1401" t="s">
        <v>21</v>
      </c>
      <c r="Q1401" t="s">
        <v>30</v>
      </c>
    </row>
    <row r="1402" spans="1:17" x14ac:dyDescent="0.2">
      <c r="A1402" t="s">
        <v>17</v>
      </c>
      <c r="B1402">
        <v>23</v>
      </c>
      <c r="C1402">
        <v>1.6497360000000001</v>
      </c>
      <c r="D1402">
        <v>84.134711999999993</v>
      </c>
      <c r="E1402" t="s">
        <v>18</v>
      </c>
      <c r="F1402" t="s">
        <v>18</v>
      </c>
      <c r="G1402">
        <v>2.3344740000000002</v>
      </c>
      <c r="H1402">
        <v>1.4967760000000001</v>
      </c>
      <c r="I1402" t="s">
        <v>20</v>
      </c>
      <c r="J1402" t="s">
        <v>19</v>
      </c>
      <c r="K1402">
        <v>2.7767240000000002</v>
      </c>
      <c r="L1402" t="s">
        <v>19</v>
      </c>
      <c r="M1402">
        <v>0.782416</v>
      </c>
      <c r="N1402">
        <v>0.16772799999999999</v>
      </c>
      <c r="O1402" t="s">
        <v>19</v>
      </c>
      <c r="P1402" t="s">
        <v>21</v>
      </c>
      <c r="Q1402" t="s">
        <v>30</v>
      </c>
    </row>
    <row r="1403" spans="1:17" x14ac:dyDescent="0.2">
      <c r="A1403" t="s">
        <v>17</v>
      </c>
      <c r="B1403">
        <v>39.129291000000002</v>
      </c>
      <c r="C1403">
        <v>1.532643</v>
      </c>
      <c r="D1403">
        <v>77.550344999999993</v>
      </c>
      <c r="E1403" t="s">
        <v>18</v>
      </c>
      <c r="F1403" t="s">
        <v>18</v>
      </c>
      <c r="G1403">
        <v>2</v>
      </c>
      <c r="H1403">
        <v>3</v>
      </c>
      <c r="I1403" t="s">
        <v>20</v>
      </c>
      <c r="J1403" t="s">
        <v>19</v>
      </c>
      <c r="K1403">
        <v>1.1869959999999999</v>
      </c>
      <c r="L1403" t="s">
        <v>19</v>
      </c>
      <c r="M1403">
        <v>0</v>
      </c>
      <c r="N1403">
        <v>0</v>
      </c>
      <c r="O1403" t="s">
        <v>20</v>
      </c>
      <c r="P1403" t="s">
        <v>28</v>
      </c>
      <c r="Q1403" t="s">
        <v>30</v>
      </c>
    </row>
    <row r="1404" spans="1:17" x14ac:dyDescent="0.2">
      <c r="A1404" t="s">
        <v>17</v>
      </c>
      <c r="B1404">
        <v>37.441043999999998</v>
      </c>
      <c r="C1404">
        <v>1.5242929999999999</v>
      </c>
      <c r="D1404">
        <v>76.202760999999995</v>
      </c>
      <c r="E1404" t="s">
        <v>18</v>
      </c>
      <c r="F1404" t="s">
        <v>18</v>
      </c>
      <c r="G1404">
        <v>2</v>
      </c>
      <c r="H1404">
        <v>2.994046</v>
      </c>
      <c r="I1404" t="s">
        <v>20</v>
      </c>
      <c r="J1404" t="s">
        <v>19</v>
      </c>
      <c r="K1404">
        <v>1.6035489999999999</v>
      </c>
      <c r="L1404" t="s">
        <v>19</v>
      </c>
      <c r="M1404">
        <v>1.3358570000000001</v>
      </c>
      <c r="N1404">
        <v>0</v>
      </c>
      <c r="O1404" t="s">
        <v>20</v>
      </c>
      <c r="P1404" t="s">
        <v>28</v>
      </c>
      <c r="Q1404" t="s">
        <v>30</v>
      </c>
    </row>
    <row r="1405" spans="1:17" x14ac:dyDescent="0.2">
      <c r="A1405" t="s">
        <v>23</v>
      </c>
      <c r="B1405">
        <v>22.969366000000001</v>
      </c>
      <c r="C1405">
        <v>1.7016340000000001</v>
      </c>
      <c r="D1405">
        <v>95</v>
      </c>
      <c r="E1405" t="s">
        <v>18</v>
      </c>
      <c r="F1405" t="s">
        <v>18</v>
      </c>
      <c r="G1405">
        <v>2</v>
      </c>
      <c r="H1405">
        <v>3</v>
      </c>
      <c r="I1405" t="s">
        <v>20</v>
      </c>
      <c r="J1405" t="s">
        <v>19</v>
      </c>
      <c r="K1405">
        <v>2.1334689999999998</v>
      </c>
      <c r="L1405" t="s">
        <v>19</v>
      </c>
      <c r="M1405">
        <v>1.0301990000000001</v>
      </c>
      <c r="N1405">
        <v>1.082838</v>
      </c>
      <c r="O1405" t="s">
        <v>19</v>
      </c>
      <c r="P1405" t="s">
        <v>21</v>
      </c>
      <c r="Q1405" t="s">
        <v>30</v>
      </c>
    </row>
    <row r="1406" spans="1:17" x14ac:dyDescent="0.2">
      <c r="A1406" t="s">
        <v>23</v>
      </c>
      <c r="B1406">
        <v>22.735327999999999</v>
      </c>
      <c r="C1406">
        <v>1.723921</v>
      </c>
      <c r="D1406">
        <v>94.743892000000002</v>
      </c>
      <c r="E1406" t="s">
        <v>18</v>
      </c>
      <c r="F1406" t="s">
        <v>18</v>
      </c>
      <c r="G1406">
        <v>2</v>
      </c>
      <c r="H1406">
        <v>3</v>
      </c>
      <c r="I1406" t="s">
        <v>20</v>
      </c>
      <c r="J1406" t="s">
        <v>19</v>
      </c>
      <c r="K1406">
        <v>2.1831489999999998</v>
      </c>
      <c r="L1406" t="s">
        <v>19</v>
      </c>
      <c r="M1406">
        <v>1.9323859999999999</v>
      </c>
      <c r="N1406">
        <v>0.21276700000000001</v>
      </c>
      <c r="O1406" t="s">
        <v>19</v>
      </c>
      <c r="P1406" t="s">
        <v>21</v>
      </c>
      <c r="Q1406" t="s">
        <v>30</v>
      </c>
    </row>
    <row r="1407" spans="1:17" x14ac:dyDescent="0.2">
      <c r="A1407" t="s">
        <v>23</v>
      </c>
      <c r="B1407">
        <v>23.32471</v>
      </c>
      <c r="C1407">
        <v>1.7694840000000001</v>
      </c>
      <c r="D1407">
        <v>96.078462000000002</v>
      </c>
      <c r="E1407" t="s">
        <v>18</v>
      </c>
      <c r="F1407" t="s">
        <v>18</v>
      </c>
      <c r="G1407">
        <v>2</v>
      </c>
      <c r="H1407">
        <v>3</v>
      </c>
      <c r="I1407" t="s">
        <v>20</v>
      </c>
      <c r="J1407" t="s">
        <v>19</v>
      </c>
      <c r="K1407">
        <v>3</v>
      </c>
      <c r="L1407" t="s">
        <v>19</v>
      </c>
      <c r="M1407">
        <v>3</v>
      </c>
      <c r="N1407">
        <v>2</v>
      </c>
      <c r="O1407" t="s">
        <v>19</v>
      </c>
      <c r="P1407" t="s">
        <v>21</v>
      </c>
      <c r="Q1407" t="s">
        <v>30</v>
      </c>
    </row>
    <row r="1408" spans="1:17" x14ac:dyDescent="0.2">
      <c r="A1408" t="s">
        <v>23</v>
      </c>
      <c r="B1408">
        <v>23.668137000000002</v>
      </c>
      <c r="C1408">
        <v>1.7774160000000001</v>
      </c>
      <c r="D1408">
        <v>97.842405999999997</v>
      </c>
      <c r="E1408" t="s">
        <v>18</v>
      </c>
      <c r="F1408" t="s">
        <v>18</v>
      </c>
      <c r="G1408">
        <v>2</v>
      </c>
      <c r="H1408">
        <v>3</v>
      </c>
      <c r="I1408" t="s">
        <v>20</v>
      </c>
      <c r="J1408" t="s">
        <v>19</v>
      </c>
      <c r="K1408">
        <v>3</v>
      </c>
      <c r="L1408" t="s">
        <v>19</v>
      </c>
      <c r="M1408">
        <v>3</v>
      </c>
      <c r="N1408">
        <v>2</v>
      </c>
      <c r="O1408" t="s">
        <v>19</v>
      </c>
      <c r="P1408" t="s">
        <v>21</v>
      </c>
      <c r="Q1408" t="s">
        <v>30</v>
      </c>
    </row>
    <row r="1409" spans="1:17" x14ac:dyDescent="0.2">
      <c r="A1409" t="s">
        <v>17</v>
      </c>
      <c r="B1409">
        <v>21.895468000000001</v>
      </c>
      <c r="C1409">
        <v>1.64456</v>
      </c>
      <c r="D1409">
        <v>88.119139000000004</v>
      </c>
      <c r="E1409" t="s">
        <v>18</v>
      </c>
      <c r="F1409" t="s">
        <v>18</v>
      </c>
      <c r="G1409">
        <v>2.6938589999999998</v>
      </c>
      <c r="H1409">
        <v>1.000283</v>
      </c>
      <c r="I1409" t="s">
        <v>20</v>
      </c>
      <c r="J1409" t="s">
        <v>19</v>
      </c>
      <c r="K1409">
        <v>3</v>
      </c>
      <c r="L1409" t="s">
        <v>19</v>
      </c>
      <c r="M1409">
        <v>1.201403</v>
      </c>
      <c r="N1409">
        <v>1.6124320000000001</v>
      </c>
      <c r="O1409" t="s">
        <v>19</v>
      </c>
      <c r="P1409" t="s">
        <v>21</v>
      </c>
      <c r="Q1409" t="s">
        <v>30</v>
      </c>
    </row>
    <row r="1410" spans="1:17" x14ac:dyDescent="0.2">
      <c r="A1410" t="s">
        <v>17</v>
      </c>
      <c r="B1410">
        <v>21.392800000000001</v>
      </c>
      <c r="C1410">
        <v>1.641149</v>
      </c>
      <c r="D1410">
        <v>88.079177000000001</v>
      </c>
      <c r="E1410" t="s">
        <v>18</v>
      </c>
      <c r="F1410" t="s">
        <v>18</v>
      </c>
      <c r="G1410">
        <v>2.6077469999999998</v>
      </c>
      <c r="H1410">
        <v>1.0004139999999999</v>
      </c>
      <c r="I1410" t="s">
        <v>20</v>
      </c>
      <c r="J1410" t="s">
        <v>19</v>
      </c>
      <c r="K1410">
        <v>3</v>
      </c>
      <c r="L1410" t="s">
        <v>19</v>
      </c>
      <c r="M1410">
        <v>1.269169</v>
      </c>
      <c r="N1410">
        <v>1.460564</v>
      </c>
      <c r="O1410" t="s">
        <v>19</v>
      </c>
      <c r="P1410" t="s">
        <v>21</v>
      </c>
      <c r="Q1410" t="s">
        <v>30</v>
      </c>
    </row>
    <row r="1411" spans="1:17" x14ac:dyDescent="0.2">
      <c r="A1411" t="s">
        <v>17</v>
      </c>
      <c r="B1411">
        <v>18.178076000000001</v>
      </c>
      <c r="C1411">
        <v>1.642892</v>
      </c>
      <c r="D1411">
        <v>82.144405000000006</v>
      </c>
      <c r="E1411" t="s">
        <v>18</v>
      </c>
      <c r="F1411" t="s">
        <v>18</v>
      </c>
      <c r="G1411">
        <v>2.6688900000000002</v>
      </c>
      <c r="H1411">
        <v>3</v>
      </c>
      <c r="I1411" t="s">
        <v>20</v>
      </c>
      <c r="J1411" t="s">
        <v>19</v>
      </c>
      <c r="K1411">
        <v>1.172593</v>
      </c>
      <c r="L1411" t="s">
        <v>19</v>
      </c>
      <c r="M1411">
        <v>0.88644800000000001</v>
      </c>
      <c r="N1411">
        <v>1.252677</v>
      </c>
      <c r="O1411" t="s">
        <v>19</v>
      </c>
      <c r="P1411" t="s">
        <v>21</v>
      </c>
      <c r="Q1411" t="s">
        <v>30</v>
      </c>
    </row>
    <row r="1412" spans="1:17" x14ac:dyDescent="0.2">
      <c r="A1412" t="s">
        <v>17</v>
      </c>
      <c r="B1412">
        <v>18.907513999999999</v>
      </c>
      <c r="C1412">
        <v>1.65</v>
      </c>
      <c r="D1412">
        <v>82.01831</v>
      </c>
      <c r="E1412" t="s">
        <v>18</v>
      </c>
      <c r="F1412" t="s">
        <v>18</v>
      </c>
      <c r="G1412">
        <v>3</v>
      </c>
      <c r="H1412">
        <v>3</v>
      </c>
      <c r="I1412" t="s">
        <v>20</v>
      </c>
      <c r="J1412" t="s">
        <v>19</v>
      </c>
      <c r="K1412">
        <v>1</v>
      </c>
      <c r="L1412" t="s">
        <v>19</v>
      </c>
      <c r="M1412">
        <v>0.21518699999999999</v>
      </c>
      <c r="N1412">
        <v>1.195929</v>
      </c>
      <c r="O1412" t="s">
        <v>19</v>
      </c>
      <c r="P1412" t="s">
        <v>21</v>
      </c>
      <c r="Q1412" t="s">
        <v>30</v>
      </c>
    </row>
    <row r="1413" spans="1:17" x14ac:dyDescent="0.2">
      <c r="A1413" t="s">
        <v>23</v>
      </c>
      <c r="B1413">
        <v>26.011928000000001</v>
      </c>
      <c r="C1413">
        <v>1.7772509999999999</v>
      </c>
      <c r="D1413">
        <v>106.452367</v>
      </c>
      <c r="E1413" t="s">
        <v>18</v>
      </c>
      <c r="F1413" t="s">
        <v>18</v>
      </c>
      <c r="G1413">
        <v>3</v>
      </c>
      <c r="H1413">
        <v>3</v>
      </c>
      <c r="I1413" t="s">
        <v>20</v>
      </c>
      <c r="J1413" t="s">
        <v>19</v>
      </c>
      <c r="K1413">
        <v>1.9113789999999999</v>
      </c>
      <c r="L1413" t="s">
        <v>19</v>
      </c>
      <c r="M1413">
        <v>1.9110959999999999</v>
      </c>
      <c r="N1413">
        <v>1.032392</v>
      </c>
      <c r="O1413" t="s">
        <v>20</v>
      </c>
      <c r="P1413" t="s">
        <v>21</v>
      </c>
      <c r="Q1413" t="s">
        <v>30</v>
      </c>
    </row>
    <row r="1414" spans="1:17" x14ac:dyDescent="0.2">
      <c r="A1414" t="s">
        <v>23</v>
      </c>
      <c r="B1414">
        <v>25.696736000000001</v>
      </c>
      <c r="C1414">
        <v>1.8146960000000001</v>
      </c>
      <c r="D1414">
        <v>107.55963</v>
      </c>
      <c r="E1414" t="s">
        <v>18</v>
      </c>
      <c r="F1414" t="s">
        <v>18</v>
      </c>
      <c r="G1414">
        <v>2.9212250000000002</v>
      </c>
      <c r="H1414">
        <v>3</v>
      </c>
      <c r="I1414" t="s">
        <v>20</v>
      </c>
      <c r="J1414" t="s">
        <v>19</v>
      </c>
      <c r="K1414">
        <v>2.8694389999999999</v>
      </c>
      <c r="L1414" t="s">
        <v>19</v>
      </c>
      <c r="M1414">
        <v>0.181753</v>
      </c>
      <c r="N1414">
        <v>0.133523</v>
      </c>
      <c r="O1414" t="s">
        <v>20</v>
      </c>
      <c r="P1414" t="s">
        <v>21</v>
      </c>
      <c r="Q1414" t="s">
        <v>30</v>
      </c>
    </row>
    <row r="1415" spans="1:17" x14ac:dyDescent="0.2">
      <c r="A1415" t="s">
        <v>17</v>
      </c>
      <c r="B1415">
        <v>40.466313</v>
      </c>
      <c r="C1415">
        <v>1.559005</v>
      </c>
      <c r="D1415">
        <v>77.601483000000002</v>
      </c>
      <c r="E1415" t="s">
        <v>18</v>
      </c>
      <c r="F1415" t="s">
        <v>18</v>
      </c>
      <c r="G1415">
        <v>2</v>
      </c>
      <c r="H1415">
        <v>3</v>
      </c>
      <c r="I1415" t="s">
        <v>20</v>
      </c>
      <c r="J1415" t="s">
        <v>19</v>
      </c>
      <c r="K1415">
        <v>1.572371</v>
      </c>
      <c r="L1415" t="s">
        <v>19</v>
      </c>
      <c r="M1415">
        <v>0</v>
      </c>
      <c r="N1415">
        <v>0</v>
      </c>
      <c r="O1415" t="s">
        <v>20</v>
      </c>
      <c r="P1415" t="s">
        <v>28</v>
      </c>
      <c r="Q1415" t="s">
        <v>30</v>
      </c>
    </row>
    <row r="1416" spans="1:17" x14ac:dyDescent="0.2">
      <c r="A1416" t="s">
        <v>17</v>
      </c>
      <c r="B1416">
        <v>38.445148000000003</v>
      </c>
      <c r="C1416">
        <v>1.556028</v>
      </c>
      <c r="D1416">
        <v>77.684229000000002</v>
      </c>
      <c r="E1416" t="s">
        <v>18</v>
      </c>
      <c r="F1416" t="s">
        <v>18</v>
      </c>
      <c r="G1416">
        <v>2</v>
      </c>
      <c r="H1416">
        <v>3</v>
      </c>
      <c r="I1416" t="s">
        <v>20</v>
      </c>
      <c r="J1416" t="s">
        <v>19</v>
      </c>
      <c r="K1416">
        <v>1.4406289999999999</v>
      </c>
      <c r="L1416" t="s">
        <v>19</v>
      </c>
      <c r="M1416">
        <v>0</v>
      </c>
      <c r="N1416">
        <v>0</v>
      </c>
      <c r="O1416" t="s">
        <v>20</v>
      </c>
      <c r="P1416" t="s">
        <v>28</v>
      </c>
      <c r="Q1416" t="s">
        <v>30</v>
      </c>
    </row>
    <row r="1417" spans="1:17" x14ac:dyDescent="0.2">
      <c r="A1417" t="s">
        <v>23</v>
      </c>
      <c r="B1417">
        <v>24.473061999999999</v>
      </c>
      <c r="C1417">
        <v>1.653751</v>
      </c>
      <c r="D1417">
        <v>91.204752999999997</v>
      </c>
      <c r="E1417" t="s">
        <v>18</v>
      </c>
      <c r="F1417" t="s">
        <v>18</v>
      </c>
      <c r="G1417">
        <v>1.492834</v>
      </c>
      <c r="H1417">
        <v>3</v>
      </c>
      <c r="I1417" t="s">
        <v>20</v>
      </c>
      <c r="J1417" t="s">
        <v>19</v>
      </c>
      <c r="K1417">
        <v>1.0053669999999999</v>
      </c>
      <c r="L1417" t="s">
        <v>19</v>
      </c>
      <c r="M1417">
        <v>0.92273899999999998</v>
      </c>
      <c r="N1417">
        <v>0.73322100000000001</v>
      </c>
      <c r="O1417" t="s">
        <v>19</v>
      </c>
      <c r="P1417" t="s">
        <v>28</v>
      </c>
      <c r="Q1417" t="s">
        <v>30</v>
      </c>
    </row>
    <row r="1418" spans="1:17" x14ac:dyDescent="0.2">
      <c r="A1418" t="s">
        <v>23</v>
      </c>
      <c r="B1418">
        <v>23.479181000000001</v>
      </c>
      <c r="C1418">
        <v>1.6801710000000001</v>
      </c>
      <c r="D1418">
        <v>91.068054000000004</v>
      </c>
      <c r="E1418" t="s">
        <v>18</v>
      </c>
      <c r="F1418" t="s">
        <v>18</v>
      </c>
      <c r="G1418">
        <v>1.220024</v>
      </c>
      <c r="H1418">
        <v>3</v>
      </c>
      <c r="I1418" t="s">
        <v>20</v>
      </c>
      <c r="J1418" t="s">
        <v>19</v>
      </c>
      <c r="K1418">
        <v>1.046254</v>
      </c>
      <c r="L1418" t="s">
        <v>19</v>
      </c>
      <c r="M1418">
        <v>0.52098900000000004</v>
      </c>
      <c r="N1418">
        <v>0.61599000000000004</v>
      </c>
      <c r="O1418" t="s">
        <v>19</v>
      </c>
      <c r="P1418" t="s">
        <v>28</v>
      </c>
      <c r="Q1418" t="s">
        <v>30</v>
      </c>
    </row>
    <row r="1419" spans="1:17" x14ac:dyDescent="0.2">
      <c r="A1419" t="s">
        <v>17</v>
      </c>
      <c r="B1419">
        <v>38.397463000000002</v>
      </c>
      <c r="C1419">
        <v>1.552648</v>
      </c>
      <c r="D1419">
        <v>80</v>
      </c>
      <c r="E1419" t="s">
        <v>18</v>
      </c>
      <c r="F1419" t="s">
        <v>18</v>
      </c>
      <c r="G1419">
        <v>2.6676760000000002</v>
      </c>
      <c r="H1419">
        <v>1.135278</v>
      </c>
      <c r="I1419" t="s">
        <v>20</v>
      </c>
      <c r="J1419" t="s">
        <v>19</v>
      </c>
      <c r="K1419">
        <v>1.399629</v>
      </c>
      <c r="L1419" t="s">
        <v>19</v>
      </c>
      <c r="M1419">
        <v>1.6488830000000001</v>
      </c>
      <c r="N1419">
        <v>0</v>
      </c>
      <c r="O1419" t="s">
        <v>20</v>
      </c>
      <c r="P1419" t="s">
        <v>28</v>
      </c>
      <c r="Q1419" t="s">
        <v>30</v>
      </c>
    </row>
    <row r="1420" spans="1:17" x14ac:dyDescent="0.2">
      <c r="A1420" t="s">
        <v>17</v>
      </c>
      <c r="B1420">
        <v>37.974482999999999</v>
      </c>
      <c r="C1420">
        <v>1.5602149999999999</v>
      </c>
      <c r="D1420">
        <v>80</v>
      </c>
      <c r="E1420" t="s">
        <v>18</v>
      </c>
      <c r="F1420" t="s">
        <v>18</v>
      </c>
      <c r="G1420">
        <v>2.5690750000000002</v>
      </c>
      <c r="H1420">
        <v>2.4631129999999999</v>
      </c>
      <c r="I1420" t="s">
        <v>20</v>
      </c>
      <c r="J1420" t="s">
        <v>19</v>
      </c>
      <c r="K1420">
        <v>1.567366</v>
      </c>
      <c r="L1420" t="s">
        <v>19</v>
      </c>
      <c r="M1420">
        <v>0.35913400000000001</v>
      </c>
      <c r="N1420">
        <v>0</v>
      </c>
      <c r="O1420" t="s">
        <v>20</v>
      </c>
      <c r="P1420" t="s">
        <v>28</v>
      </c>
      <c r="Q1420" t="s">
        <v>30</v>
      </c>
    </row>
    <row r="1421" spans="1:17" x14ac:dyDescent="0.2">
      <c r="A1421" t="s">
        <v>23</v>
      </c>
      <c r="B1421">
        <v>31.783524</v>
      </c>
      <c r="C1421">
        <v>1.6729590000000001</v>
      </c>
      <c r="D1421">
        <v>90</v>
      </c>
      <c r="E1421" t="s">
        <v>18</v>
      </c>
      <c r="F1421" t="s">
        <v>18</v>
      </c>
      <c r="G1421">
        <v>2.9492419999999999</v>
      </c>
      <c r="H1421">
        <v>1.7821089999999999</v>
      </c>
      <c r="I1421" t="s">
        <v>20</v>
      </c>
      <c r="J1421" t="s">
        <v>19</v>
      </c>
      <c r="K1421">
        <v>2.2109969999999999</v>
      </c>
      <c r="L1421" t="s">
        <v>19</v>
      </c>
      <c r="M1421">
        <v>1.9927189999999999</v>
      </c>
      <c r="N1421">
        <v>0</v>
      </c>
      <c r="O1421" t="s">
        <v>20</v>
      </c>
      <c r="P1421" t="s">
        <v>28</v>
      </c>
      <c r="Q1421" t="s">
        <v>30</v>
      </c>
    </row>
    <row r="1422" spans="1:17" x14ac:dyDescent="0.2">
      <c r="A1422" t="s">
        <v>23</v>
      </c>
      <c r="B1422">
        <v>29.681308000000001</v>
      </c>
      <c r="C1422">
        <v>1.6800580000000001</v>
      </c>
      <c r="D1422">
        <v>89.994350999999995</v>
      </c>
      <c r="E1422" t="s">
        <v>18</v>
      </c>
      <c r="F1422" t="s">
        <v>18</v>
      </c>
      <c r="G1422">
        <v>2.1047720000000001</v>
      </c>
      <c r="H1422">
        <v>2.3763740000000002</v>
      </c>
      <c r="I1422" t="s">
        <v>20</v>
      </c>
      <c r="J1422" t="s">
        <v>19</v>
      </c>
      <c r="K1422">
        <v>2.2186910000000002</v>
      </c>
      <c r="L1422" t="s">
        <v>19</v>
      </c>
      <c r="M1422">
        <v>1.5218400000000001</v>
      </c>
      <c r="N1422">
        <v>0</v>
      </c>
      <c r="O1422" t="s">
        <v>20</v>
      </c>
      <c r="P1422" t="s">
        <v>28</v>
      </c>
      <c r="Q1422" t="s">
        <v>30</v>
      </c>
    </row>
    <row r="1423" spans="1:17" x14ac:dyDescent="0.2">
      <c r="A1423" t="s">
        <v>23</v>
      </c>
      <c r="B1423">
        <v>21.587743</v>
      </c>
      <c r="C1423">
        <v>1.664752</v>
      </c>
      <c r="D1423">
        <v>94.256546999999998</v>
      </c>
      <c r="E1423" t="s">
        <v>18</v>
      </c>
      <c r="F1423" t="s">
        <v>18</v>
      </c>
      <c r="G1423">
        <v>2</v>
      </c>
      <c r="H1423">
        <v>2.9760979999999999</v>
      </c>
      <c r="I1423" t="s">
        <v>20</v>
      </c>
      <c r="J1423" t="s">
        <v>19</v>
      </c>
      <c r="K1423">
        <v>2</v>
      </c>
      <c r="L1423" t="s">
        <v>19</v>
      </c>
      <c r="M1423">
        <v>0</v>
      </c>
      <c r="N1423">
        <v>1.3932199999999999</v>
      </c>
      <c r="O1423" t="s">
        <v>19</v>
      </c>
      <c r="P1423" t="s">
        <v>21</v>
      </c>
      <c r="Q1423" t="s">
        <v>30</v>
      </c>
    </row>
    <row r="1424" spans="1:17" x14ac:dyDescent="0.2">
      <c r="A1424" t="s">
        <v>23</v>
      </c>
      <c r="B1424">
        <v>21.746113000000001</v>
      </c>
      <c r="C1424">
        <v>1.668553</v>
      </c>
      <c r="D1424">
        <v>94.454393999999994</v>
      </c>
      <c r="E1424" t="s">
        <v>18</v>
      </c>
      <c r="F1424" t="s">
        <v>18</v>
      </c>
      <c r="G1424">
        <v>2</v>
      </c>
      <c r="H1424">
        <v>2.9680979999999999</v>
      </c>
      <c r="I1424" t="s">
        <v>20</v>
      </c>
      <c r="J1424" t="s">
        <v>19</v>
      </c>
      <c r="K1424">
        <v>2</v>
      </c>
      <c r="L1424" t="s">
        <v>19</v>
      </c>
      <c r="M1424">
        <v>0</v>
      </c>
      <c r="N1424">
        <v>1.292476</v>
      </c>
      <c r="O1424" t="s">
        <v>19</v>
      </c>
      <c r="P1424" t="s">
        <v>21</v>
      </c>
      <c r="Q1424" t="s">
        <v>30</v>
      </c>
    </row>
    <row r="1425" spans="1:17" x14ac:dyDescent="0.2">
      <c r="A1425" t="s">
        <v>23</v>
      </c>
      <c r="B1425">
        <v>39.569004</v>
      </c>
      <c r="C1425">
        <v>1.7852859999999999</v>
      </c>
      <c r="D1425">
        <v>100.431625</v>
      </c>
      <c r="E1425" t="s">
        <v>18</v>
      </c>
      <c r="F1425" t="s">
        <v>18</v>
      </c>
      <c r="G1425">
        <v>2.8717679999999999</v>
      </c>
      <c r="H1425">
        <v>1.7926949999999999</v>
      </c>
      <c r="I1425" t="s">
        <v>20</v>
      </c>
      <c r="J1425" t="s">
        <v>19</v>
      </c>
      <c r="K1425">
        <v>2.691322</v>
      </c>
      <c r="L1425" t="s">
        <v>19</v>
      </c>
      <c r="M1425">
        <v>2.5457070000000002</v>
      </c>
      <c r="N1425">
        <v>0.90390300000000001</v>
      </c>
      <c r="O1425" t="s">
        <v>24</v>
      </c>
      <c r="P1425" t="s">
        <v>28</v>
      </c>
      <c r="Q1425" t="s">
        <v>30</v>
      </c>
    </row>
    <row r="1426" spans="1:17" x14ac:dyDescent="0.2">
      <c r="A1426" t="s">
        <v>23</v>
      </c>
      <c r="B1426">
        <v>36.67933</v>
      </c>
      <c r="C1426">
        <v>1.7807249999999999</v>
      </c>
      <c r="D1426">
        <v>98.790166999999997</v>
      </c>
      <c r="E1426" t="s">
        <v>18</v>
      </c>
      <c r="F1426" t="s">
        <v>18</v>
      </c>
      <c r="G1426">
        <v>2.5409489999999999</v>
      </c>
      <c r="H1426">
        <v>1.116401</v>
      </c>
      <c r="I1426" t="s">
        <v>20</v>
      </c>
      <c r="J1426" t="s">
        <v>19</v>
      </c>
      <c r="K1426">
        <v>2.9291230000000001</v>
      </c>
      <c r="L1426" t="s">
        <v>19</v>
      </c>
      <c r="M1426">
        <v>2.7873190000000001</v>
      </c>
      <c r="N1426">
        <v>0.732881</v>
      </c>
      <c r="O1426" t="s">
        <v>24</v>
      </c>
      <c r="P1426" t="s">
        <v>28</v>
      </c>
      <c r="Q1426" t="s">
        <v>30</v>
      </c>
    </row>
    <row r="1427" spans="1:17" x14ac:dyDescent="0.2">
      <c r="A1427" t="s">
        <v>23</v>
      </c>
      <c r="B1427">
        <v>22.927011</v>
      </c>
      <c r="C1427">
        <v>1.7510460000000001</v>
      </c>
      <c r="D1427">
        <v>95.285898000000003</v>
      </c>
      <c r="E1427" t="s">
        <v>18</v>
      </c>
      <c r="F1427" t="s">
        <v>18</v>
      </c>
      <c r="G1427">
        <v>2</v>
      </c>
      <c r="H1427">
        <v>3</v>
      </c>
      <c r="I1427" t="s">
        <v>20</v>
      </c>
      <c r="J1427" t="s">
        <v>19</v>
      </c>
      <c r="K1427">
        <v>2.5303010000000001</v>
      </c>
      <c r="L1427" t="s">
        <v>19</v>
      </c>
      <c r="M1427">
        <v>2.8911799999999999</v>
      </c>
      <c r="N1427">
        <v>1.2871170000000001</v>
      </c>
      <c r="O1427" t="s">
        <v>19</v>
      </c>
      <c r="P1427" t="s">
        <v>21</v>
      </c>
      <c r="Q1427" t="s">
        <v>30</v>
      </c>
    </row>
    <row r="1428" spans="1:17" x14ac:dyDescent="0.2">
      <c r="A1428" t="s">
        <v>23</v>
      </c>
      <c r="B1428">
        <v>23.329343999999999</v>
      </c>
      <c r="C1428">
        <v>1.7513650000000001</v>
      </c>
      <c r="D1428">
        <v>95.290429000000003</v>
      </c>
      <c r="E1428" t="s">
        <v>18</v>
      </c>
      <c r="F1428" t="s">
        <v>18</v>
      </c>
      <c r="G1428">
        <v>2</v>
      </c>
      <c r="H1428">
        <v>3</v>
      </c>
      <c r="I1428" t="s">
        <v>20</v>
      </c>
      <c r="J1428" t="s">
        <v>19</v>
      </c>
      <c r="K1428">
        <v>3</v>
      </c>
      <c r="L1428" t="s">
        <v>19</v>
      </c>
      <c r="M1428">
        <v>3</v>
      </c>
      <c r="N1428">
        <v>2</v>
      </c>
      <c r="O1428" t="s">
        <v>19</v>
      </c>
      <c r="P1428" t="s">
        <v>21</v>
      </c>
      <c r="Q1428" t="s">
        <v>30</v>
      </c>
    </row>
    <row r="1429" spans="1:17" x14ac:dyDescent="0.2">
      <c r="A1429" t="s">
        <v>23</v>
      </c>
      <c r="B1429">
        <v>22.126325000000001</v>
      </c>
      <c r="C1429">
        <v>1.7172620000000001</v>
      </c>
      <c r="D1429">
        <v>98.579155999999998</v>
      </c>
      <c r="E1429" t="s">
        <v>18</v>
      </c>
      <c r="F1429" t="s">
        <v>18</v>
      </c>
      <c r="G1429">
        <v>2</v>
      </c>
      <c r="H1429">
        <v>2.9845229999999998</v>
      </c>
      <c r="I1429" t="s">
        <v>20</v>
      </c>
      <c r="J1429" t="s">
        <v>19</v>
      </c>
      <c r="K1429">
        <v>2.2635510000000001</v>
      </c>
      <c r="L1429" t="s">
        <v>19</v>
      </c>
      <c r="M1429">
        <v>2.819661</v>
      </c>
      <c r="N1429">
        <v>2</v>
      </c>
      <c r="O1429" t="s">
        <v>19</v>
      </c>
      <c r="P1429" t="s">
        <v>21</v>
      </c>
      <c r="Q1429" t="s">
        <v>30</v>
      </c>
    </row>
    <row r="1430" spans="1:17" x14ac:dyDescent="0.2">
      <c r="A1430" t="s">
        <v>23</v>
      </c>
      <c r="B1430">
        <v>21.679158000000001</v>
      </c>
      <c r="C1430">
        <v>1.741393</v>
      </c>
      <c r="D1430">
        <v>98.182497999999995</v>
      </c>
      <c r="E1430" t="s">
        <v>18</v>
      </c>
      <c r="F1430" t="s">
        <v>18</v>
      </c>
      <c r="G1430">
        <v>2</v>
      </c>
      <c r="H1430">
        <v>2.9781029999999999</v>
      </c>
      <c r="I1430" t="s">
        <v>20</v>
      </c>
      <c r="J1430" t="s">
        <v>19</v>
      </c>
      <c r="K1430">
        <v>2.6682610000000002</v>
      </c>
      <c r="L1430" t="s">
        <v>19</v>
      </c>
      <c r="M1430">
        <v>2.462269</v>
      </c>
      <c r="N1430">
        <v>1.402414</v>
      </c>
      <c r="O1430" t="s">
        <v>19</v>
      </c>
      <c r="P1430" t="s">
        <v>21</v>
      </c>
      <c r="Q1430" t="s">
        <v>30</v>
      </c>
    </row>
    <row r="1431" spans="1:17" x14ac:dyDescent="0.2">
      <c r="A1431" t="s">
        <v>23</v>
      </c>
      <c r="B1431">
        <v>36.673881999999999</v>
      </c>
      <c r="C1431">
        <v>1.7921</v>
      </c>
      <c r="D1431">
        <v>101.285765</v>
      </c>
      <c r="E1431" t="s">
        <v>18</v>
      </c>
      <c r="F1431" t="s">
        <v>18</v>
      </c>
      <c r="G1431">
        <v>2.2222819999999999</v>
      </c>
      <c r="H1431">
        <v>1.578751</v>
      </c>
      <c r="I1431" t="s">
        <v>20</v>
      </c>
      <c r="J1431" t="s">
        <v>19</v>
      </c>
      <c r="K1431">
        <v>2.791604</v>
      </c>
      <c r="L1431" t="s">
        <v>19</v>
      </c>
      <c r="M1431">
        <v>2.3520910000000002</v>
      </c>
      <c r="N1431">
        <v>0.31784600000000002</v>
      </c>
      <c r="O1431" t="s">
        <v>20</v>
      </c>
      <c r="P1431" t="s">
        <v>28</v>
      </c>
      <c r="Q1431" t="s">
        <v>30</v>
      </c>
    </row>
    <row r="1432" spans="1:17" x14ac:dyDescent="0.2">
      <c r="A1432" t="s">
        <v>23</v>
      </c>
      <c r="B1432">
        <v>37.936044000000003</v>
      </c>
      <c r="C1432">
        <v>1.785957</v>
      </c>
      <c r="D1432">
        <v>99.199286999999998</v>
      </c>
      <c r="E1432" t="s">
        <v>18</v>
      </c>
      <c r="F1432" t="s">
        <v>18</v>
      </c>
      <c r="G1432">
        <v>2.0451600000000001</v>
      </c>
      <c r="H1432">
        <v>1.8745320000000001</v>
      </c>
      <c r="I1432" t="s">
        <v>20</v>
      </c>
      <c r="J1432" t="s">
        <v>19</v>
      </c>
      <c r="K1432">
        <v>2.8565209999999999</v>
      </c>
      <c r="L1432" t="s">
        <v>19</v>
      </c>
      <c r="M1432">
        <v>2.0052859999999999</v>
      </c>
      <c r="N1432">
        <v>0.105408</v>
      </c>
      <c r="O1432" t="s">
        <v>20</v>
      </c>
      <c r="P1432" t="s">
        <v>28</v>
      </c>
      <c r="Q1432" t="s">
        <v>30</v>
      </c>
    </row>
    <row r="1433" spans="1:17" x14ac:dyDescent="0.2">
      <c r="A1433" t="s">
        <v>17</v>
      </c>
      <c r="B1433">
        <v>22.226814999999998</v>
      </c>
      <c r="C1433">
        <v>1.6090679999999999</v>
      </c>
      <c r="D1433">
        <v>83.785312000000005</v>
      </c>
      <c r="E1433" t="s">
        <v>18</v>
      </c>
      <c r="F1433" t="s">
        <v>18</v>
      </c>
      <c r="G1433">
        <v>2.0941839999999998</v>
      </c>
      <c r="H1433">
        <v>2.735706</v>
      </c>
      <c r="I1433" t="s">
        <v>20</v>
      </c>
      <c r="J1433" t="s">
        <v>19</v>
      </c>
      <c r="K1433">
        <v>2.2579220000000002</v>
      </c>
      <c r="L1433" t="s">
        <v>19</v>
      </c>
      <c r="M1433">
        <v>2.2305470000000001</v>
      </c>
      <c r="N1433">
        <v>0.19533900000000001</v>
      </c>
      <c r="O1433" t="s">
        <v>19</v>
      </c>
      <c r="P1433" t="s">
        <v>21</v>
      </c>
      <c r="Q1433" t="s">
        <v>30</v>
      </c>
    </row>
    <row r="1434" spans="1:17" x14ac:dyDescent="0.2">
      <c r="A1434" t="s">
        <v>17</v>
      </c>
      <c r="B1434">
        <v>22.538931999999999</v>
      </c>
      <c r="C1434">
        <v>1.603963</v>
      </c>
      <c r="D1434">
        <v>82.012636999999998</v>
      </c>
      <c r="E1434" t="s">
        <v>18</v>
      </c>
      <c r="F1434" t="s">
        <v>18</v>
      </c>
      <c r="G1434">
        <v>1.123672</v>
      </c>
      <c r="H1434">
        <v>1.0149159999999999</v>
      </c>
      <c r="I1434" t="s">
        <v>20</v>
      </c>
      <c r="J1434" t="s">
        <v>19</v>
      </c>
      <c r="K1434">
        <v>2.0420780000000001</v>
      </c>
      <c r="L1434" t="s">
        <v>19</v>
      </c>
      <c r="M1434">
        <v>1.8466659999999999</v>
      </c>
      <c r="N1434">
        <v>1.4261029999999999</v>
      </c>
      <c r="O1434" t="s">
        <v>19</v>
      </c>
      <c r="P1434" t="s">
        <v>21</v>
      </c>
      <c r="Q1434" t="s">
        <v>30</v>
      </c>
    </row>
    <row r="1435" spans="1:17" x14ac:dyDescent="0.2">
      <c r="A1435" t="s">
        <v>17</v>
      </c>
      <c r="B1435">
        <v>22.307413</v>
      </c>
      <c r="C1435">
        <v>1.6054949999999999</v>
      </c>
      <c r="D1435">
        <v>82.528575000000004</v>
      </c>
      <c r="E1435" t="s">
        <v>18</v>
      </c>
      <c r="F1435" t="s">
        <v>18</v>
      </c>
      <c r="G1435">
        <v>2.049112</v>
      </c>
      <c r="H1435">
        <v>2.622055</v>
      </c>
      <c r="I1435" t="s">
        <v>20</v>
      </c>
      <c r="J1435" t="s">
        <v>19</v>
      </c>
      <c r="K1435">
        <v>2.2805550000000001</v>
      </c>
      <c r="L1435" t="s">
        <v>19</v>
      </c>
      <c r="M1435">
        <v>2.0528960000000001</v>
      </c>
      <c r="N1435">
        <v>0.89618500000000001</v>
      </c>
      <c r="O1435" t="s">
        <v>19</v>
      </c>
      <c r="P1435" t="s">
        <v>21</v>
      </c>
      <c r="Q1435" t="s">
        <v>30</v>
      </c>
    </row>
    <row r="1436" spans="1:17" x14ac:dyDescent="0.2">
      <c r="A1436" t="s">
        <v>17</v>
      </c>
      <c r="B1436">
        <v>22.362877000000001</v>
      </c>
      <c r="C1436">
        <v>1.6071820000000001</v>
      </c>
      <c r="D1436">
        <v>82.368441000000004</v>
      </c>
      <c r="E1436" t="s">
        <v>18</v>
      </c>
      <c r="F1436" t="s">
        <v>18</v>
      </c>
      <c r="G1436">
        <v>1.8805339999999999</v>
      </c>
      <c r="H1436">
        <v>2.8065660000000001</v>
      </c>
      <c r="I1436" t="s">
        <v>20</v>
      </c>
      <c r="J1436" t="s">
        <v>19</v>
      </c>
      <c r="K1436">
        <v>2.3132450000000002</v>
      </c>
      <c r="L1436" t="s">
        <v>19</v>
      </c>
      <c r="M1436">
        <v>2.1467779999999999</v>
      </c>
      <c r="N1436">
        <v>0.19608400000000001</v>
      </c>
      <c r="O1436" t="s">
        <v>19</v>
      </c>
      <c r="P1436" t="s">
        <v>21</v>
      </c>
      <c r="Q1436" t="s">
        <v>30</v>
      </c>
    </row>
    <row r="1437" spans="1:17" x14ac:dyDescent="0.2">
      <c r="A1437" t="s">
        <v>17</v>
      </c>
      <c r="B1437">
        <v>22.899740000000001</v>
      </c>
      <c r="C1437">
        <v>1.6617150000000001</v>
      </c>
      <c r="D1437">
        <v>82.595793</v>
      </c>
      <c r="E1437" t="s">
        <v>18</v>
      </c>
      <c r="F1437" t="s">
        <v>18</v>
      </c>
      <c r="G1437">
        <v>1.203754</v>
      </c>
      <c r="H1437">
        <v>1.3553539999999999</v>
      </c>
      <c r="I1437" t="s">
        <v>20</v>
      </c>
      <c r="J1437" t="s">
        <v>19</v>
      </c>
      <c r="K1437">
        <v>2.765593</v>
      </c>
      <c r="L1437" t="s">
        <v>19</v>
      </c>
      <c r="M1437">
        <v>0.12834200000000001</v>
      </c>
      <c r="N1437">
        <v>1.659476</v>
      </c>
      <c r="O1437" t="s">
        <v>20</v>
      </c>
      <c r="P1437" t="s">
        <v>21</v>
      </c>
      <c r="Q1437" t="s">
        <v>30</v>
      </c>
    </row>
    <row r="1438" spans="1:17" x14ac:dyDescent="0.2">
      <c r="A1438" t="s">
        <v>17</v>
      </c>
      <c r="B1438">
        <v>22.997167999999999</v>
      </c>
      <c r="C1438">
        <v>1.655742</v>
      </c>
      <c r="D1438">
        <v>82.463759999999994</v>
      </c>
      <c r="E1438" t="s">
        <v>18</v>
      </c>
      <c r="F1438" t="s">
        <v>18</v>
      </c>
      <c r="G1438">
        <v>2.73691</v>
      </c>
      <c r="H1438">
        <v>1.478334</v>
      </c>
      <c r="I1438" t="s">
        <v>20</v>
      </c>
      <c r="J1438" t="s">
        <v>19</v>
      </c>
      <c r="K1438">
        <v>2.6774089999999999</v>
      </c>
      <c r="L1438" t="s">
        <v>19</v>
      </c>
      <c r="M1438">
        <v>6.5264000000000003E-2</v>
      </c>
      <c r="N1438">
        <v>0.40699000000000002</v>
      </c>
      <c r="O1438" t="s">
        <v>20</v>
      </c>
      <c r="P1438" t="s">
        <v>21</v>
      </c>
      <c r="Q1438" t="s">
        <v>30</v>
      </c>
    </row>
    <row r="1439" spans="1:17" x14ac:dyDescent="0.2">
      <c r="A1439" t="s">
        <v>17</v>
      </c>
      <c r="B1439">
        <v>38.895068999999999</v>
      </c>
      <c r="C1439">
        <v>1.5492570000000001</v>
      </c>
      <c r="D1439">
        <v>80</v>
      </c>
      <c r="E1439" t="s">
        <v>18</v>
      </c>
      <c r="F1439" t="s">
        <v>18</v>
      </c>
      <c r="G1439">
        <v>2.7366280000000001</v>
      </c>
      <c r="H1439">
        <v>1.1307510000000001</v>
      </c>
      <c r="I1439" t="s">
        <v>20</v>
      </c>
      <c r="J1439" t="s">
        <v>19</v>
      </c>
      <c r="K1439">
        <v>1.385175</v>
      </c>
      <c r="L1439" t="s">
        <v>19</v>
      </c>
      <c r="M1439">
        <v>1.666965</v>
      </c>
      <c r="N1439">
        <v>0</v>
      </c>
      <c r="O1439" t="s">
        <v>20</v>
      </c>
      <c r="P1439" t="s">
        <v>28</v>
      </c>
      <c r="Q1439" t="s">
        <v>30</v>
      </c>
    </row>
    <row r="1440" spans="1:17" x14ac:dyDescent="0.2">
      <c r="A1440" t="s">
        <v>17</v>
      </c>
      <c r="B1440">
        <v>40.789529000000002</v>
      </c>
      <c r="C1440">
        <v>1.5497479999999999</v>
      </c>
      <c r="D1440">
        <v>80</v>
      </c>
      <c r="E1440" t="s">
        <v>18</v>
      </c>
      <c r="F1440" t="s">
        <v>18</v>
      </c>
      <c r="G1440">
        <v>2</v>
      </c>
      <c r="H1440">
        <v>1.099151</v>
      </c>
      <c r="I1440" t="s">
        <v>20</v>
      </c>
      <c r="J1440" t="s">
        <v>19</v>
      </c>
      <c r="K1440">
        <v>1.687611</v>
      </c>
      <c r="L1440" t="s">
        <v>19</v>
      </c>
      <c r="M1440">
        <v>1.8746620000000001</v>
      </c>
      <c r="N1440">
        <v>0</v>
      </c>
      <c r="O1440" t="s">
        <v>20</v>
      </c>
      <c r="P1440" t="s">
        <v>28</v>
      </c>
      <c r="Q1440" t="s">
        <v>30</v>
      </c>
    </row>
    <row r="1441" spans="1:17" x14ac:dyDescent="0.2">
      <c r="A1441" t="s">
        <v>17</v>
      </c>
      <c r="B1441">
        <v>40.654155000000003</v>
      </c>
      <c r="C1441">
        <v>1.5290600000000001</v>
      </c>
      <c r="D1441">
        <v>79.760921999999994</v>
      </c>
      <c r="E1441" t="s">
        <v>18</v>
      </c>
      <c r="F1441" t="s">
        <v>18</v>
      </c>
      <c r="G1441">
        <v>2</v>
      </c>
      <c r="H1441">
        <v>3</v>
      </c>
      <c r="I1441" t="s">
        <v>20</v>
      </c>
      <c r="J1441" t="s">
        <v>19</v>
      </c>
      <c r="K1441">
        <v>1</v>
      </c>
      <c r="L1441" t="s">
        <v>19</v>
      </c>
      <c r="M1441">
        <v>0</v>
      </c>
      <c r="N1441">
        <v>0</v>
      </c>
      <c r="O1441" t="s">
        <v>20</v>
      </c>
      <c r="P1441" t="s">
        <v>28</v>
      </c>
      <c r="Q1441" t="s">
        <v>30</v>
      </c>
    </row>
    <row r="1442" spans="1:17" x14ac:dyDescent="0.2">
      <c r="A1442" t="s">
        <v>17</v>
      </c>
      <c r="B1442">
        <v>38.542937000000002</v>
      </c>
      <c r="C1442">
        <v>1.5172479999999999</v>
      </c>
      <c r="D1442">
        <v>79.843221</v>
      </c>
      <c r="E1442" t="s">
        <v>18</v>
      </c>
      <c r="F1442" t="s">
        <v>18</v>
      </c>
      <c r="G1442">
        <v>2</v>
      </c>
      <c r="H1442">
        <v>3</v>
      </c>
      <c r="I1442" t="s">
        <v>20</v>
      </c>
      <c r="J1442" t="s">
        <v>19</v>
      </c>
      <c r="K1442">
        <v>1.0951340000000001</v>
      </c>
      <c r="L1442" t="s">
        <v>19</v>
      </c>
      <c r="M1442">
        <v>0</v>
      </c>
      <c r="N1442">
        <v>0</v>
      </c>
      <c r="O1442" t="s">
        <v>20</v>
      </c>
      <c r="P1442" t="s">
        <v>28</v>
      </c>
      <c r="Q1442" t="s">
        <v>30</v>
      </c>
    </row>
    <row r="1443" spans="1:17" x14ac:dyDescent="0.2">
      <c r="A1443" t="s">
        <v>23</v>
      </c>
      <c r="B1443">
        <v>25.95383</v>
      </c>
      <c r="C1443">
        <v>1.6573100000000001</v>
      </c>
      <c r="D1443">
        <v>90</v>
      </c>
      <c r="E1443" t="s">
        <v>18</v>
      </c>
      <c r="F1443" t="s">
        <v>18</v>
      </c>
      <c r="G1443">
        <v>2</v>
      </c>
      <c r="H1443">
        <v>3</v>
      </c>
      <c r="I1443" t="s">
        <v>20</v>
      </c>
      <c r="J1443" t="s">
        <v>19</v>
      </c>
      <c r="K1443">
        <v>3</v>
      </c>
      <c r="L1443" t="s">
        <v>19</v>
      </c>
      <c r="M1443">
        <v>0.41364299999999998</v>
      </c>
      <c r="N1443">
        <v>0.92085799999999995</v>
      </c>
      <c r="O1443" t="s">
        <v>20</v>
      </c>
      <c r="P1443" t="s">
        <v>28</v>
      </c>
      <c r="Q1443" t="s">
        <v>30</v>
      </c>
    </row>
    <row r="1444" spans="1:17" x14ac:dyDescent="0.2">
      <c r="A1444" t="s">
        <v>23</v>
      </c>
      <c r="B1444">
        <v>26.826961000000001</v>
      </c>
      <c r="C1444">
        <v>1.673287</v>
      </c>
      <c r="D1444">
        <v>90</v>
      </c>
      <c r="E1444" t="s">
        <v>18</v>
      </c>
      <c r="F1444" t="s">
        <v>18</v>
      </c>
      <c r="G1444">
        <v>2</v>
      </c>
      <c r="H1444">
        <v>3</v>
      </c>
      <c r="I1444" t="s">
        <v>20</v>
      </c>
      <c r="J1444" t="s">
        <v>19</v>
      </c>
      <c r="K1444">
        <v>3</v>
      </c>
      <c r="L1444" t="s">
        <v>19</v>
      </c>
      <c r="M1444">
        <v>0.88493500000000003</v>
      </c>
      <c r="N1444">
        <v>0.12228</v>
      </c>
      <c r="O1444" t="s">
        <v>20</v>
      </c>
      <c r="P1444" t="s">
        <v>28</v>
      </c>
      <c r="Q1444" t="s">
        <v>30</v>
      </c>
    </row>
    <row r="1445" spans="1:17" x14ac:dyDescent="0.2">
      <c r="A1445" t="s">
        <v>17</v>
      </c>
      <c r="B1445">
        <v>23.803903999999999</v>
      </c>
      <c r="C1445">
        <v>1.5815269999999999</v>
      </c>
      <c r="D1445">
        <v>78.089574999999996</v>
      </c>
      <c r="E1445" t="s">
        <v>18</v>
      </c>
      <c r="F1445" t="s">
        <v>18</v>
      </c>
      <c r="G1445">
        <v>2</v>
      </c>
      <c r="H1445">
        <v>1</v>
      </c>
      <c r="I1445" t="s">
        <v>20</v>
      </c>
      <c r="J1445" t="s">
        <v>19</v>
      </c>
      <c r="K1445">
        <v>2</v>
      </c>
      <c r="L1445" t="s">
        <v>19</v>
      </c>
      <c r="M1445">
        <v>5.7757999999999997E-2</v>
      </c>
      <c r="N1445">
        <v>0</v>
      </c>
      <c r="O1445" t="s">
        <v>19</v>
      </c>
      <c r="P1445" t="s">
        <v>21</v>
      </c>
      <c r="Q1445" t="s">
        <v>30</v>
      </c>
    </row>
    <row r="1446" spans="1:17" x14ac:dyDescent="0.2">
      <c r="A1446" t="s">
        <v>17</v>
      </c>
      <c r="B1446">
        <v>23.652435000000001</v>
      </c>
      <c r="C1446">
        <v>1.562724</v>
      </c>
      <c r="D1446">
        <v>80.535697999999996</v>
      </c>
      <c r="E1446" t="s">
        <v>18</v>
      </c>
      <c r="F1446" t="s">
        <v>18</v>
      </c>
      <c r="G1446">
        <v>2</v>
      </c>
      <c r="H1446">
        <v>1</v>
      </c>
      <c r="I1446" t="s">
        <v>20</v>
      </c>
      <c r="J1446" t="s">
        <v>19</v>
      </c>
      <c r="K1446">
        <v>2</v>
      </c>
      <c r="L1446" t="s">
        <v>19</v>
      </c>
      <c r="M1446">
        <v>0.38971699999999998</v>
      </c>
      <c r="N1446">
        <v>0</v>
      </c>
      <c r="O1446" t="s">
        <v>19</v>
      </c>
      <c r="P1446" t="s">
        <v>21</v>
      </c>
      <c r="Q1446" t="s">
        <v>30</v>
      </c>
    </row>
    <row r="1447" spans="1:17" x14ac:dyDescent="0.2">
      <c r="A1447" t="s">
        <v>23</v>
      </c>
      <c r="B1447">
        <v>20.677105000000001</v>
      </c>
      <c r="C1447">
        <v>1.7812509999999999</v>
      </c>
      <c r="D1447">
        <v>102.950929</v>
      </c>
      <c r="E1447" t="s">
        <v>18</v>
      </c>
      <c r="F1447" t="s">
        <v>18</v>
      </c>
      <c r="G1447">
        <v>2</v>
      </c>
      <c r="H1447">
        <v>3</v>
      </c>
      <c r="I1447" t="s">
        <v>20</v>
      </c>
      <c r="J1447" t="s">
        <v>19</v>
      </c>
      <c r="K1447">
        <v>1.6181890000000001</v>
      </c>
      <c r="L1447" t="s">
        <v>19</v>
      </c>
      <c r="M1447">
        <v>0.57164800000000004</v>
      </c>
      <c r="N1447">
        <v>0</v>
      </c>
      <c r="O1447" t="s">
        <v>19</v>
      </c>
      <c r="P1447" t="s">
        <v>21</v>
      </c>
      <c r="Q1447" t="s">
        <v>30</v>
      </c>
    </row>
    <row r="1448" spans="1:17" x14ac:dyDescent="0.2">
      <c r="A1448" t="s">
        <v>23</v>
      </c>
      <c r="B1448">
        <v>21.797388000000002</v>
      </c>
      <c r="C1448">
        <v>1.7755840000000001</v>
      </c>
      <c r="D1448">
        <v>103.605896</v>
      </c>
      <c r="E1448" t="s">
        <v>18</v>
      </c>
      <c r="F1448" t="s">
        <v>18</v>
      </c>
      <c r="G1448">
        <v>2.121909</v>
      </c>
      <c r="H1448">
        <v>3</v>
      </c>
      <c r="I1448" t="s">
        <v>20</v>
      </c>
      <c r="J1448" t="s">
        <v>19</v>
      </c>
      <c r="K1448">
        <v>2.500556</v>
      </c>
      <c r="L1448" t="s">
        <v>19</v>
      </c>
      <c r="M1448">
        <v>1.2075800000000001</v>
      </c>
      <c r="N1448">
        <v>0</v>
      </c>
      <c r="O1448" t="s">
        <v>19</v>
      </c>
      <c r="P1448" t="s">
        <v>21</v>
      </c>
      <c r="Q1448" t="s">
        <v>30</v>
      </c>
    </row>
    <row r="1449" spans="1:17" x14ac:dyDescent="0.2">
      <c r="A1449" t="s">
        <v>23</v>
      </c>
      <c r="B1449">
        <v>22.719384999999999</v>
      </c>
      <c r="C1449">
        <v>1.746645</v>
      </c>
      <c r="D1449">
        <v>96.875501999999997</v>
      </c>
      <c r="E1449" t="s">
        <v>18</v>
      </c>
      <c r="F1449" t="s">
        <v>18</v>
      </c>
      <c r="G1449">
        <v>2</v>
      </c>
      <c r="H1449">
        <v>3</v>
      </c>
      <c r="I1449" t="s">
        <v>20</v>
      </c>
      <c r="J1449" t="s">
        <v>19</v>
      </c>
      <c r="K1449">
        <v>2.7140909999999998</v>
      </c>
      <c r="L1449" t="s">
        <v>19</v>
      </c>
      <c r="M1449">
        <v>2.6410200000000001</v>
      </c>
      <c r="N1449">
        <v>1.224737</v>
      </c>
      <c r="O1449" t="s">
        <v>19</v>
      </c>
      <c r="P1449" t="s">
        <v>21</v>
      </c>
      <c r="Q1449" t="s">
        <v>30</v>
      </c>
    </row>
    <row r="1450" spans="1:17" x14ac:dyDescent="0.2">
      <c r="A1450" t="s">
        <v>23</v>
      </c>
      <c r="B1450">
        <v>22.177098999999998</v>
      </c>
      <c r="C1450">
        <v>1.7413529999999999</v>
      </c>
      <c r="D1450">
        <v>96.738014000000007</v>
      </c>
      <c r="E1450" t="s">
        <v>18</v>
      </c>
      <c r="F1450" t="s">
        <v>18</v>
      </c>
      <c r="G1450">
        <v>2</v>
      </c>
      <c r="H1450">
        <v>3</v>
      </c>
      <c r="I1450" t="s">
        <v>20</v>
      </c>
      <c r="J1450" t="s">
        <v>19</v>
      </c>
      <c r="K1450">
        <v>2.6976610000000001</v>
      </c>
      <c r="L1450" t="s">
        <v>19</v>
      </c>
      <c r="M1450">
        <v>2.6149089999999999</v>
      </c>
      <c r="N1450">
        <v>1.229474</v>
      </c>
      <c r="O1450" t="s">
        <v>19</v>
      </c>
      <c r="P1450" t="s">
        <v>21</v>
      </c>
      <c r="Q1450" t="s">
        <v>30</v>
      </c>
    </row>
    <row r="1451" spans="1:17" x14ac:dyDescent="0.2">
      <c r="A1451" t="s">
        <v>17</v>
      </c>
      <c r="B1451">
        <v>23.099906000000001</v>
      </c>
      <c r="C1451">
        <v>1.571812</v>
      </c>
      <c r="D1451">
        <v>78.997166000000007</v>
      </c>
      <c r="E1451" t="s">
        <v>18</v>
      </c>
      <c r="F1451" t="s">
        <v>18</v>
      </c>
      <c r="G1451">
        <v>2</v>
      </c>
      <c r="H1451">
        <v>1</v>
      </c>
      <c r="I1451" t="s">
        <v>20</v>
      </c>
      <c r="J1451" t="s">
        <v>19</v>
      </c>
      <c r="K1451">
        <v>2</v>
      </c>
      <c r="L1451" t="s">
        <v>19</v>
      </c>
      <c r="M1451">
        <v>0.40261400000000003</v>
      </c>
      <c r="N1451">
        <v>0</v>
      </c>
      <c r="O1451" t="s">
        <v>19</v>
      </c>
      <c r="P1451" t="s">
        <v>21</v>
      </c>
      <c r="Q1451" t="s">
        <v>30</v>
      </c>
    </row>
    <row r="1452" spans="1:17" x14ac:dyDescent="0.2">
      <c r="A1452" t="s">
        <v>17</v>
      </c>
      <c r="B1452">
        <v>24.178509999999999</v>
      </c>
      <c r="C1452">
        <v>1.589027</v>
      </c>
      <c r="D1452">
        <v>80.553066999999999</v>
      </c>
      <c r="E1452" t="s">
        <v>18</v>
      </c>
      <c r="F1452" t="s">
        <v>18</v>
      </c>
      <c r="G1452">
        <v>2</v>
      </c>
      <c r="H1452">
        <v>1</v>
      </c>
      <c r="I1452" t="s">
        <v>20</v>
      </c>
      <c r="J1452" t="s">
        <v>19</v>
      </c>
      <c r="K1452">
        <v>2</v>
      </c>
      <c r="L1452" t="s">
        <v>19</v>
      </c>
      <c r="M1452">
        <v>1.1476999999999999E-2</v>
      </c>
      <c r="N1452">
        <v>0</v>
      </c>
      <c r="O1452" t="s">
        <v>19</v>
      </c>
      <c r="P1452" t="s">
        <v>21</v>
      </c>
      <c r="Q1452" t="s">
        <v>30</v>
      </c>
    </row>
    <row r="1453" spans="1:17" x14ac:dyDescent="0.2">
      <c r="A1453" t="s">
        <v>23</v>
      </c>
      <c r="B1453">
        <v>20.924807999999999</v>
      </c>
      <c r="C1453">
        <v>1.803245</v>
      </c>
      <c r="D1453">
        <v>105.686091</v>
      </c>
      <c r="E1453" t="s">
        <v>18</v>
      </c>
      <c r="F1453" t="s">
        <v>18</v>
      </c>
      <c r="G1453">
        <v>2</v>
      </c>
      <c r="H1453">
        <v>3</v>
      </c>
      <c r="I1453" t="s">
        <v>20</v>
      </c>
      <c r="J1453" t="s">
        <v>19</v>
      </c>
      <c r="K1453">
        <v>2.290368</v>
      </c>
      <c r="L1453" t="s">
        <v>19</v>
      </c>
      <c r="M1453">
        <v>1.0859999999999999E-3</v>
      </c>
      <c r="N1453">
        <v>0.54412799999999995</v>
      </c>
      <c r="O1453" t="s">
        <v>20</v>
      </c>
      <c r="P1453" t="s">
        <v>21</v>
      </c>
      <c r="Q1453" t="s">
        <v>30</v>
      </c>
    </row>
    <row r="1454" spans="1:17" x14ac:dyDescent="0.2">
      <c r="A1454" t="s">
        <v>23</v>
      </c>
      <c r="B1454">
        <v>20.975973</v>
      </c>
      <c r="C1454">
        <v>1.792646</v>
      </c>
      <c r="D1454">
        <v>105.61914299999999</v>
      </c>
      <c r="E1454" t="s">
        <v>18</v>
      </c>
      <c r="F1454" t="s">
        <v>18</v>
      </c>
      <c r="G1454">
        <v>2</v>
      </c>
      <c r="H1454">
        <v>3</v>
      </c>
      <c r="I1454" t="s">
        <v>20</v>
      </c>
      <c r="J1454" t="s">
        <v>19</v>
      </c>
      <c r="K1454">
        <v>1.0252749999999999</v>
      </c>
      <c r="L1454" t="s">
        <v>19</v>
      </c>
      <c r="M1454">
        <v>2.0300000000000001E-3</v>
      </c>
      <c r="N1454">
        <v>0.17558699999999999</v>
      </c>
      <c r="O1454" t="s">
        <v>20</v>
      </c>
      <c r="P1454" t="s">
        <v>21</v>
      </c>
      <c r="Q1454" t="s">
        <v>30</v>
      </c>
    </row>
    <row r="1455" spans="1:17" x14ac:dyDescent="0.2">
      <c r="A1455" t="s">
        <v>23</v>
      </c>
      <c r="B1455">
        <v>21.856300999999998</v>
      </c>
      <c r="C1455">
        <v>1.87199</v>
      </c>
      <c r="D1455">
        <v>115.627554</v>
      </c>
      <c r="E1455" t="s">
        <v>18</v>
      </c>
      <c r="F1455" t="s">
        <v>18</v>
      </c>
      <c r="G1455">
        <v>2</v>
      </c>
      <c r="H1455">
        <v>2.3584550000000002</v>
      </c>
      <c r="I1455" t="s">
        <v>20</v>
      </c>
      <c r="J1455" t="s">
        <v>19</v>
      </c>
      <c r="K1455">
        <v>2.515765</v>
      </c>
      <c r="L1455" t="s">
        <v>19</v>
      </c>
      <c r="M1455">
        <v>0.98231999999999997</v>
      </c>
      <c r="N1455">
        <v>1.1574660000000001</v>
      </c>
      <c r="O1455" t="s">
        <v>20</v>
      </c>
      <c r="P1455" t="s">
        <v>21</v>
      </c>
      <c r="Q1455" t="s">
        <v>30</v>
      </c>
    </row>
    <row r="1456" spans="1:17" x14ac:dyDescent="0.2">
      <c r="A1456" t="s">
        <v>23</v>
      </c>
      <c r="B1456">
        <v>18.140751000000002</v>
      </c>
      <c r="C1456">
        <v>1.859056</v>
      </c>
      <c r="D1456">
        <v>111.23518799999999</v>
      </c>
      <c r="E1456" t="s">
        <v>18</v>
      </c>
      <c r="F1456" t="s">
        <v>18</v>
      </c>
      <c r="G1456">
        <v>2</v>
      </c>
      <c r="H1456">
        <v>1.7065509999999999</v>
      </c>
      <c r="I1456" t="s">
        <v>20</v>
      </c>
      <c r="J1456" t="s">
        <v>19</v>
      </c>
      <c r="K1456">
        <v>2.039514</v>
      </c>
      <c r="L1456" t="s">
        <v>19</v>
      </c>
      <c r="M1456">
        <v>1</v>
      </c>
      <c r="N1456">
        <v>2</v>
      </c>
      <c r="O1456" t="s">
        <v>20</v>
      </c>
      <c r="P1456" t="s">
        <v>21</v>
      </c>
      <c r="Q1456" t="s">
        <v>30</v>
      </c>
    </row>
    <row r="1457" spans="1:17" x14ac:dyDescent="0.2">
      <c r="A1457" t="s">
        <v>17</v>
      </c>
      <c r="B1457">
        <v>18</v>
      </c>
      <c r="C1457">
        <v>1.692242</v>
      </c>
      <c r="D1457">
        <v>90.019501000000005</v>
      </c>
      <c r="E1457" t="s">
        <v>18</v>
      </c>
      <c r="F1457" t="s">
        <v>18</v>
      </c>
      <c r="G1457">
        <v>2.642744</v>
      </c>
      <c r="H1457">
        <v>3</v>
      </c>
      <c r="I1457" t="s">
        <v>20</v>
      </c>
      <c r="J1457" t="s">
        <v>19</v>
      </c>
      <c r="K1457">
        <v>1.9040539999999999</v>
      </c>
      <c r="L1457" t="s">
        <v>19</v>
      </c>
      <c r="M1457">
        <v>1.645654</v>
      </c>
      <c r="N1457">
        <v>0.36354900000000001</v>
      </c>
      <c r="O1457" t="s">
        <v>20</v>
      </c>
      <c r="P1457" t="s">
        <v>21</v>
      </c>
      <c r="Q1457" t="s">
        <v>30</v>
      </c>
    </row>
    <row r="1458" spans="1:17" x14ac:dyDescent="0.2">
      <c r="A1458" t="s">
        <v>17</v>
      </c>
      <c r="B1458">
        <v>18</v>
      </c>
      <c r="C1458">
        <v>1.6830000000000001</v>
      </c>
      <c r="D1458">
        <v>90.924207999999993</v>
      </c>
      <c r="E1458" t="s">
        <v>18</v>
      </c>
      <c r="F1458" t="s">
        <v>18</v>
      </c>
      <c r="G1458">
        <v>2.387426</v>
      </c>
      <c r="H1458">
        <v>3</v>
      </c>
      <c r="I1458" t="s">
        <v>20</v>
      </c>
      <c r="J1458" t="s">
        <v>19</v>
      </c>
      <c r="K1458">
        <v>1.77962</v>
      </c>
      <c r="L1458" t="s">
        <v>19</v>
      </c>
      <c r="M1458">
        <v>0.74300500000000003</v>
      </c>
      <c r="N1458">
        <v>0.92016200000000004</v>
      </c>
      <c r="O1458" t="s">
        <v>20</v>
      </c>
      <c r="P1458" t="s">
        <v>21</v>
      </c>
      <c r="Q1458" t="s">
        <v>30</v>
      </c>
    </row>
    <row r="1459" spans="1:17" x14ac:dyDescent="0.2">
      <c r="A1459" t="s">
        <v>17</v>
      </c>
      <c r="B1459">
        <v>20.206358000000002</v>
      </c>
      <c r="C1459">
        <v>1.738397</v>
      </c>
      <c r="D1459">
        <v>93.890681999999998</v>
      </c>
      <c r="E1459" t="s">
        <v>18</v>
      </c>
      <c r="F1459" t="s">
        <v>18</v>
      </c>
      <c r="G1459">
        <v>1.9966379999999999</v>
      </c>
      <c r="H1459">
        <v>3</v>
      </c>
      <c r="I1459" t="s">
        <v>20</v>
      </c>
      <c r="J1459" t="s">
        <v>19</v>
      </c>
      <c r="K1459">
        <v>1.033199</v>
      </c>
      <c r="L1459" t="s">
        <v>19</v>
      </c>
      <c r="M1459">
        <v>0.58479300000000001</v>
      </c>
      <c r="N1459">
        <v>0.51829700000000001</v>
      </c>
      <c r="O1459" t="s">
        <v>20</v>
      </c>
      <c r="P1459" t="s">
        <v>21</v>
      </c>
      <c r="Q1459" t="s">
        <v>30</v>
      </c>
    </row>
    <row r="1460" spans="1:17" x14ac:dyDescent="0.2">
      <c r="A1460" t="s">
        <v>17</v>
      </c>
      <c r="B1460">
        <v>18.152875999999999</v>
      </c>
      <c r="C1460">
        <v>1.6949689999999999</v>
      </c>
      <c r="D1460">
        <v>92.508122</v>
      </c>
      <c r="E1460" t="s">
        <v>18</v>
      </c>
      <c r="F1460" t="s">
        <v>18</v>
      </c>
      <c r="G1460">
        <v>2.1078540000000001</v>
      </c>
      <c r="H1460">
        <v>3</v>
      </c>
      <c r="I1460" t="s">
        <v>20</v>
      </c>
      <c r="J1460" t="s">
        <v>19</v>
      </c>
      <c r="K1460">
        <v>1.383894</v>
      </c>
      <c r="L1460" t="s">
        <v>19</v>
      </c>
      <c r="M1460">
        <v>1.0305260000000001</v>
      </c>
      <c r="N1460">
        <v>0.83141200000000004</v>
      </c>
      <c r="O1460" t="s">
        <v>20</v>
      </c>
      <c r="P1460" t="s">
        <v>21</v>
      </c>
      <c r="Q1460" t="s">
        <v>30</v>
      </c>
    </row>
    <row r="1461" spans="1:17" x14ac:dyDescent="0.2">
      <c r="A1461" t="s">
        <v>23</v>
      </c>
      <c r="B1461">
        <v>22.336216</v>
      </c>
      <c r="C1461">
        <v>1.7857179999999999</v>
      </c>
      <c r="D1461">
        <v>105.05568599999999</v>
      </c>
      <c r="E1461" t="s">
        <v>18</v>
      </c>
      <c r="F1461" t="s">
        <v>18</v>
      </c>
      <c r="G1461">
        <v>2.2537069999999999</v>
      </c>
      <c r="H1461">
        <v>3</v>
      </c>
      <c r="I1461" t="s">
        <v>20</v>
      </c>
      <c r="J1461" t="s">
        <v>19</v>
      </c>
      <c r="K1461">
        <v>2.524432</v>
      </c>
      <c r="L1461" t="s">
        <v>19</v>
      </c>
      <c r="M1461">
        <v>0.58216000000000001</v>
      </c>
      <c r="N1461">
        <v>0.17569399999999999</v>
      </c>
      <c r="O1461" t="s">
        <v>20</v>
      </c>
      <c r="P1461" t="s">
        <v>21</v>
      </c>
      <c r="Q1461" t="s">
        <v>30</v>
      </c>
    </row>
    <row r="1462" spans="1:17" x14ac:dyDescent="0.2">
      <c r="A1462" t="s">
        <v>23</v>
      </c>
      <c r="B1462">
        <v>23</v>
      </c>
      <c r="C1462">
        <v>1.7424999999999999</v>
      </c>
      <c r="D1462">
        <v>105.028665</v>
      </c>
      <c r="E1462" t="s">
        <v>18</v>
      </c>
      <c r="F1462" t="s">
        <v>18</v>
      </c>
      <c r="G1462">
        <v>2.393837</v>
      </c>
      <c r="H1462">
        <v>3</v>
      </c>
      <c r="I1462" t="s">
        <v>20</v>
      </c>
      <c r="J1462" t="s">
        <v>19</v>
      </c>
      <c r="K1462">
        <v>2.0149900000000001</v>
      </c>
      <c r="L1462" t="s">
        <v>19</v>
      </c>
      <c r="M1462">
        <v>0.97881499999999999</v>
      </c>
      <c r="N1462">
        <v>0.41321999999999998</v>
      </c>
      <c r="O1462" t="s">
        <v>20</v>
      </c>
      <c r="P1462" t="s">
        <v>21</v>
      </c>
      <c r="Q1462" t="s">
        <v>30</v>
      </c>
    </row>
    <row r="1463" spans="1:17" x14ac:dyDescent="0.2">
      <c r="A1463" t="s">
        <v>23</v>
      </c>
      <c r="B1463">
        <v>22.088059000000001</v>
      </c>
      <c r="C1463">
        <v>1.803132</v>
      </c>
      <c r="D1463">
        <v>106.32956900000001</v>
      </c>
      <c r="E1463" t="s">
        <v>18</v>
      </c>
      <c r="F1463" t="s">
        <v>18</v>
      </c>
      <c r="G1463">
        <v>2.3487450000000001</v>
      </c>
      <c r="H1463">
        <v>3</v>
      </c>
      <c r="I1463" t="s">
        <v>20</v>
      </c>
      <c r="J1463" t="s">
        <v>19</v>
      </c>
      <c r="K1463">
        <v>2.0967509999999998</v>
      </c>
      <c r="L1463" t="s">
        <v>19</v>
      </c>
      <c r="M1463">
        <v>0.54456400000000005</v>
      </c>
      <c r="N1463">
        <v>0.67688000000000004</v>
      </c>
      <c r="O1463" t="s">
        <v>20</v>
      </c>
      <c r="P1463" t="s">
        <v>21</v>
      </c>
      <c r="Q1463" t="s">
        <v>30</v>
      </c>
    </row>
    <row r="1464" spans="1:17" x14ac:dyDescent="0.2">
      <c r="A1464" t="s">
        <v>23</v>
      </c>
      <c r="B1464">
        <v>23</v>
      </c>
      <c r="C1464">
        <v>1.7746440000000001</v>
      </c>
      <c r="D1464">
        <v>105.966894</v>
      </c>
      <c r="E1464" t="s">
        <v>18</v>
      </c>
      <c r="F1464" t="s">
        <v>18</v>
      </c>
      <c r="G1464">
        <v>2.3128250000000001</v>
      </c>
      <c r="H1464">
        <v>3</v>
      </c>
      <c r="I1464" t="s">
        <v>20</v>
      </c>
      <c r="J1464" t="s">
        <v>19</v>
      </c>
      <c r="K1464">
        <v>2.0734970000000001</v>
      </c>
      <c r="L1464" t="s">
        <v>19</v>
      </c>
      <c r="M1464">
        <v>0.61446599999999996</v>
      </c>
      <c r="N1464">
        <v>0.57954099999999997</v>
      </c>
      <c r="O1464" t="s">
        <v>20</v>
      </c>
      <c r="P1464" t="s">
        <v>21</v>
      </c>
      <c r="Q1464" t="s">
        <v>30</v>
      </c>
    </row>
    <row r="1465" spans="1:17" x14ac:dyDescent="0.2">
      <c r="A1465" t="s">
        <v>23</v>
      </c>
      <c r="B1465">
        <v>20.993067</v>
      </c>
      <c r="C1465">
        <v>1.7822690000000001</v>
      </c>
      <c r="D1465">
        <v>104.97002999999999</v>
      </c>
      <c r="E1465" t="s">
        <v>18</v>
      </c>
      <c r="F1465" t="s">
        <v>18</v>
      </c>
      <c r="G1465">
        <v>2</v>
      </c>
      <c r="H1465">
        <v>3</v>
      </c>
      <c r="I1465" t="s">
        <v>20</v>
      </c>
      <c r="J1465" t="s">
        <v>19</v>
      </c>
      <c r="K1465">
        <v>1.2349429999999999</v>
      </c>
      <c r="L1465" t="s">
        <v>19</v>
      </c>
      <c r="M1465">
        <v>8.3680000000000004E-3</v>
      </c>
      <c r="N1465">
        <v>0</v>
      </c>
      <c r="O1465" t="s">
        <v>20</v>
      </c>
      <c r="P1465" t="s">
        <v>21</v>
      </c>
      <c r="Q1465" t="s">
        <v>30</v>
      </c>
    </row>
    <row r="1466" spans="1:17" x14ac:dyDescent="0.2">
      <c r="A1466" t="s">
        <v>23</v>
      </c>
      <c r="B1466">
        <v>20.654751999999998</v>
      </c>
      <c r="C1466">
        <v>1.780791</v>
      </c>
      <c r="D1466">
        <v>102.921218</v>
      </c>
      <c r="E1466" t="s">
        <v>18</v>
      </c>
      <c r="F1466" t="s">
        <v>18</v>
      </c>
      <c r="G1466">
        <v>2</v>
      </c>
      <c r="H1466">
        <v>3</v>
      </c>
      <c r="I1466" t="s">
        <v>20</v>
      </c>
      <c r="J1466" t="s">
        <v>19</v>
      </c>
      <c r="K1466">
        <v>1.613829</v>
      </c>
      <c r="L1466" t="s">
        <v>19</v>
      </c>
      <c r="M1466">
        <v>1.251665</v>
      </c>
      <c r="N1466">
        <v>0</v>
      </c>
      <c r="O1466" t="s">
        <v>20</v>
      </c>
      <c r="P1466" t="s">
        <v>21</v>
      </c>
      <c r="Q1466" t="s">
        <v>30</v>
      </c>
    </row>
    <row r="1467" spans="1:17" x14ac:dyDescent="0.2">
      <c r="A1467" t="s">
        <v>23</v>
      </c>
      <c r="B1467">
        <v>21.624552000000001</v>
      </c>
      <c r="C1467">
        <v>1.790151</v>
      </c>
      <c r="D1467">
        <v>106.32068599999999</v>
      </c>
      <c r="E1467" t="s">
        <v>18</v>
      </c>
      <c r="F1467" t="s">
        <v>18</v>
      </c>
      <c r="G1467">
        <v>2.4907759999999999</v>
      </c>
      <c r="H1467">
        <v>3</v>
      </c>
      <c r="I1467" t="s">
        <v>20</v>
      </c>
      <c r="J1467" t="s">
        <v>19</v>
      </c>
      <c r="K1467">
        <v>2.6545169999999998</v>
      </c>
      <c r="L1467" t="s">
        <v>19</v>
      </c>
      <c r="M1467">
        <v>0.112454</v>
      </c>
      <c r="N1467">
        <v>0.75633899999999998</v>
      </c>
      <c r="O1467" t="s">
        <v>20</v>
      </c>
      <c r="P1467" t="s">
        <v>21</v>
      </c>
      <c r="Q1467" t="s">
        <v>30</v>
      </c>
    </row>
    <row r="1468" spans="1:17" x14ac:dyDescent="0.2">
      <c r="A1468" t="s">
        <v>23</v>
      </c>
      <c r="B1468">
        <v>21.682635999999999</v>
      </c>
      <c r="C1468">
        <v>1.818641</v>
      </c>
      <c r="D1468">
        <v>105.49697500000001</v>
      </c>
      <c r="E1468" t="s">
        <v>18</v>
      </c>
      <c r="F1468" t="s">
        <v>18</v>
      </c>
      <c r="G1468">
        <v>2.0780820000000002</v>
      </c>
      <c r="H1468">
        <v>3</v>
      </c>
      <c r="I1468" t="s">
        <v>20</v>
      </c>
      <c r="J1468" t="s">
        <v>19</v>
      </c>
      <c r="K1468">
        <v>2.8956140000000001</v>
      </c>
      <c r="L1468" t="s">
        <v>19</v>
      </c>
      <c r="M1468">
        <v>6.275E-2</v>
      </c>
      <c r="N1468">
        <v>0.261793</v>
      </c>
      <c r="O1468" t="s">
        <v>20</v>
      </c>
      <c r="P1468" t="s">
        <v>21</v>
      </c>
      <c r="Q1468" t="s">
        <v>30</v>
      </c>
    </row>
    <row r="1469" spans="1:17" x14ac:dyDescent="0.2">
      <c r="A1469" t="s">
        <v>23</v>
      </c>
      <c r="B1469">
        <v>18</v>
      </c>
      <c r="C1469">
        <v>1.806827</v>
      </c>
      <c r="D1469">
        <v>108.82939500000001</v>
      </c>
      <c r="E1469" t="s">
        <v>18</v>
      </c>
      <c r="F1469" t="s">
        <v>18</v>
      </c>
      <c r="G1469">
        <v>2</v>
      </c>
      <c r="H1469">
        <v>1.24884</v>
      </c>
      <c r="I1469" t="s">
        <v>20</v>
      </c>
      <c r="J1469" t="s">
        <v>19</v>
      </c>
      <c r="K1469">
        <v>2.4162129999999999</v>
      </c>
      <c r="L1469" t="s">
        <v>19</v>
      </c>
      <c r="M1469">
        <v>1</v>
      </c>
      <c r="N1469">
        <v>1.5467379999999999</v>
      </c>
      <c r="O1469" t="s">
        <v>19</v>
      </c>
      <c r="P1469" t="s">
        <v>21</v>
      </c>
      <c r="Q1469" t="s">
        <v>30</v>
      </c>
    </row>
    <row r="1470" spans="1:17" x14ac:dyDescent="0.2">
      <c r="A1470" t="s">
        <v>23</v>
      </c>
      <c r="B1470">
        <v>18</v>
      </c>
      <c r="C1470">
        <v>1.8111889999999999</v>
      </c>
      <c r="D1470">
        <v>108.80096399999999</v>
      </c>
      <c r="E1470" t="s">
        <v>18</v>
      </c>
      <c r="F1470" t="s">
        <v>18</v>
      </c>
      <c r="G1470">
        <v>2</v>
      </c>
      <c r="H1470">
        <v>1.250548</v>
      </c>
      <c r="I1470" t="s">
        <v>20</v>
      </c>
      <c r="J1470" t="s">
        <v>19</v>
      </c>
      <c r="K1470">
        <v>2.1211760000000002</v>
      </c>
      <c r="L1470" t="s">
        <v>19</v>
      </c>
      <c r="M1470">
        <v>1</v>
      </c>
      <c r="N1470">
        <v>0.74106899999999998</v>
      </c>
      <c r="O1470" t="s">
        <v>19</v>
      </c>
      <c r="P1470" t="s">
        <v>21</v>
      </c>
      <c r="Q1470" t="s">
        <v>30</v>
      </c>
    </row>
    <row r="1471" spans="1:17" x14ac:dyDescent="0.2">
      <c r="A1471" t="s">
        <v>23</v>
      </c>
      <c r="B1471">
        <v>18</v>
      </c>
      <c r="C1471">
        <v>1.8117380000000001</v>
      </c>
      <c r="D1471">
        <v>108.897324</v>
      </c>
      <c r="E1471" t="s">
        <v>18</v>
      </c>
      <c r="F1471" t="s">
        <v>18</v>
      </c>
      <c r="G1471">
        <v>2</v>
      </c>
      <c r="H1471">
        <v>1.2021790000000001</v>
      </c>
      <c r="I1471" t="s">
        <v>20</v>
      </c>
      <c r="J1471" t="s">
        <v>19</v>
      </c>
      <c r="K1471">
        <v>2.36293</v>
      </c>
      <c r="L1471" t="s">
        <v>19</v>
      </c>
      <c r="M1471">
        <v>1</v>
      </c>
      <c r="N1471">
        <v>1.4757400000000001</v>
      </c>
      <c r="O1471" t="s">
        <v>19</v>
      </c>
      <c r="P1471" t="s">
        <v>21</v>
      </c>
      <c r="Q1471" t="s">
        <v>30</v>
      </c>
    </row>
    <row r="1472" spans="1:17" x14ac:dyDescent="0.2">
      <c r="A1472" t="s">
        <v>23</v>
      </c>
      <c r="B1472">
        <v>18</v>
      </c>
      <c r="C1472">
        <v>1.799779</v>
      </c>
      <c r="D1472">
        <v>108.934574</v>
      </c>
      <c r="E1472" t="s">
        <v>18</v>
      </c>
      <c r="F1472" t="s">
        <v>18</v>
      </c>
      <c r="G1472">
        <v>2</v>
      </c>
      <c r="H1472">
        <v>1.194815</v>
      </c>
      <c r="I1472" t="s">
        <v>20</v>
      </c>
      <c r="J1472" t="s">
        <v>19</v>
      </c>
      <c r="K1472">
        <v>2.4348320000000001</v>
      </c>
      <c r="L1472" t="s">
        <v>19</v>
      </c>
      <c r="M1472">
        <v>1</v>
      </c>
      <c r="N1472">
        <v>1.541455</v>
      </c>
      <c r="O1472" t="s">
        <v>19</v>
      </c>
      <c r="P1472" t="s">
        <v>21</v>
      </c>
      <c r="Q1472" t="s">
        <v>30</v>
      </c>
    </row>
    <row r="1473" spans="1:17" x14ac:dyDescent="0.2">
      <c r="A1473" t="s">
        <v>17</v>
      </c>
      <c r="B1473">
        <v>19.374206999999998</v>
      </c>
      <c r="C1473">
        <v>1.6326050000000001</v>
      </c>
      <c r="D1473">
        <v>82</v>
      </c>
      <c r="E1473" t="s">
        <v>18</v>
      </c>
      <c r="F1473" t="s">
        <v>18</v>
      </c>
      <c r="G1473">
        <v>2.8055119999999998</v>
      </c>
      <c r="H1473">
        <v>2.880817</v>
      </c>
      <c r="I1473" t="s">
        <v>20</v>
      </c>
      <c r="J1473" t="s">
        <v>19</v>
      </c>
      <c r="K1473">
        <v>1.0013069999999999</v>
      </c>
      <c r="L1473" t="s">
        <v>19</v>
      </c>
      <c r="M1473">
        <v>0</v>
      </c>
      <c r="N1473">
        <v>1.3765970000000001</v>
      </c>
      <c r="O1473" t="s">
        <v>20</v>
      </c>
      <c r="P1473" t="s">
        <v>21</v>
      </c>
      <c r="Q1473" t="s">
        <v>30</v>
      </c>
    </row>
    <row r="1474" spans="1:17" x14ac:dyDescent="0.2">
      <c r="A1474" t="s">
        <v>17</v>
      </c>
      <c r="B1474">
        <v>19.275687000000001</v>
      </c>
      <c r="C1474">
        <v>1.6233770000000001</v>
      </c>
      <c r="D1474">
        <v>82.851318000000006</v>
      </c>
      <c r="E1474" t="s">
        <v>18</v>
      </c>
      <c r="F1474" t="s">
        <v>18</v>
      </c>
      <c r="G1474">
        <v>1.276858</v>
      </c>
      <c r="H1474">
        <v>2.9181240000000002</v>
      </c>
      <c r="I1474" t="s">
        <v>20</v>
      </c>
      <c r="J1474" t="s">
        <v>19</v>
      </c>
      <c r="K1474">
        <v>1.4037839999999999</v>
      </c>
      <c r="L1474" t="s">
        <v>19</v>
      </c>
      <c r="M1474">
        <v>0.55251099999999997</v>
      </c>
      <c r="N1474">
        <v>1.5604020000000001</v>
      </c>
      <c r="O1474" t="s">
        <v>20</v>
      </c>
      <c r="P1474" t="s">
        <v>21</v>
      </c>
      <c r="Q1474" t="s">
        <v>30</v>
      </c>
    </row>
    <row r="1475" spans="1:17" x14ac:dyDescent="0.2">
      <c r="A1475" t="s">
        <v>17</v>
      </c>
      <c r="B1475">
        <v>22.956845000000001</v>
      </c>
      <c r="C1475">
        <v>1.6186860000000001</v>
      </c>
      <c r="D1475">
        <v>81.281577999999996</v>
      </c>
      <c r="E1475" t="s">
        <v>18</v>
      </c>
      <c r="F1475" t="s">
        <v>18</v>
      </c>
      <c r="G1475">
        <v>2.3962650000000001</v>
      </c>
      <c r="H1475">
        <v>1.073421</v>
      </c>
      <c r="I1475" t="s">
        <v>20</v>
      </c>
      <c r="J1475" t="s">
        <v>19</v>
      </c>
      <c r="K1475">
        <v>1.979833</v>
      </c>
      <c r="L1475" t="s">
        <v>19</v>
      </c>
      <c r="M1475">
        <v>2.2598E-2</v>
      </c>
      <c r="N1475">
        <v>6.1282000000000003E-2</v>
      </c>
      <c r="O1475" t="s">
        <v>19</v>
      </c>
      <c r="P1475" t="s">
        <v>21</v>
      </c>
      <c r="Q1475" t="s">
        <v>30</v>
      </c>
    </row>
    <row r="1476" spans="1:17" x14ac:dyDescent="0.2">
      <c r="A1476" t="s">
        <v>17</v>
      </c>
      <c r="B1476">
        <v>22.829681000000001</v>
      </c>
      <c r="C1476">
        <v>1.616085</v>
      </c>
      <c r="D1476">
        <v>82.582954000000001</v>
      </c>
      <c r="E1476" t="s">
        <v>18</v>
      </c>
      <c r="F1476" t="s">
        <v>18</v>
      </c>
      <c r="G1476">
        <v>2.6638660000000001</v>
      </c>
      <c r="H1476">
        <v>1.416309</v>
      </c>
      <c r="I1476" t="s">
        <v>20</v>
      </c>
      <c r="J1476" t="s">
        <v>19</v>
      </c>
      <c r="K1476">
        <v>2.3792749999999998</v>
      </c>
      <c r="L1476" t="s">
        <v>19</v>
      </c>
      <c r="M1476">
        <v>0.25632300000000002</v>
      </c>
      <c r="N1476">
        <v>0.598244</v>
      </c>
      <c r="O1476" t="s">
        <v>19</v>
      </c>
      <c r="P1476" t="s">
        <v>21</v>
      </c>
      <c r="Q1476" t="s">
        <v>30</v>
      </c>
    </row>
    <row r="1477" spans="1:17" x14ac:dyDescent="0.2">
      <c r="A1477" t="s">
        <v>23</v>
      </c>
      <c r="B1477">
        <v>22.200779000000001</v>
      </c>
      <c r="C1477">
        <v>1.769328</v>
      </c>
      <c r="D1477">
        <v>105.000576</v>
      </c>
      <c r="E1477" t="s">
        <v>18</v>
      </c>
      <c r="F1477" t="s">
        <v>18</v>
      </c>
      <c r="G1477">
        <v>2.6854840000000002</v>
      </c>
      <c r="H1477">
        <v>3</v>
      </c>
      <c r="I1477" t="s">
        <v>20</v>
      </c>
      <c r="J1477" t="s">
        <v>19</v>
      </c>
      <c r="K1477">
        <v>2.6494589999999998</v>
      </c>
      <c r="L1477" t="s">
        <v>19</v>
      </c>
      <c r="M1477">
        <v>1</v>
      </c>
      <c r="N1477">
        <v>0</v>
      </c>
      <c r="O1477" t="s">
        <v>20</v>
      </c>
      <c r="P1477" t="s">
        <v>21</v>
      </c>
      <c r="Q1477" t="s">
        <v>30</v>
      </c>
    </row>
    <row r="1478" spans="1:17" x14ac:dyDescent="0.2">
      <c r="A1478" t="s">
        <v>23</v>
      </c>
      <c r="B1478">
        <v>21.688556999999999</v>
      </c>
      <c r="C1478">
        <v>1.807029</v>
      </c>
      <c r="D1478">
        <v>105.696358</v>
      </c>
      <c r="E1478" t="s">
        <v>18</v>
      </c>
      <c r="F1478" t="s">
        <v>18</v>
      </c>
      <c r="G1478">
        <v>2.0552090000000001</v>
      </c>
      <c r="H1478">
        <v>3</v>
      </c>
      <c r="I1478" t="s">
        <v>20</v>
      </c>
      <c r="J1478" t="s">
        <v>19</v>
      </c>
      <c r="K1478">
        <v>2.8858519999999999</v>
      </c>
      <c r="L1478" t="s">
        <v>19</v>
      </c>
      <c r="M1478">
        <v>0.90336899999999998</v>
      </c>
      <c r="N1478">
        <v>0.14451</v>
      </c>
      <c r="O1478" t="s">
        <v>20</v>
      </c>
      <c r="P1478" t="s">
        <v>21</v>
      </c>
      <c r="Q1478" t="s">
        <v>30</v>
      </c>
    </row>
    <row r="1479" spans="1:17" x14ac:dyDescent="0.2">
      <c r="A1479" t="s">
        <v>23</v>
      </c>
      <c r="B1479">
        <v>20.803186</v>
      </c>
      <c r="C1479">
        <v>1.882533</v>
      </c>
      <c r="D1479">
        <v>117.46851599999999</v>
      </c>
      <c r="E1479" t="s">
        <v>18</v>
      </c>
      <c r="F1479" t="s">
        <v>18</v>
      </c>
      <c r="G1479">
        <v>2</v>
      </c>
      <c r="H1479">
        <v>2.1816200000000001</v>
      </c>
      <c r="I1479" t="s">
        <v>20</v>
      </c>
      <c r="J1479" t="s">
        <v>19</v>
      </c>
      <c r="K1479">
        <v>2.325091</v>
      </c>
      <c r="L1479" t="s">
        <v>19</v>
      </c>
      <c r="M1479">
        <v>0.89144400000000001</v>
      </c>
      <c r="N1479">
        <v>1.2236610000000001</v>
      </c>
      <c r="O1479" t="s">
        <v>20</v>
      </c>
      <c r="P1479" t="s">
        <v>21</v>
      </c>
      <c r="Q1479" t="s">
        <v>30</v>
      </c>
    </row>
    <row r="1480" spans="1:17" x14ac:dyDescent="0.2">
      <c r="A1480" t="s">
        <v>23</v>
      </c>
      <c r="B1480">
        <v>19.515324</v>
      </c>
      <c r="C1480">
        <v>1.8791439999999999</v>
      </c>
      <c r="D1480">
        <v>112.932984</v>
      </c>
      <c r="E1480" t="s">
        <v>18</v>
      </c>
      <c r="F1480" t="s">
        <v>18</v>
      </c>
      <c r="G1480">
        <v>2</v>
      </c>
      <c r="H1480">
        <v>2.152733</v>
      </c>
      <c r="I1480" t="s">
        <v>20</v>
      </c>
      <c r="J1480" t="s">
        <v>19</v>
      </c>
      <c r="K1480">
        <v>2.53369</v>
      </c>
      <c r="L1480" t="s">
        <v>19</v>
      </c>
      <c r="M1480">
        <v>0.91756300000000002</v>
      </c>
      <c r="N1480">
        <v>1.285838</v>
      </c>
      <c r="O1480" t="s">
        <v>20</v>
      </c>
      <c r="P1480" t="s">
        <v>21</v>
      </c>
      <c r="Q1480" t="s">
        <v>30</v>
      </c>
    </row>
    <row r="1481" spans="1:17" x14ac:dyDescent="0.2">
      <c r="A1481" t="s">
        <v>23</v>
      </c>
      <c r="B1481">
        <v>21.962219000000001</v>
      </c>
      <c r="C1481">
        <v>1.931263</v>
      </c>
      <c r="D1481">
        <v>118.20313</v>
      </c>
      <c r="E1481" t="s">
        <v>18</v>
      </c>
      <c r="F1481" t="s">
        <v>18</v>
      </c>
      <c r="G1481">
        <v>2</v>
      </c>
      <c r="H1481">
        <v>3</v>
      </c>
      <c r="I1481" t="s">
        <v>20</v>
      </c>
      <c r="J1481" t="s">
        <v>19</v>
      </c>
      <c r="K1481">
        <v>3</v>
      </c>
      <c r="L1481" t="s">
        <v>19</v>
      </c>
      <c r="M1481">
        <v>0.74359299999999995</v>
      </c>
      <c r="N1481">
        <v>1</v>
      </c>
      <c r="O1481" t="s">
        <v>20</v>
      </c>
      <c r="P1481" t="s">
        <v>21</v>
      </c>
      <c r="Q1481" t="s">
        <v>30</v>
      </c>
    </row>
    <row r="1482" spans="1:17" x14ac:dyDescent="0.2">
      <c r="A1482" t="s">
        <v>23</v>
      </c>
      <c r="B1482">
        <v>20.534089000000002</v>
      </c>
      <c r="C1482">
        <v>1.8613580000000001</v>
      </c>
      <c r="D1482">
        <v>115.39792</v>
      </c>
      <c r="E1482" t="s">
        <v>18</v>
      </c>
      <c r="F1482" t="s">
        <v>18</v>
      </c>
      <c r="G1482">
        <v>2</v>
      </c>
      <c r="H1482">
        <v>3</v>
      </c>
      <c r="I1482" t="s">
        <v>20</v>
      </c>
      <c r="J1482" t="s">
        <v>19</v>
      </c>
      <c r="K1482">
        <v>3</v>
      </c>
      <c r="L1482" t="s">
        <v>19</v>
      </c>
      <c r="M1482">
        <v>0.987591</v>
      </c>
      <c r="N1482">
        <v>1.914531</v>
      </c>
      <c r="O1482" t="s">
        <v>20</v>
      </c>
      <c r="P1482" t="s">
        <v>21</v>
      </c>
      <c r="Q1482" t="s">
        <v>30</v>
      </c>
    </row>
    <row r="1483" spans="1:17" x14ac:dyDescent="0.2">
      <c r="A1483" t="s">
        <v>17</v>
      </c>
      <c r="B1483">
        <v>39.292659999999998</v>
      </c>
      <c r="C1483">
        <v>1.5671310000000001</v>
      </c>
      <c r="D1483">
        <v>80</v>
      </c>
      <c r="E1483" t="s">
        <v>18</v>
      </c>
      <c r="F1483" t="s">
        <v>18</v>
      </c>
      <c r="G1483">
        <v>2.0254789999999998</v>
      </c>
      <c r="H1483">
        <v>1.046144</v>
      </c>
      <c r="I1483" t="s">
        <v>20</v>
      </c>
      <c r="J1483" t="s">
        <v>19</v>
      </c>
      <c r="K1483">
        <v>1.9412240000000001</v>
      </c>
      <c r="L1483" t="s">
        <v>19</v>
      </c>
      <c r="M1483">
        <v>1.9832650000000001</v>
      </c>
      <c r="N1483">
        <v>0</v>
      </c>
      <c r="O1483" t="s">
        <v>20</v>
      </c>
      <c r="P1483" t="s">
        <v>28</v>
      </c>
      <c r="Q1483" t="s">
        <v>30</v>
      </c>
    </row>
    <row r="1484" spans="1:17" x14ac:dyDescent="0.2">
      <c r="A1484" t="s">
        <v>17</v>
      </c>
      <c r="B1484">
        <v>37.872971</v>
      </c>
      <c r="C1484">
        <v>1.565366</v>
      </c>
      <c r="D1484">
        <v>80</v>
      </c>
      <c r="E1484" t="s">
        <v>18</v>
      </c>
      <c r="F1484" t="s">
        <v>18</v>
      </c>
      <c r="G1484">
        <v>2.002564</v>
      </c>
      <c r="H1484">
        <v>1.9742329999999999</v>
      </c>
      <c r="I1484" t="s">
        <v>20</v>
      </c>
      <c r="J1484" t="s">
        <v>19</v>
      </c>
      <c r="K1484">
        <v>1.935398</v>
      </c>
      <c r="L1484" t="s">
        <v>19</v>
      </c>
      <c r="M1484">
        <v>1.6492990000000001</v>
      </c>
      <c r="N1484">
        <v>0</v>
      </c>
      <c r="O1484" t="s">
        <v>20</v>
      </c>
      <c r="P1484" t="s">
        <v>28</v>
      </c>
      <c r="Q1484" t="s">
        <v>30</v>
      </c>
    </row>
    <row r="1485" spans="1:17" x14ac:dyDescent="0.2">
      <c r="A1485" t="s">
        <v>17</v>
      </c>
      <c r="B1485">
        <v>37.613377999999997</v>
      </c>
      <c r="C1485">
        <v>1.5160070000000001</v>
      </c>
      <c r="D1485">
        <v>77.033049000000005</v>
      </c>
      <c r="E1485" t="s">
        <v>18</v>
      </c>
      <c r="F1485" t="s">
        <v>18</v>
      </c>
      <c r="G1485">
        <v>2</v>
      </c>
      <c r="H1485">
        <v>2.8807939999999999</v>
      </c>
      <c r="I1485" t="s">
        <v>20</v>
      </c>
      <c r="J1485" t="s">
        <v>19</v>
      </c>
      <c r="K1485">
        <v>1.6183700000000001</v>
      </c>
      <c r="L1485" t="s">
        <v>19</v>
      </c>
      <c r="M1485">
        <v>0.12016499999999999</v>
      </c>
      <c r="N1485">
        <v>0</v>
      </c>
      <c r="O1485" t="s">
        <v>20</v>
      </c>
      <c r="P1485" t="s">
        <v>28</v>
      </c>
      <c r="Q1485" t="s">
        <v>30</v>
      </c>
    </row>
    <row r="1486" spans="1:17" x14ac:dyDescent="0.2">
      <c r="A1486" t="s">
        <v>17</v>
      </c>
      <c r="B1486">
        <v>37.471682999999999</v>
      </c>
      <c r="C1486">
        <v>1.549812</v>
      </c>
      <c r="D1486">
        <v>76.082516999999996</v>
      </c>
      <c r="E1486" t="s">
        <v>18</v>
      </c>
      <c r="F1486" t="s">
        <v>18</v>
      </c>
      <c r="G1486">
        <v>2</v>
      </c>
      <c r="H1486">
        <v>2.7652130000000001</v>
      </c>
      <c r="I1486" t="s">
        <v>20</v>
      </c>
      <c r="J1486" t="s">
        <v>19</v>
      </c>
      <c r="K1486">
        <v>1.551266</v>
      </c>
      <c r="L1486" t="s">
        <v>19</v>
      </c>
      <c r="M1486">
        <v>1.350001</v>
      </c>
      <c r="N1486">
        <v>0</v>
      </c>
      <c r="O1486" t="s">
        <v>20</v>
      </c>
      <c r="P1486" t="s">
        <v>28</v>
      </c>
      <c r="Q1486" t="s">
        <v>30</v>
      </c>
    </row>
    <row r="1487" spans="1:17" x14ac:dyDescent="0.2">
      <c r="A1487" t="s">
        <v>23</v>
      </c>
      <c r="B1487">
        <v>18.611197000000001</v>
      </c>
      <c r="C1487">
        <v>1.714143</v>
      </c>
      <c r="D1487">
        <v>96.568814000000003</v>
      </c>
      <c r="E1487" t="s">
        <v>18</v>
      </c>
      <c r="F1487" t="s">
        <v>18</v>
      </c>
      <c r="G1487">
        <v>2</v>
      </c>
      <c r="H1487">
        <v>2.9670890000000001</v>
      </c>
      <c r="I1487" t="s">
        <v>20</v>
      </c>
      <c r="J1487" t="s">
        <v>19</v>
      </c>
      <c r="K1487">
        <v>2</v>
      </c>
      <c r="L1487" t="s">
        <v>19</v>
      </c>
      <c r="M1487">
        <v>0</v>
      </c>
      <c r="N1487">
        <v>0.46704800000000002</v>
      </c>
      <c r="O1487" t="s">
        <v>19</v>
      </c>
      <c r="P1487" t="s">
        <v>21</v>
      </c>
      <c r="Q1487" t="s">
        <v>30</v>
      </c>
    </row>
    <row r="1488" spans="1:17" x14ac:dyDescent="0.2">
      <c r="A1488" t="s">
        <v>23</v>
      </c>
      <c r="B1488">
        <v>17.412628999999999</v>
      </c>
      <c r="C1488">
        <v>1.7231909999999999</v>
      </c>
      <c r="D1488">
        <v>97.350365999999994</v>
      </c>
      <c r="E1488" t="s">
        <v>18</v>
      </c>
      <c r="F1488" t="s">
        <v>18</v>
      </c>
      <c r="G1488">
        <v>2</v>
      </c>
      <c r="H1488">
        <v>3</v>
      </c>
      <c r="I1488" t="s">
        <v>20</v>
      </c>
      <c r="J1488" t="s">
        <v>19</v>
      </c>
      <c r="K1488">
        <v>2</v>
      </c>
      <c r="L1488" t="s">
        <v>19</v>
      </c>
      <c r="M1488">
        <v>0</v>
      </c>
      <c r="N1488">
        <v>0.93172100000000002</v>
      </c>
      <c r="O1488" t="s">
        <v>19</v>
      </c>
      <c r="P1488" t="s">
        <v>21</v>
      </c>
      <c r="Q1488" t="s">
        <v>30</v>
      </c>
    </row>
    <row r="1489" spans="1:17" x14ac:dyDescent="0.2">
      <c r="A1489" t="s">
        <v>17</v>
      </c>
      <c r="B1489">
        <v>39.126309999999997</v>
      </c>
      <c r="C1489">
        <v>1.562889</v>
      </c>
      <c r="D1489">
        <v>76.659490000000005</v>
      </c>
      <c r="E1489" t="s">
        <v>18</v>
      </c>
      <c r="F1489" t="s">
        <v>18</v>
      </c>
      <c r="G1489">
        <v>2</v>
      </c>
      <c r="H1489">
        <v>3</v>
      </c>
      <c r="I1489" t="s">
        <v>20</v>
      </c>
      <c r="J1489" t="s">
        <v>19</v>
      </c>
      <c r="K1489">
        <v>1.440526</v>
      </c>
      <c r="L1489" t="s">
        <v>19</v>
      </c>
      <c r="M1489">
        <v>0</v>
      </c>
      <c r="N1489">
        <v>0</v>
      </c>
      <c r="O1489" t="s">
        <v>20</v>
      </c>
      <c r="P1489" t="s">
        <v>28</v>
      </c>
      <c r="Q1489" t="s">
        <v>30</v>
      </c>
    </row>
    <row r="1490" spans="1:17" x14ac:dyDescent="0.2">
      <c r="A1490" t="s">
        <v>17</v>
      </c>
      <c r="B1490">
        <v>37.063599000000004</v>
      </c>
      <c r="C1490">
        <v>1.5026090000000001</v>
      </c>
      <c r="D1490">
        <v>75.279605000000004</v>
      </c>
      <c r="E1490" t="s">
        <v>18</v>
      </c>
      <c r="F1490" t="s">
        <v>18</v>
      </c>
      <c r="G1490">
        <v>2</v>
      </c>
      <c r="H1490">
        <v>3</v>
      </c>
      <c r="I1490" t="s">
        <v>20</v>
      </c>
      <c r="J1490" t="s">
        <v>19</v>
      </c>
      <c r="K1490">
        <v>1.759803</v>
      </c>
      <c r="L1490" t="s">
        <v>19</v>
      </c>
      <c r="M1490">
        <v>0</v>
      </c>
      <c r="N1490">
        <v>0</v>
      </c>
      <c r="O1490" t="s">
        <v>20</v>
      </c>
      <c r="P1490" t="s">
        <v>28</v>
      </c>
      <c r="Q1490" t="s">
        <v>30</v>
      </c>
    </row>
    <row r="1491" spans="1:17" x14ac:dyDescent="0.2">
      <c r="A1491" t="s">
        <v>17</v>
      </c>
      <c r="B1491">
        <v>41.318302000000003</v>
      </c>
      <c r="C1491">
        <v>1.544937</v>
      </c>
      <c r="D1491">
        <v>77.053948000000005</v>
      </c>
      <c r="E1491" t="s">
        <v>18</v>
      </c>
      <c r="F1491" t="s">
        <v>18</v>
      </c>
      <c r="G1491">
        <v>2</v>
      </c>
      <c r="H1491">
        <v>3</v>
      </c>
      <c r="I1491" t="s">
        <v>20</v>
      </c>
      <c r="J1491" t="s">
        <v>19</v>
      </c>
      <c r="K1491">
        <v>2.0904129999999999</v>
      </c>
      <c r="L1491" t="s">
        <v>19</v>
      </c>
      <c r="M1491">
        <v>0</v>
      </c>
      <c r="N1491">
        <v>0</v>
      </c>
      <c r="O1491" t="s">
        <v>20</v>
      </c>
      <c r="P1491" t="s">
        <v>28</v>
      </c>
      <c r="Q1491" t="s">
        <v>30</v>
      </c>
    </row>
    <row r="1492" spans="1:17" x14ac:dyDescent="0.2">
      <c r="A1492" t="s">
        <v>17</v>
      </c>
      <c r="B1492">
        <v>43.726081000000001</v>
      </c>
      <c r="C1492">
        <v>1.5923160000000001</v>
      </c>
      <c r="D1492">
        <v>77.00103</v>
      </c>
      <c r="E1492" t="s">
        <v>18</v>
      </c>
      <c r="F1492" t="s">
        <v>18</v>
      </c>
      <c r="G1492">
        <v>2</v>
      </c>
      <c r="H1492">
        <v>3</v>
      </c>
      <c r="I1492" t="s">
        <v>20</v>
      </c>
      <c r="J1492" t="s">
        <v>19</v>
      </c>
      <c r="K1492">
        <v>2.8069220000000001</v>
      </c>
      <c r="L1492" t="s">
        <v>19</v>
      </c>
      <c r="M1492">
        <v>0</v>
      </c>
      <c r="N1492">
        <v>0</v>
      </c>
      <c r="O1492" t="s">
        <v>20</v>
      </c>
      <c r="P1492" t="s">
        <v>28</v>
      </c>
      <c r="Q1492" t="s">
        <v>30</v>
      </c>
    </row>
    <row r="1493" spans="1:17" x14ac:dyDescent="0.2">
      <c r="A1493" t="s">
        <v>23</v>
      </c>
      <c r="B1493">
        <v>18</v>
      </c>
      <c r="C1493">
        <v>1.787733</v>
      </c>
      <c r="D1493">
        <v>108.019211</v>
      </c>
      <c r="E1493" t="s">
        <v>18</v>
      </c>
      <c r="F1493" t="s">
        <v>18</v>
      </c>
      <c r="G1493">
        <v>2</v>
      </c>
      <c r="H1493">
        <v>2.3798499999999998</v>
      </c>
      <c r="I1493" t="s">
        <v>20</v>
      </c>
      <c r="J1493" t="s">
        <v>19</v>
      </c>
      <c r="K1493">
        <v>2.6161379999999999</v>
      </c>
      <c r="L1493" t="s">
        <v>19</v>
      </c>
      <c r="M1493">
        <v>1</v>
      </c>
      <c r="N1493">
        <v>0.65248499999999998</v>
      </c>
      <c r="O1493" t="s">
        <v>19</v>
      </c>
      <c r="P1493" t="s">
        <v>21</v>
      </c>
      <c r="Q1493" t="s">
        <v>30</v>
      </c>
    </row>
    <row r="1494" spans="1:17" x14ac:dyDescent="0.2">
      <c r="A1494" t="s">
        <v>23</v>
      </c>
      <c r="B1494">
        <v>18</v>
      </c>
      <c r="C1494">
        <v>1.7827219999999999</v>
      </c>
      <c r="D1494">
        <v>108.044313</v>
      </c>
      <c r="E1494" t="s">
        <v>18</v>
      </c>
      <c r="F1494" t="s">
        <v>18</v>
      </c>
      <c r="G1494">
        <v>2</v>
      </c>
      <c r="H1494">
        <v>2.655265</v>
      </c>
      <c r="I1494" t="s">
        <v>20</v>
      </c>
      <c r="J1494" t="s">
        <v>19</v>
      </c>
      <c r="K1494">
        <v>2.2978960000000002</v>
      </c>
      <c r="L1494" t="s">
        <v>19</v>
      </c>
      <c r="M1494">
        <v>1</v>
      </c>
      <c r="N1494">
        <v>0.55266499999999996</v>
      </c>
      <c r="O1494" t="s">
        <v>19</v>
      </c>
      <c r="P1494" t="s">
        <v>21</v>
      </c>
      <c r="Q1494" t="s">
        <v>30</v>
      </c>
    </row>
    <row r="1495" spans="1:17" x14ac:dyDescent="0.2">
      <c r="A1495" t="s">
        <v>23</v>
      </c>
      <c r="B1495">
        <v>18</v>
      </c>
      <c r="C1495">
        <v>1.797523</v>
      </c>
      <c r="D1495">
        <v>108.316462</v>
      </c>
      <c r="E1495" t="s">
        <v>18</v>
      </c>
      <c r="F1495" t="s">
        <v>18</v>
      </c>
      <c r="G1495">
        <v>2</v>
      </c>
      <c r="H1495">
        <v>1.9413069999999999</v>
      </c>
      <c r="I1495" t="s">
        <v>20</v>
      </c>
      <c r="J1495" t="s">
        <v>19</v>
      </c>
      <c r="K1495">
        <v>2.7081680000000001</v>
      </c>
      <c r="L1495" t="s">
        <v>19</v>
      </c>
      <c r="M1495">
        <v>1</v>
      </c>
      <c r="N1495">
        <v>1.4258519999999999</v>
      </c>
      <c r="O1495" t="s">
        <v>19</v>
      </c>
      <c r="P1495" t="s">
        <v>21</v>
      </c>
      <c r="Q1495" t="s">
        <v>30</v>
      </c>
    </row>
    <row r="1496" spans="1:17" x14ac:dyDescent="0.2">
      <c r="A1496" t="s">
        <v>23</v>
      </c>
      <c r="B1496">
        <v>18</v>
      </c>
      <c r="C1496">
        <v>1.8035270000000001</v>
      </c>
      <c r="D1496">
        <v>108.25104399999999</v>
      </c>
      <c r="E1496" t="s">
        <v>18</v>
      </c>
      <c r="F1496" t="s">
        <v>18</v>
      </c>
      <c r="G1496">
        <v>2</v>
      </c>
      <c r="H1496">
        <v>1.709546</v>
      </c>
      <c r="I1496" t="s">
        <v>20</v>
      </c>
      <c r="J1496" t="s">
        <v>19</v>
      </c>
      <c r="K1496">
        <v>2.530157</v>
      </c>
      <c r="L1496" t="s">
        <v>19</v>
      </c>
      <c r="M1496">
        <v>1</v>
      </c>
      <c r="N1496">
        <v>0.64539999999999997</v>
      </c>
      <c r="O1496" t="s">
        <v>19</v>
      </c>
      <c r="P1496" t="s">
        <v>21</v>
      </c>
      <c r="Q1496" t="s">
        <v>30</v>
      </c>
    </row>
    <row r="1497" spans="1:17" x14ac:dyDescent="0.2">
      <c r="A1497" t="s">
        <v>23</v>
      </c>
      <c r="B1497">
        <v>29.409825000000001</v>
      </c>
      <c r="C1497">
        <v>1.8012239999999999</v>
      </c>
      <c r="D1497">
        <v>108.15619</v>
      </c>
      <c r="E1497" t="s">
        <v>18</v>
      </c>
      <c r="F1497" t="s">
        <v>18</v>
      </c>
      <c r="G1497">
        <v>2.3855019999999998</v>
      </c>
      <c r="H1497">
        <v>2.8839839999999999</v>
      </c>
      <c r="I1497" t="s">
        <v>20</v>
      </c>
      <c r="J1497" t="s">
        <v>19</v>
      </c>
      <c r="K1497">
        <v>2.1405439999999998</v>
      </c>
      <c r="L1497" t="s">
        <v>19</v>
      </c>
      <c r="M1497">
        <v>1.144876</v>
      </c>
      <c r="N1497">
        <v>1.767468</v>
      </c>
      <c r="O1497" t="s">
        <v>20</v>
      </c>
      <c r="P1497" t="s">
        <v>28</v>
      </c>
      <c r="Q1497" t="s">
        <v>30</v>
      </c>
    </row>
    <row r="1498" spans="1:17" x14ac:dyDescent="0.2">
      <c r="A1498" t="s">
        <v>23</v>
      </c>
      <c r="B1498">
        <v>28.421533</v>
      </c>
      <c r="C1498">
        <v>1.8292390000000001</v>
      </c>
      <c r="D1498">
        <v>107.10818999999999</v>
      </c>
      <c r="E1498" t="s">
        <v>18</v>
      </c>
      <c r="F1498" t="s">
        <v>18</v>
      </c>
      <c r="G1498">
        <v>2.4655749999999999</v>
      </c>
      <c r="H1498">
        <v>2.935381</v>
      </c>
      <c r="I1498" t="s">
        <v>20</v>
      </c>
      <c r="J1498" t="s">
        <v>19</v>
      </c>
      <c r="K1498">
        <v>2.4805549999999998</v>
      </c>
      <c r="L1498" t="s">
        <v>19</v>
      </c>
      <c r="M1498">
        <v>1.00183</v>
      </c>
      <c r="N1498">
        <v>1.6703129999999999</v>
      </c>
      <c r="O1498" t="s">
        <v>20</v>
      </c>
      <c r="P1498" t="s">
        <v>28</v>
      </c>
      <c r="Q1498" t="s">
        <v>30</v>
      </c>
    </row>
    <row r="1499" spans="1:17" x14ac:dyDescent="0.2">
      <c r="A1499" t="s">
        <v>17</v>
      </c>
      <c r="B1499">
        <v>18</v>
      </c>
      <c r="C1499">
        <v>1.6929129999999999</v>
      </c>
      <c r="D1499">
        <v>89.938890000000001</v>
      </c>
      <c r="E1499" t="s">
        <v>18</v>
      </c>
      <c r="F1499" t="s">
        <v>18</v>
      </c>
      <c r="G1499">
        <v>2.8185020000000001</v>
      </c>
      <c r="H1499">
        <v>3</v>
      </c>
      <c r="I1499" t="s">
        <v>20</v>
      </c>
      <c r="J1499" t="s">
        <v>19</v>
      </c>
      <c r="K1499">
        <v>1.9912510000000001</v>
      </c>
      <c r="L1499" t="s">
        <v>19</v>
      </c>
      <c r="M1499">
        <v>1.4929669999999999</v>
      </c>
      <c r="N1499">
        <v>0</v>
      </c>
      <c r="O1499" t="s">
        <v>19</v>
      </c>
      <c r="P1499" t="s">
        <v>21</v>
      </c>
      <c r="Q1499" t="s">
        <v>30</v>
      </c>
    </row>
    <row r="1500" spans="1:17" x14ac:dyDescent="0.2">
      <c r="A1500" t="s">
        <v>17</v>
      </c>
      <c r="B1500">
        <v>18</v>
      </c>
      <c r="C1500">
        <v>1.668555</v>
      </c>
      <c r="D1500">
        <v>85.607466000000002</v>
      </c>
      <c r="E1500" t="s">
        <v>18</v>
      </c>
      <c r="F1500" t="s">
        <v>18</v>
      </c>
      <c r="G1500">
        <v>2.0812379999999999</v>
      </c>
      <c r="H1500">
        <v>3</v>
      </c>
      <c r="I1500" t="s">
        <v>20</v>
      </c>
      <c r="J1500" t="s">
        <v>19</v>
      </c>
      <c r="K1500">
        <v>1.18363</v>
      </c>
      <c r="L1500" t="s">
        <v>19</v>
      </c>
      <c r="M1500">
        <v>1.17177</v>
      </c>
      <c r="N1500">
        <v>0</v>
      </c>
      <c r="O1500" t="s">
        <v>19</v>
      </c>
      <c r="P1500" t="s">
        <v>21</v>
      </c>
      <c r="Q1500" t="s">
        <v>30</v>
      </c>
    </row>
    <row r="1501" spans="1:17" x14ac:dyDescent="0.2">
      <c r="A1501" t="s">
        <v>23</v>
      </c>
      <c r="B1501">
        <v>23.246701999999999</v>
      </c>
      <c r="C1501">
        <v>1.652971</v>
      </c>
      <c r="D1501">
        <v>93.310283999999996</v>
      </c>
      <c r="E1501" t="s">
        <v>18</v>
      </c>
      <c r="F1501" t="s">
        <v>18</v>
      </c>
      <c r="G1501">
        <v>1.368978</v>
      </c>
      <c r="H1501">
        <v>3</v>
      </c>
      <c r="I1501" t="s">
        <v>20</v>
      </c>
      <c r="J1501" t="s">
        <v>19</v>
      </c>
      <c r="K1501">
        <v>1.953152</v>
      </c>
      <c r="L1501" t="s">
        <v>19</v>
      </c>
      <c r="M1501">
        <v>0.10470699999999999</v>
      </c>
      <c r="N1501">
        <v>0.22183</v>
      </c>
      <c r="O1501" t="s">
        <v>19</v>
      </c>
      <c r="P1501" t="s">
        <v>28</v>
      </c>
      <c r="Q1501" t="s">
        <v>30</v>
      </c>
    </row>
    <row r="1502" spans="1:17" x14ac:dyDescent="0.2">
      <c r="A1502" t="s">
        <v>23</v>
      </c>
      <c r="B1502">
        <v>24.481031999999999</v>
      </c>
      <c r="C1502">
        <v>1.6612769999999999</v>
      </c>
      <c r="D1502">
        <v>90.744964999999993</v>
      </c>
      <c r="E1502" t="s">
        <v>18</v>
      </c>
      <c r="F1502" t="s">
        <v>18</v>
      </c>
      <c r="G1502">
        <v>1.7128479999999999</v>
      </c>
      <c r="H1502">
        <v>3</v>
      </c>
      <c r="I1502" t="s">
        <v>20</v>
      </c>
      <c r="J1502" t="s">
        <v>19</v>
      </c>
      <c r="K1502">
        <v>1.162153</v>
      </c>
      <c r="L1502" t="s">
        <v>19</v>
      </c>
      <c r="M1502">
        <v>0.45898099999999997</v>
      </c>
      <c r="N1502">
        <v>0.88553199999999999</v>
      </c>
      <c r="O1502" t="s">
        <v>19</v>
      </c>
      <c r="P1502" t="s">
        <v>28</v>
      </c>
      <c r="Q1502" t="s">
        <v>30</v>
      </c>
    </row>
    <row r="1503" spans="1:17" x14ac:dyDescent="0.2">
      <c r="A1503" t="s">
        <v>23</v>
      </c>
      <c r="B1503">
        <v>29</v>
      </c>
      <c r="C1503">
        <v>1.6417839999999999</v>
      </c>
      <c r="D1503">
        <v>89.424947000000003</v>
      </c>
      <c r="E1503" t="s">
        <v>18</v>
      </c>
      <c r="F1503" t="s">
        <v>18</v>
      </c>
      <c r="G1503">
        <v>1.3307</v>
      </c>
      <c r="H1503">
        <v>3</v>
      </c>
      <c r="I1503" t="s">
        <v>20</v>
      </c>
      <c r="J1503" t="s">
        <v>19</v>
      </c>
      <c r="K1503">
        <v>1.8809670000000001</v>
      </c>
      <c r="L1503" t="s">
        <v>19</v>
      </c>
      <c r="M1503">
        <v>0.32201299999999999</v>
      </c>
      <c r="N1503">
        <v>0</v>
      </c>
      <c r="O1503" t="s">
        <v>20</v>
      </c>
      <c r="P1503" t="s">
        <v>28</v>
      </c>
      <c r="Q1503" t="s">
        <v>30</v>
      </c>
    </row>
    <row r="1504" spans="1:17" x14ac:dyDescent="0.2">
      <c r="A1504" t="s">
        <v>23</v>
      </c>
      <c r="B1504">
        <v>27.968765000000001</v>
      </c>
      <c r="C1504">
        <v>1.673767</v>
      </c>
      <c r="D1504">
        <v>89.995034000000004</v>
      </c>
      <c r="E1504" t="s">
        <v>18</v>
      </c>
      <c r="F1504" t="s">
        <v>18</v>
      </c>
      <c r="G1504">
        <v>1.961069</v>
      </c>
      <c r="H1504">
        <v>3</v>
      </c>
      <c r="I1504" t="s">
        <v>20</v>
      </c>
      <c r="J1504" t="s">
        <v>19</v>
      </c>
      <c r="K1504">
        <v>2.6523270000000001</v>
      </c>
      <c r="L1504" t="s">
        <v>19</v>
      </c>
      <c r="M1504">
        <v>0.56930999999999998</v>
      </c>
      <c r="N1504">
        <v>0.31900800000000001</v>
      </c>
      <c r="O1504" t="s">
        <v>20</v>
      </c>
      <c r="P1504" t="s">
        <v>28</v>
      </c>
      <c r="Q1504" t="s">
        <v>30</v>
      </c>
    </row>
    <row r="1505" spans="1:17" x14ac:dyDescent="0.2">
      <c r="A1505" t="s">
        <v>17</v>
      </c>
      <c r="B1505">
        <v>18.024743999999998</v>
      </c>
      <c r="C1505">
        <v>1.617192</v>
      </c>
      <c r="D1505">
        <v>83.121810999999994</v>
      </c>
      <c r="E1505" t="s">
        <v>18</v>
      </c>
      <c r="F1505" t="s">
        <v>18</v>
      </c>
      <c r="G1505">
        <v>2.9765090000000001</v>
      </c>
      <c r="H1505">
        <v>3</v>
      </c>
      <c r="I1505" t="s">
        <v>20</v>
      </c>
      <c r="J1505" t="s">
        <v>19</v>
      </c>
      <c r="K1505">
        <v>1.022705</v>
      </c>
      <c r="L1505" t="s">
        <v>19</v>
      </c>
      <c r="M1505">
        <v>1.02569</v>
      </c>
      <c r="N1505">
        <v>0.31301600000000002</v>
      </c>
      <c r="O1505" t="s">
        <v>19</v>
      </c>
      <c r="P1505" t="s">
        <v>21</v>
      </c>
      <c r="Q1505" t="s">
        <v>30</v>
      </c>
    </row>
    <row r="1506" spans="1:17" x14ac:dyDescent="0.2">
      <c r="A1506" t="s">
        <v>17</v>
      </c>
      <c r="B1506">
        <v>18.106819999999999</v>
      </c>
      <c r="C1506">
        <v>1.6021289999999999</v>
      </c>
      <c r="D1506">
        <v>82.412665000000004</v>
      </c>
      <c r="E1506" t="s">
        <v>18</v>
      </c>
      <c r="F1506" t="s">
        <v>18</v>
      </c>
      <c r="G1506">
        <v>2.3196479999999999</v>
      </c>
      <c r="H1506">
        <v>3</v>
      </c>
      <c r="I1506" t="s">
        <v>20</v>
      </c>
      <c r="J1506" t="s">
        <v>19</v>
      </c>
      <c r="K1506">
        <v>1.107164</v>
      </c>
      <c r="L1506" t="s">
        <v>19</v>
      </c>
      <c r="M1506">
        <v>0.69212300000000004</v>
      </c>
      <c r="N1506">
        <v>0.30402000000000001</v>
      </c>
      <c r="O1506" t="s">
        <v>19</v>
      </c>
      <c r="P1506" t="s">
        <v>21</v>
      </c>
      <c r="Q1506" t="s">
        <v>30</v>
      </c>
    </row>
    <row r="1507" spans="1:17" x14ac:dyDescent="0.2">
      <c r="A1507" t="s">
        <v>23</v>
      </c>
      <c r="B1507">
        <v>21.379676</v>
      </c>
      <c r="C1507">
        <v>1.7014130000000001</v>
      </c>
      <c r="D1507">
        <v>96.710735</v>
      </c>
      <c r="E1507" t="s">
        <v>18</v>
      </c>
      <c r="F1507" t="s">
        <v>18</v>
      </c>
      <c r="G1507">
        <v>2</v>
      </c>
      <c r="H1507">
        <v>2.961192</v>
      </c>
      <c r="I1507" t="s">
        <v>20</v>
      </c>
      <c r="J1507" t="s">
        <v>19</v>
      </c>
      <c r="K1507">
        <v>2.6233439999999999</v>
      </c>
      <c r="L1507" t="s">
        <v>19</v>
      </c>
      <c r="M1507">
        <v>0.98168599999999995</v>
      </c>
      <c r="N1507">
        <v>1.35537</v>
      </c>
      <c r="O1507" t="s">
        <v>19</v>
      </c>
      <c r="P1507" t="s">
        <v>21</v>
      </c>
      <c r="Q1507" t="s">
        <v>30</v>
      </c>
    </row>
    <row r="1508" spans="1:17" x14ac:dyDescent="0.2">
      <c r="A1508" t="s">
        <v>23</v>
      </c>
      <c r="B1508">
        <v>21.353237</v>
      </c>
      <c r="C1508">
        <v>1.7097309999999999</v>
      </c>
      <c r="D1508">
        <v>95.032177000000004</v>
      </c>
      <c r="E1508" t="s">
        <v>18</v>
      </c>
      <c r="F1508" t="s">
        <v>18</v>
      </c>
      <c r="G1508">
        <v>2</v>
      </c>
      <c r="H1508">
        <v>2.9734759999999998</v>
      </c>
      <c r="I1508" t="s">
        <v>20</v>
      </c>
      <c r="J1508" t="s">
        <v>19</v>
      </c>
      <c r="K1508">
        <v>2</v>
      </c>
      <c r="L1508" t="s">
        <v>19</v>
      </c>
      <c r="M1508">
        <v>0</v>
      </c>
      <c r="N1508">
        <v>1.3315269999999999</v>
      </c>
      <c r="O1508" t="s">
        <v>19</v>
      </c>
      <c r="P1508" t="s">
        <v>21</v>
      </c>
      <c r="Q1508" t="s">
        <v>30</v>
      </c>
    </row>
    <row r="1509" spans="1:17" x14ac:dyDescent="0.2">
      <c r="A1509" t="s">
        <v>23</v>
      </c>
      <c r="B1509">
        <v>20.338815</v>
      </c>
      <c r="C1509">
        <v>1.6988289999999999</v>
      </c>
      <c r="D1509">
        <v>98.572753000000006</v>
      </c>
      <c r="E1509" t="s">
        <v>18</v>
      </c>
      <c r="F1509" t="s">
        <v>18</v>
      </c>
      <c r="G1509">
        <v>2</v>
      </c>
      <c r="H1509">
        <v>2.392811</v>
      </c>
      <c r="I1509" t="s">
        <v>20</v>
      </c>
      <c r="J1509" t="s">
        <v>19</v>
      </c>
      <c r="K1509">
        <v>2</v>
      </c>
      <c r="L1509" t="s">
        <v>19</v>
      </c>
      <c r="M1509">
        <v>0</v>
      </c>
      <c r="N1509">
        <v>1.80931</v>
      </c>
      <c r="O1509" t="s">
        <v>19</v>
      </c>
      <c r="P1509" t="s">
        <v>21</v>
      </c>
      <c r="Q1509" t="s">
        <v>30</v>
      </c>
    </row>
    <row r="1510" spans="1:17" x14ac:dyDescent="0.2">
      <c r="A1510" t="s">
        <v>23</v>
      </c>
      <c r="B1510">
        <v>20.720638999999998</v>
      </c>
      <c r="C1510">
        <v>1.7053039999999999</v>
      </c>
      <c r="D1510">
        <v>99.873716000000002</v>
      </c>
      <c r="E1510" t="s">
        <v>18</v>
      </c>
      <c r="F1510" t="s">
        <v>18</v>
      </c>
      <c r="G1510">
        <v>2</v>
      </c>
      <c r="H1510">
        <v>1.293342</v>
      </c>
      <c r="I1510" t="s">
        <v>20</v>
      </c>
      <c r="J1510" t="s">
        <v>19</v>
      </c>
      <c r="K1510">
        <v>2</v>
      </c>
      <c r="L1510" t="s">
        <v>19</v>
      </c>
      <c r="M1510">
        <v>0</v>
      </c>
      <c r="N1510">
        <v>1.9176789999999999</v>
      </c>
      <c r="O1510" t="s">
        <v>19</v>
      </c>
      <c r="P1510" t="s">
        <v>21</v>
      </c>
      <c r="Q1510" t="s">
        <v>30</v>
      </c>
    </row>
    <row r="1511" spans="1:17" x14ac:dyDescent="0.2">
      <c r="A1511" t="s">
        <v>17</v>
      </c>
      <c r="B1511">
        <v>19.045356999999999</v>
      </c>
      <c r="C1511">
        <v>1.6129100000000001</v>
      </c>
      <c r="D1511">
        <v>82.193404999999998</v>
      </c>
      <c r="E1511" t="s">
        <v>18</v>
      </c>
      <c r="F1511" t="s">
        <v>18</v>
      </c>
      <c r="G1511">
        <v>1.261288</v>
      </c>
      <c r="H1511">
        <v>2.9300440000000001</v>
      </c>
      <c r="I1511" t="s">
        <v>20</v>
      </c>
      <c r="J1511" t="s">
        <v>19</v>
      </c>
      <c r="K1511">
        <v>1.166655</v>
      </c>
      <c r="L1511" t="s">
        <v>19</v>
      </c>
      <c r="M1511">
        <v>0.13339799999999999</v>
      </c>
      <c r="N1511">
        <v>0.95174000000000003</v>
      </c>
      <c r="O1511" t="s">
        <v>19</v>
      </c>
      <c r="P1511" t="s">
        <v>21</v>
      </c>
      <c r="Q1511" t="s">
        <v>30</v>
      </c>
    </row>
    <row r="1512" spans="1:17" x14ac:dyDescent="0.2">
      <c r="A1512" t="s">
        <v>17</v>
      </c>
      <c r="B1512">
        <v>18.945961</v>
      </c>
      <c r="C1512">
        <v>1.605469</v>
      </c>
      <c r="D1512">
        <v>82.039000000000001</v>
      </c>
      <c r="E1512" t="s">
        <v>18</v>
      </c>
      <c r="F1512" t="s">
        <v>18</v>
      </c>
      <c r="G1512">
        <v>2.7653300000000001</v>
      </c>
      <c r="H1512">
        <v>3</v>
      </c>
      <c r="I1512" t="s">
        <v>20</v>
      </c>
      <c r="J1512" t="s">
        <v>19</v>
      </c>
      <c r="K1512">
        <v>1.048584</v>
      </c>
      <c r="L1512" t="s">
        <v>19</v>
      </c>
      <c r="M1512">
        <v>0.19255900000000001</v>
      </c>
      <c r="N1512">
        <v>0.72041100000000002</v>
      </c>
      <c r="O1512" t="s">
        <v>19</v>
      </c>
      <c r="P1512" t="s">
        <v>21</v>
      </c>
      <c r="Q1512" t="s">
        <v>30</v>
      </c>
    </row>
    <row r="1513" spans="1:17" x14ac:dyDescent="0.2">
      <c r="A1513" t="s">
        <v>23</v>
      </c>
      <c r="B1513">
        <v>18.880610000000001</v>
      </c>
      <c r="C1513">
        <v>1.80416</v>
      </c>
      <c r="D1513">
        <v>104.40682</v>
      </c>
      <c r="E1513" t="s">
        <v>18</v>
      </c>
      <c r="F1513" t="s">
        <v>18</v>
      </c>
      <c r="G1513">
        <v>2</v>
      </c>
      <c r="H1513">
        <v>3</v>
      </c>
      <c r="I1513" t="s">
        <v>20</v>
      </c>
      <c r="J1513" t="s">
        <v>19</v>
      </c>
      <c r="K1513">
        <v>3</v>
      </c>
      <c r="L1513" t="s">
        <v>19</v>
      </c>
      <c r="M1513">
        <v>2.2404999999999999</v>
      </c>
      <c r="N1513">
        <v>0</v>
      </c>
      <c r="O1513" t="s">
        <v>19</v>
      </c>
      <c r="P1513" t="s">
        <v>21</v>
      </c>
      <c r="Q1513" t="s">
        <v>30</v>
      </c>
    </row>
    <row r="1514" spans="1:17" x14ac:dyDescent="0.2">
      <c r="A1514" t="s">
        <v>23</v>
      </c>
      <c r="B1514">
        <v>19.850524</v>
      </c>
      <c r="C1514">
        <v>1.7850619999999999</v>
      </c>
      <c r="D1514">
        <v>104.187314</v>
      </c>
      <c r="E1514" t="s">
        <v>18</v>
      </c>
      <c r="F1514" t="s">
        <v>18</v>
      </c>
      <c r="G1514">
        <v>2</v>
      </c>
      <c r="H1514">
        <v>3</v>
      </c>
      <c r="I1514" t="s">
        <v>20</v>
      </c>
      <c r="J1514" t="s">
        <v>19</v>
      </c>
      <c r="K1514">
        <v>2.15157</v>
      </c>
      <c r="L1514" t="s">
        <v>19</v>
      </c>
      <c r="M1514">
        <v>1.6059829999999999</v>
      </c>
      <c r="N1514">
        <v>0</v>
      </c>
      <c r="O1514" t="s">
        <v>19</v>
      </c>
      <c r="P1514" t="s">
        <v>21</v>
      </c>
      <c r="Q1514" t="s">
        <v>30</v>
      </c>
    </row>
    <row r="1515" spans="1:17" x14ac:dyDescent="0.2">
      <c r="A1515" t="s">
        <v>23</v>
      </c>
      <c r="B1515">
        <v>30.200945999999998</v>
      </c>
      <c r="C1515">
        <v>1.7559260000000001</v>
      </c>
      <c r="D1515">
        <v>112.289883</v>
      </c>
      <c r="E1515" t="s">
        <v>18</v>
      </c>
      <c r="F1515" t="s">
        <v>18</v>
      </c>
      <c r="G1515">
        <v>2.3177340000000002</v>
      </c>
      <c r="H1515">
        <v>3</v>
      </c>
      <c r="I1515" t="s">
        <v>20</v>
      </c>
      <c r="J1515" t="s">
        <v>19</v>
      </c>
      <c r="K1515">
        <v>2.152736</v>
      </c>
      <c r="L1515" t="s">
        <v>19</v>
      </c>
      <c r="M1515">
        <v>0</v>
      </c>
      <c r="N1515">
        <v>1.1081449999999999</v>
      </c>
      <c r="O1515" t="s">
        <v>19</v>
      </c>
      <c r="P1515" t="s">
        <v>28</v>
      </c>
      <c r="Q1515" t="s">
        <v>33</v>
      </c>
    </row>
    <row r="1516" spans="1:17" x14ac:dyDescent="0.2">
      <c r="A1516" t="s">
        <v>23</v>
      </c>
      <c r="B1516">
        <v>25.314589000000002</v>
      </c>
      <c r="C1516">
        <v>1.7878019999999999</v>
      </c>
      <c r="D1516">
        <v>115.127662</v>
      </c>
      <c r="E1516" t="s">
        <v>18</v>
      </c>
      <c r="F1516" t="s">
        <v>18</v>
      </c>
      <c r="G1516">
        <v>1.588114</v>
      </c>
      <c r="H1516">
        <v>3</v>
      </c>
      <c r="I1516" t="s">
        <v>20</v>
      </c>
      <c r="J1516" t="s">
        <v>19</v>
      </c>
      <c r="K1516">
        <v>2.1159669999999999</v>
      </c>
      <c r="L1516" t="s">
        <v>19</v>
      </c>
      <c r="M1516">
        <v>1.541072</v>
      </c>
      <c r="N1516">
        <v>0</v>
      </c>
      <c r="O1516" t="s">
        <v>19</v>
      </c>
      <c r="P1516" t="s">
        <v>28</v>
      </c>
      <c r="Q1516" t="s">
        <v>33</v>
      </c>
    </row>
    <row r="1517" spans="1:17" x14ac:dyDescent="0.2">
      <c r="A1517" t="s">
        <v>23</v>
      </c>
      <c r="B1517">
        <v>37.186794999999996</v>
      </c>
      <c r="C1517">
        <v>1.704877</v>
      </c>
      <c r="D1517">
        <v>107.94747</v>
      </c>
      <c r="E1517" t="s">
        <v>18</v>
      </c>
      <c r="F1517" t="s">
        <v>18</v>
      </c>
      <c r="G1517">
        <v>2.549782</v>
      </c>
      <c r="H1517">
        <v>3.9854419999999999</v>
      </c>
      <c r="I1517" t="s">
        <v>20</v>
      </c>
      <c r="J1517" t="s">
        <v>19</v>
      </c>
      <c r="K1517">
        <v>1</v>
      </c>
      <c r="L1517" t="s">
        <v>19</v>
      </c>
      <c r="M1517">
        <v>1.9765820000000001</v>
      </c>
      <c r="N1517">
        <v>0</v>
      </c>
      <c r="O1517" t="s">
        <v>19</v>
      </c>
      <c r="P1517" t="s">
        <v>21</v>
      </c>
      <c r="Q1517" t="s">
        <v>33</v>
      </c>
    </row>
    <row r="1518" spans="1:17" x14ac:dyDescent="0.2">
      <c r="A1518" t="s">
        <v>23</v>
      </c>
      <c r="B1518">
        <v>32.707653000000001</v>
      </c>
      <c r="C1518">
        <v>1.6953469999999999</v>
      </c>
      <c r="D1518">
        <v>102.810704</v>
      </c>
      <c r="E1518" t="s">
        <v>18</v>
      </c>
      <c r="F1518" t="s">
        <v>18</v>
      </c>
      <c r="G1518">
        <v>2.795086</v>
      </c>
      <c r="H1518">
        <v>2.1299090000000001</v>
      </c>
      <c r="I1518" t="s">
        <v>20</v>
      </c>
      <c r="J1518" t="s">
        <v>19</v>
      </c>
      <c r="K1518">
        <v>1</v>
      </c>
      <c r="L1518" t="s">
        <v>19</v>
      </c>
      <c r="M1518">
        <v>1.9893160000000001</v>
      </c>
      <c r="N1518">
        <v>0</v>
      </c>
      <c r="O1518" t="s">
        <v>19</v>
      </c>
      <c r="P1518" t="s">
        <v>21</v>
      </c>
      <c r="Q1518" t="s">
        <v>33</v>
      </c>
    </row>
    <row r="1519" spans="1:17" x14ac:dyDescent="0.2">
      <c r="A1519" t="s">
        <v>23</v>
      </c>
      <c r="B1519">
        <v>27.562425000000001</v>
      </c>
      <c r="C1519">
        <v>1.9086080000000001</v>
      </c>
      <c r="D1519">
        <v>128.82812200000001</v>
      </c>
      <c r="E1519" t="s">
        <v>18</v>
      </c>
      <c r="F1519" t="s">
        <v>18</v>
      </c>
      <c r="G1519">
        <v>2.2062759999999999</v>
      </c>
      <c r="H1519">
        <v>3</v>
      </c>
      <c r="I1519" t="s">
        <v>20</v>
      </c>
      <c r="J1519" t="s">
        <v>19</v>
      </c>
      <c r="K1519">
        <v>1.8130820000000001</v>
      </c>
      <c r="L1519" t="s">
        <v>19</v>
      </c>
      <c r="M1519">
        <v>1.94984</v>
      </c>
      <c r="N1519">
        <v>0</v>
      </c>
      <c r="O1519" t="s">
        <v>20</v>
      </c>
      <c r="P1519" t="s">
        <v>21</v>
      </c>
      <c r="Q1519" t="s">
        <v>33</v>
      </c>
    </row>
    <row r="1520" spans="1:17" x14ac:dyDescent="0.2">
      <c r="A1520" t="s">
        <v>23</v>
      </c>
      <c r="B1520">
        <v>30.421596000000001</v>
      </c>
      <c r="C1520">
        <v>1.819296</v>
      </c>
      <c r="D1520">
        <v>122.137917</v>
      </c>
      <c r="E1520" t="s">
        <v>18</v>
      </c>
      <c r="F1520" t="s">
        <v>18</v>
      </c>
      <c r="G1520">
        <v>2</v>
      </c>
      <c r="H1520">
        <v>3</v>
      </c>
      <c r="I1520" t="s">
        <v>20</v>
      </c>
      <c r="J1520" t="s">
        <v>19</v>
      </c>
      <c r="K1520">
        <v>1.9843230000000001</v>
      </c>
      <c r="L1520" t="s">
        <v>19</v>
      </c>
      <c r="M1520">
        <v>0.79326200000000002</v>
      </c>
      <c r="N1520">
        <v>0</v>
      </c>
      <c r="O1520" t="s">
        <v>20</v>
      </c>
      <c r="P1520" t="s">
        <v>21</v>
      </c>
      <c r="Q1520" t="s">
        <v>33</v>
      </c>
    </row>
    <row r="1521" spans="1:17" x14ac:dyDescent="0.2">
      <c r="A1521" t="s">
        <v>23</v>
      </c>
      <c r="B1521">
        <v>26.945139000000001</v>
      </c>
      <c r="C1521">
        <v>1.7732589999999999</v>
      </c>
      <c r="D1521">
        <v>118.15434500000001</v>
      </c>
      <c r="E1521" t="s">
        <v>18</v>
      </c>
      <c r="F1521" t="s">
        <v>19</v>
      </c>
      <c r="G1521">
        <v>2.1835399999999998</v>
      </c>
      <c r="H1521">
        <v>3</v>
      </c>
      <c r="I1521" t="s">
        <v>20</v>
      </c>
      <c r="J1521" t="s">
        <v>19</v>
      </c>
      <c r="K1521">
        <v>2.2779370000000001</v>
      </c>
      <c r="L1521" t="s">
        <v>19</v>
      </c>
      <c r="M1521">
        <v>0.68183000000000005</v>
      </c>
      <c r="N1521">
        <v>0</v>
      </c>
      <c r="O1521" t="s">
        <v>20</v>
      </c>
      <c r="P1521" t="s">
        <v>28</v>
      </c>
      <c r="Q1521" t="s">
        <v>33</v>
      </c>
    </row>
    <row r="1522" spans="1:17" x14ac:dyDescent="0.2">
      <c r="A1522" t="s">
        <v>23</v>
      </c>
      <c r="B1522">
        <v>34.139453000000003</v>
      </c>
      <c r="C1522">
        <v>1.7746470000000001</v>
      </c>
      <c r="D1522">
        <v>120.151967</v>
      </c>
      <c r="E1522" t="s">
        <v>18</v>
      </c>
      <c r="F1522" t="s">
        <v>19</v>
      </c>
      <c r="G1522">
        <v>2.962415</v>
      </c>
      <c r="H1522">
        <v>3</v>
      </c>
      <c r="I1522" t="s">
        <v>20</v>
      </c>
      <c r="J1522" t="s">
        <v>19</v>
      </c>
      <c r="K1522">
        <v>2.1726489999999998</v>
      </c>
      <c r="L1522" t="s">
        <v>19</v>
      </c>
      <c r="M1522">
        <v>1.0979049999999999</v>
      </c>
      <c r="N1522">
        <v>0</v>
      </c>
      <c r="O1522" t="s">
        <v>20</v>
      </c>
      <c r="P1522" t="s">
        <v>28</v>
      </c>
      <c r="Q1522" t="s">
        <v>33</v>
      </c>
    </row>
    <row r="1523" spans="1:17" x14ac:dyDescent="0.2">
      <c r="A1523" t="s">
        <v>23</v>
      </c>
      <c r="B1523">
        <v>26.225442000000001</v>
      </c>
      <c r="C1523">
        <v>1.7736639999999999</v>
      </c>
      <c r="D1523">
        <v>116.160329</v>
      </c>
      <c r="E1523" t="s">
        <v>18</v>
      </c>
      <c r="F1523" t="s">
        <v>18</v>
      </c>
      <c r="G1523">
        <v>2.442536</v>
      </c>
      <c r="H1523">
        <v>3</v>
      </c>
      <c r="I1523" t="s">
        <v>20</v>
      </c>
      <c r="J1523" t="s">
        <v>19</v>
      </c>
      <c r="K1523">
        <v>2.1743709999999998</v>
      </c>
      <c r="L1523" t="s">
        <v>19</v>
      </c>
      <c r="M1523">
        <v>0</v>
      </c>
      <c r="N1523">
        <v>1.9289719999999999</v>
      </c>
      <c r="O1523" t="s">
        <v>20</v>
      </c>
      <c r="P1523" t="s">
        <v>21</v>
      </c>
      <c r="Q1523" t="s">
        <v>33</v>
      </c>
    </row>
    <row r="1524" spans="1:17" x14ac:dyDescent="0.2">
      <c r="A1524" t="s">
        <v>23</v>
      </c>
      <c r="B1524">
        <v>28.363149</v>
      </c>
      <c r="C1524">
        <v>1.7934760000000001</v>
      </c>
      <c r="D1524">
        <v>112.725005</v>
      </c>
      <c r="E1524" t="s">
        <v>18</v>
      </c>
      <c r="F1524" t="s">
        <v>18</v>
      </c>
      <c r="G1524">
        <v>1.9912399999999999</v>
      </c>
      <c r="H1524">
        <v>3</v>
      </c>
      <c r="I1524" t="s">
        <v>20</v>
      </c>
      <c r="J1524" t="s">
        <v>19</v>
      </c>
      <c r="K1524">
        <v>2</v>
      </c>
      <c r="L1524" t="s">
        <v>19</v>
      </c>
      <c r="M1524">
        <v>0</v>
      </c>
      <c r="N1524">
        <v>0.29295599999999999</v>
      </c>
      <c r="O1524" t="s">
        <v>20</v>
      </c>
      <c r="P1524" t="s">
        <v>21</v>
      </c>
      <c r="Q1524" t="s">
        <v>33</v>
      </c>
    </row>
    <row r="1525" spans="1:17" x14ac:dyDescent="0.2">
      <c r="A1525" t="s">
        <v>23</v>
      </c>
      <c r="B1525">
        <v>27.991467</v>
      </c>
      <c r="C1525">
        <v>1.82559</v>
      </c>
      <c r="D1525">
        <v>120.86038600000001</v>
      </c>
      <c r="E1525" t="s">
        <v>18</v>
      </c>
      <c r="F1525" t="s">
        <v>18</v>
      </c>
      <c r="G1525">
        <v>3</v>
      </c>
      <c r="H1525">
        <v>3</v>
      </c>
      <c r="I1525" t="s">
        <v>20</v>
      </c>
      <c r="J1525" t="s">
        <v>19</v>
      </c>
      <c r="K1525">
        <v>3</v>
      </c>
      <c r="L1525" t="s">
        <v>19</v>
      </c>
      <c r="M1525">
        <v>0.69136900000000001</v>
      </c>
      <c r="N1525">
        <v>1.4155359999999999</v>
      </c>
      <c r="O1525" t="s">
        <v>20</v>
      </c>
      <c r="P1525" t="s">
        <v>21</v>
      </c>
      <c r="Q1525" t="s">
        <v>33</v>
      </c>
    </row>
    <row r="1526" spans="1:17" x14ac:dyDescent="0.2">
      <c r="A1526" t="s">
        <v>23</v>
      </c>
      <c r="B1526">
        <v>25.498750999999999</v>
      </c>
      <c r="C1526">
        <v>1.885543</v>
      </c>
      <c r="D1526">
        <v>121.253083</v>
      </c>
      <c r="E1526" t="s">
        <v>18</v>
      </c>
      <c r="F1526" t="s">
        <v>18</v>
      </c>
      <c r="G1526">
        <v>2.4085610000000002</v>
      </c>
      <c r="H1526">
        <v>3</v>
      </c>
      <c r="I1526" t="s">
        <v>20</v>
      </c>
      <c r="J1526" t="s">
        <v>19</v>
      </c>
      <c r="K1526">
        <v>2.8519040000000002</v>
      </c>
      <c r="L1526" t="s">
        <v>19</v>
      </c>
      <c r="M1526">
        <v>1.320065</v>
      </c>
      <c r="N1526">
        <v>0</v>
      </c>
      <c r="O1526" t="s">
        <v>20</v>
      </c>
      <c r="P1526" t="s">
        <v>21</v>
      </c>
      <c r="Q1526" t="s">
        <v>33</v>
      </c>
    </row>
    <row r="1527" spans="1:17" x14ac:dyDescent="0.2">
      <c r="A1527" t="s">
        <v>23</v>
      </c>
      <c r="B1527">
        <v>30.605225000000001</v>
      </c>
      <c r="C1527">
        <v>1.75</v>
      </c>
      <c r="D1527">
        <v>120</v>
      </c>
      <c r="E1527" t="s">
        <v>18</v>
      </c>
      <c r="F1527" t="s">
        <v>18</v>
      </c>
      <c r="G1527">
        <v>2.758394</v>
      </c>
      <c r="H1527">
        <v>3</v>
      </c>
      <c r="I1527" t="s">
        <v>20</v>
      </c>
      <c r="J1527" t="s">
        <v>18</v>
      </c>
      <c r="K1527">
        <v>2.174248</v>
      </c>
      <c r="L1527" t="s">
        <v>19</v>
      </c>
      <c r="M1527">
        <v>1.0795239999999999</v>
      </c>
      <c r="N1527">
        <v>1.358163</v>
      </c>
      <c r="O1527" t="s">
        <v>20</v>
      </c>
      <c r="P1527" t="s">
        <v>28</v>
      </c>
      <c r="Q1527" t="s">
        <v>33</v>
      </c>
    </row>
    <row r="1528" spans="1:17" x14ac:dyDescent="0.2">
      <c r="A1528" t="s">
        <v>23</v>
      </c>
      <c r="B1528">
        <v>31.457412999999999</v>
      </c>
      <c r="C1528">
        <v>1.8740699999999999</v>
      </c>
      <c r="D1528">
        <v>128.86744400000001</v>
      </c>
      <c r="E1528" t="s">
        <v>18</v>
      </c>
      <c r="F1528" t="s">
        <v>18</v>
      </c>
      <c r="G1528">
        <v>2.9562970000000002</v>
      </c>
      <c r="H1528">
        <v>3</v>
      </c>
      <c r="I1528" t="s">
        <v>20</v>
      </c>
      <c r="J1528" t="s">
        <v>18</v>
      </c>
      <c r="K1528">
        <v>1.2750999999999999</v>
      </c>
      <c r="L1528" t="s">
        <v>19</v>
      </c>
      <c r="M1528">
        <v>0.90192399999999995</v>
      </c>
      <c r="N1528">
        <v>1.8750230000000001</v>
      </c>
      <c r="O1528" t="s">
        <v>20</v>
      </c>
      <c r="P1528" t="s">
        <v>28</v>
      </c>
      <c r="Q1528" t="s">
        <v>33</v>
      </c>
    </row>
    <row r="1529" spans="1:17" x14ac:dyDescent="0.2">
      <c r="A1529" t="s">
        <v>23</v>
      </c>
      <c r="B1529">
        <v>24.82929</v>
      </c>
      <c r="C1529">
        <v>1.7559670000000001</v>
      </c>
      <c r="D1529">
        <v>112.256165</v>
      </c>
      <c r="E1529" t="s">
        <v>18</v>
      </c>
      <c r="F1529" t="s">
        <v>18</v>
      </c>
      <c r="G1529">
        <v>1.369529</v>
      </c>
      <c r="H1529">
        <v>3</v>
      </c>
      <c r="I1529" t="s">
        <v>20</v>
      </c>
      <c r="J1529" t="s">
        <v>19</v>
      </c>
      <c r="K1529">
        <v>2</v>
      </c>
      <c r="L1529" t="s">
        <v>19</v>
      </c>
      <c r="M1529">
        <v>1.596576</v>
      </c>
      <c r="N1529">
        <v>2.5999999999999999E-3</v>
      </c>
      <c r="O1529" t="s">
        <v>20</v>
      </c>
      <c r="P1529" t="s">
        <v>21</v>
      </c>
      <c r="Q1529" t="s">
        <v>33</v>
      </c>
    </row>
    <row r="1530" spans="1:17" x14ac:dyDescent="0.2">
      <c r="A1530" t="s">
        <v>23</v>
      </c>
      <c r="B1530">
        <v>24.739421</v>
      </c>
      <c r="C1530">
        <v>1.757069</v>
      </c>
      <c r="D1530">
        <v>117.298233</v>
      </c>
      <c r="E1530" t="s">
        <v>18</v>
      </c>
      <c r="F1530" t="s">
        <v>18</v>
      </c>
      <c r="G1530">
        <v>1.392665</v>
      </c>
      <c r="H1530">
        <v>3</v>
      </c>
      <c r="I1530" t="s">
        <v>20</v>
      </c>
      <c r="J1530" t="s">
        <v>19</v>
      </c>
      <c r="K1530">
        <v>2</v>
      </c>
      <c r="L1530" t="s">
        <v>19</v>
      </c>
      <c r="M1530">
        <v>1.0979829999999999</v>
      </c>
      <c r="N1530">
        <v>0.63086600000000004</v>
      </c>
      <c r="O1530" t="s">
        <v>20</v>
      </c>
      <c r="P1530" t="s">
        <v>21</v>
      </c>
      <c r="Q1530" t="s">
        <v>33</v>
      </c>
    </row>
    <row r="1531" spans="1:17" x14ac:dyDescent="0.2">
      <c r="A1531" t="s">
        <v>23</v>
      </c>
      <c r="B1531">
        <v>41</v>
      </c>
      <c r="C1531">
        <v>1.75</v>
      </c>
      <c r="D1531">
        <v>116.594351</v>
      </c>
      <c r="E1531" t="s">
        <v>18</v>
      </c>
      <c r="F1531" t="s">
        <v>18</v>
      </c>
      <c r="G1531">
        <v>2</v>
      </c>
      <c r="H1531">
        <v>2.8317709999999998</v>
      </c>
      <c r="I1531" t="s">
        <v>20</v>
      </c>
      <c r="J1531" t="s">
        <v>19</v>
      </c>
      <c r="K1531">
        <v>1.7252259999999999</v>
      </c>
      <c r="L1531" t="s">
        <v>19</v>
      </c>
      <c r="M1531">
        <v>0.35628799999999999</v>
      </c>
      <c r="N1531">
        <v>0</v>
      </c>
      <c r="O1531" t="s">
        <v>20</v>
      </c>
      <c r="P1531" t="s">
        <v>28</v>
      </c>
      <c r="Q1531" t="s">
        <v>33</v>
      </c>
    </row>
    <row r="1532" spans="1:17" x14ac:dyDescent="0.2">
      <c r="A1532" t="s">
        <v>23</v>
      </c>
      <c r="B1532">
        <v>27.83173</v>
      </c>
      <c r="C1532">
        <v>1.7040280000000001</v>
      </c>
      <c r="D1532">
        <v>101.63431300000001</v>
      </c>
      <c r="E1532" t="s">
        <v>18</v>
      </c>
      <c r="F1532" t="s">
        <v>18</v>
      </c>
      <c r="G1532">
        <v>2.630401</v>
      </c>
      <c r="H1532">
        <v>1</v>
      </c>
      <c r="I1532" t="s">
        <v>20</v>
      </c>
      <c r="J1532" t="s">
        <v>19</v>
      </c>
      <c r="K1532">
        <v>1</v>
      </c>
      <c r="L1532" t="s">
        <v>19</v>
      </c>
      <c r="M1532">
        <v>0.24535399999999999</v>
      </c>
      <c r="N1532">
        <v>0.31526100000000001</v>
      </c>
      <c r="O1532" t="s">
        <v>20</v>
      </c>
      <c r="P1532" t="s">
        <v>28</v>
      </c>
      <c r="Q1532" t="s">
        <v>33</v>
      </c>
    </row>
    <row r="1533" spans="1:17" x14ac:dyDescent="0.2">
      <c r="A1533" t="s">
        <v>23</v>
      </c>
      <c r="B1533">
        <v>23.260061</v>
      </c>
      <c r="C1533">
        <v>1.849003</v>
      </c>
      <c r="D1533">
        <v>121.414744</v>
      </c>
      <c r="E1533" t="s">
        <v>18</v>
      </c>
      <c r="F1533" t="s">
        <v>18</v>
      </c>
      <c r="G1533">
        <v>3</v>
      </c>
      <c r="H1533">
        <v>2.595126</v>
      </c>
      <c r="I1533" t="s">
        <v>20</v>
      </c>
      <c r="J1533" t="s">
        <v>19</v>
      </c>
      <c r="K1533">
        <v>2.0540720000000001</v>
      </c>
      <c r="L1533" t="s">
        <v>19</v>
      </c>
      <c r="M1533">
        <v>0.83527099999999999</v>
      </c>
      <c r="N1533">
        <v>0</v>
      </c>
      <c r="O1533" t="s">
        <v>20</v>
      </c>
      <c r="P1533" t="s">
        <v>21</v>
      </c>
      <c r="Q1533" t="s">
        <v>33</v>
      </c>
    </row>
    <row r="1534" spans="1:17" x14ac:dyDescent="0.2">
      <c r="A1534" t="s">
        <v>23</v>
      </c>
      <c r="B1534">
        <v>22.705772</v>
      </c>
      <c r="C1534">
        <v>1.8419890000000001</v>
      </c>
      <c r="D1534">
        <v>122.02495399999999</v>
      </c>
      <c r="E1534" t="s">
        <v>18</v>
      </c>
      <c r="F1534" t="s">
        <v>18</v>
      </c>
      <c r="G1534">
        <v>3</v>
      </c>
      <c r="H1534">
        <v>2.5275099999999999</v>
      </c>
      <c r="I1534" t="s">
        <v>20</v>
      </c>
      <c r="J1534" t="s">
        <v>19</v>
      </c>
      <c r="K1534">
        <v>1.645338</v>
      </c>
      <c r="L1534" t="s">
        <v>19</v>
      </c>
      <c r="M1534">
        <v>1.0254380000000001</v>
      </c>
      <c r="N1534">
        <v>0</v>
      </c>
      <c r="O1534" t="s">
        <v>20</v>
      </c>
      <c r="P1534" t="s">
        <v>21</v>
      </c>
      <c r="Q1534" t="s">
        <v>33</v>
      </c>
    </row>
    <row r="1535" spans="1:17" x14ac:dyDescent="0.2">
      <c r="A1535" t="s">
        <v>23</v>
      </c>
      <c r="B1535">
        <v>24.041042999999998</v>
      </c>
      <c r="C1535">
        <v>1.613491</v>
      </c>
      <c r="D1535">
        <v>98.490765999999994</v>
      </c>
      <c r="E1535" t="s">
        <v>18</v>
      </c>
      <c r="F1535" t="s">
        <v>18</v>
      </c>
      <c r="G1535">
        <v>3</v>
      </c>
      <c r="H1535">
        <v>2.1209359999999999</v>
      </c>
      <c r="I1535" t="s">
        <v>20</v>
      </c>
      <c r="J1535" t="s">
        <v>19</v>
      </c>
      <c r="K1535">
        <v>1</v>
      </c>
      <c r="L1535" t="s">
        <v>19</v>
      </c>
      <c r="M1535">
        <v>1.5433859999999999</v>
      </c>
      <c r="N1535">
        <v>0.89021300000000003</v>
      </c>
      <c r="O1535" t="s">
        <v>19</v>
      </c>
      <c r="P1535" t="s">
        <v>21</v>
      </c>
      <c r="Q1535" t="s">
        <v>33</v>
      </c>
    </row>
    <row r="1536" spans="1:17" x14ac:dyDescent="0.2">
      <c r="A1536" t="s">
        <v>23</v>
      </c>
      <c r="B1536">
        <v>20.013905999999999</v>
      </c>
      <c r="C1536">
        <v>1.647821</v>
      </c>
      <c r="D1536">
        <v>106.509947</v>
      </c>
      <c r="E1536" t="s">
        <v>18</v>
      </c>
      <c r="F1536" t="s">
        <v>18</v>
      </c>
      <c r="G1536">
        <v>2.8697780000000002</v>
      </c>
      <c r="H1536">
        <v>1.4689479999999999</v>
      </c>
      <c r="I1536" t="s">
        <v>20</v>
      </c>
      <c r="J1536" t="s">
        <v>19</v>
      </c>
      <c r="K1536">
        <v>1.6560820000000001</v>
      </c>
      <c r="L1536" t="s">
        <v>19</v>
      </c>
      <c r="M1536">
        <v>0</v>
      </c>
      <c r="N1536">
        <v>1.4440329999999999</v>
      </c>
      <c r="O1536" t="s">
        <v>19</v>
      </c>
      <c r="P1536" t="s">
        <v>21</v>
      </c>
      <c r="Q1536" t="s">
        <v>33</v>
      </c>
    </row>
    <row r="1537" spans="1:17" x14ac:dyDescent="0.2">
      <c r="A1537" t="s">
        <v>23</v>
      </c>
      <c r="B1537">
        <v>30.020189999999999</v>
      </c>
      <c r="C1537">
        <v>1.75834</v>
      </c>
      <c r="D1537">
        <v>112.010504</v>
      </c>
      <c r="E1537" t="s">
        <v>18</v>
      </c>
      <c r="F1537" t="s">
        <v>18</v>
      </c>
      <c r="G1537">
        <v>1.868212</v>
      </c>
      <c r="H1537">
        <v>3</v>
      </c>
      <c r="I1537" t="s">
        <v>20</v>
      </c>
      <c r="J1537" t="s">
        <v>19</v>
      </c>
      <c r="K1537">
        <v>2.0233279999999998</v>
      </c>
      <c r="L1537" t="s">
        <v>19</v>
      </c>
      <c r="M1537">
        <v>0</v>
      </c>
      <c r="N1537">
        <v>0.61399199999999998</v>
      </c>
      <c r="O1537" t="s">
        <v>20</v>
      </c>
      <c r="P1537" t="s">
        <v>28</v>
      </c>
      <c r="Q1537" t="s">
        <v>33</v>
      </c>
    </row>
    <row r="1538" spans="1:17" x14ac:dyDescent="0.2">
      <c r="A1538" t="s">
        <v>23</v>
      </c>
      <c r="B1538">
        <v>25.154620000000001</v>
      </c>
      <c r="C1538">
        <v>1.7583979999999999</v>
      </c>
      <c r="D1538">
        <v>112.089022</v>
      </c>
      <c r="E1538" t="s">
        <v>18</v>
      </c>
      <c r="F1538" t="s">
        <v>18</v>
      </c>
      <c r="G1538">
        <v>1.108663</v>
      </c>
      <c r="H1538">
        <v>3</v>
      </c>
      <c r="I1538" t="s">
        <v>20</v>
      </c>
      <c r="J1538" t="s">
        <v>19</v>
      </c>
      <c r="K1538">
        <v>2</v>
      </c>
      <c r="L1538" t="s">
        <v>19</v>
      </c>
      <c r="M1538">
        <v>1.230219</v>
      </c>
      <c r="N1538">
        <v>1.7160000000000001E-3</v>
      </c>
      <c r="O1538" t="s">
        <v>20</v>
      </c>
      <c r="P1538" t="s">
        <v>28</v>
      </c>
      <c r="Q1538" t="s">
        <v>33</v>
      </c>
    </row>
    <row r="1539" spans="1:17" x14ac:dyDescent="0.2">
      <c r="A1539" t="s">
        <v>23</v>
      </c>
      <c r="B1539">
        <v>30.870723999999999</v>
      </c>
      <c r="C1539">
        <v>1.670774</v>
      </c>
      <c r="D1539">
        <v>101.626189</v>
      </c>
      <c r="E1539" t="s">
        <v>18</v>
      </c>
      <c r="F1539" t="s">
        <v>18</v>
      </c>
      <c r="G1539">
        <v>2.9077440000000001</v>
      </c>
      <c r="H1539">
        <v>3.9909249999999998</v>
      </c>
      <c r="I1539" t="s">
        <v>20</v>
      </c>
      <c r="J1539" t="s">
        <v>19</v>
      </c>
      <c r="K1539">
        <v>1</v>
      </c>
      <c r="L1539" t="s">
        <v>19</v>
      </c>
      <c r="M1539">
        <v>1.9997499999999999</v>
      </c>
      <c r="N1539">
        <v>0</v>
      </c>
      <c r="O1539" t="s">
        <v>19</v>
      </c>
      <c r="P1539" t="s">
        <v>21</v>
      </c>
      <c r="Q1539" t="s">
        <v>33</v>
      </c>
    </row>
    <row r="1540" spans="1:17" x14ac:dyDescent="0.2">
      <c r="A1540" t="s">
        <v>23</v>
      </c>
      <c r="B1540">
        <v>28.712994999999999</v>
      </c>
      <c r="C1540">
        <v>1.6655850000000001</v>
      </c>
      <c r="D1540">
        <v>98.661760000000001</v>
      </c>
      <c r="E1540" t="s">
        <v>18</v>
      </c>
      <c r="F1540" t="s">
        <v>18</v>
      </c>
      <c r="G1540">
        <v>2.9580099999999998</v>
      </c>
      <c r="H1540">
        <v>2.8342529999999999</v>
      </c>
      <c r="I1540" t="s">
        <v>20</v>
      </c>
      <c r="J1540" t="s">
        <v>19</v>
      </c>
      <c r="K1540">
        <v>1</v>
      </c>
      <c r="L1540" t="s">
        <v>19</v>
      </c>
      <c r="M1540">
        <v>1.9998860000000001</v>
      </c>
      <c r="N1540">
        <v>0</v>
      </c>
      <c r="O1540" t="s">
        <v>19</v>
      </c>
      <c r="P1540" t="s">
        <v>21</v>
      </c>
      <c r="Q1540" t="s">
        <v>33</v>
      </c>
    </row>
    <row r="1541" spans="1:17" x14ac:dyDescent="0.2">
      <c r="A1541" t="s">
        <v>23</v>
      </c>
      <c r="B1541">
        <v>30.710511</v>
      </c>
      <c r="C1541">
        <v>1.9141859999999999</v>
      </c>
      <c r="D1541">
        <v>129.852531</v>
      </c>
      <c r="E1541" t="s">
        <v>18</v>
      </c>
      <c r="F1541" t="s">
        <v>18</v>
      </c>
      <c r="G1541">
        <v>2.1972610000000001</v>
      </c>
      <c r="H1541">
        <v>3</v>
      </c>
      <c r="I1541" t="s">
        <v>20</v>
      </c>
      <c r="J1541" t="s">
        <v>19</v>
      </c>
      <c r="K1541">
        <v>1.1118399999999999</v>
      </c>
      <c r="L1541" t="s">
        <v>19</v>
      </c>
      <c r="M1541">
        <v>0.90684299999999995</v>
      </c>
      <c r="N1541">
        <v>0.97647300000000004</v>
      </c>
      <c r="O1541" t="s">
        <v>20</v>
      </c>
      <c r="P1541" t="s">
        <v>21</v>
      </c>
      <c r="Q1541" t="s">
        <v>33</v>
      </c>
    </row>
    <row r="1542" spans="1:17" x14ac:dyDescent="0.2">
      <c r="A1542" t="s">
        <v>23</v>
      </c>
      <c r="B1542">
        <v>29.827480999999999</v>
      </c>
      <c r="C1542">
        <v>1.8995880000000001</v>
      </c>
      <c r="D1542">
        <v>124.269251</v>
      </c>
      <c r="E1542" t="s">
        <v>18</v>
      </c>
      <c r="F1542" t="s">
        <v>18</v>
      </c>
      <c r="G1542">
        <v>2.048962</v>
      </c>
      <c r="H1542">
        <v>3</v>
      </c>
      <c r="I1542" t="s">
        <v>20</v>
      </c>
      <c r="J1542" t="s">
        <v>19</v>
      </c>
      <c r="K1542">
        <v>2.8228710000000001</v>
      </c>
      <c r="L1542" t="s">
        <v>19</v>
      </c>
      <c r="M1542">
        <v>1.0661689999999999</v>
      </c>
      <c r="N1542">
        <v>0</v>
      </c>
      <c r="O1542" t="s">
        <v>20</v>
      </c>
      <c r="P1542" t="s">
        <v>21</v>
      </c>
      <c r="Q1542" t="s">
        <v>33</v>
      </c>
    </row>
    <row r="1543" spans="1:17" x14ac:dyDescent="0.2">
      <c r="A1543" t="s">
        <v>23</v>
      </c>
      <c r="B1543">
        <v>31.868929999999999</v>
      </c>
      <c r="C1543">
        <v>1.75</v>
      </c>
      <c r="D1543">
        <v>118.102897</v>
      </c>
      <c r="E1543" t="s">
        <v>18</v>
      </c>
      <c r="F1543" t="s">
        <v>18</v>
      </c>
      <c r="G1543">
        <v>2.1391960000000001</v>
      </c>
      <c r="H1543">
        <v>3</v>
      </c>
      <c r="I1543" t="s">
        <v>20</v>
      </c>
      <c r="J1543" t="s">
        <v>19</v>
      </c>
      <c r="K1543">
        <v>2.0484300000000002</v>
      </c>
      <c r="L1543" t="s">
        <v>19</v>
      </c>
      <c r="M1543">
        <v>0.36802600000000002</v>
      </c>
      <c r="N1543">
        <v>0.36098599999999997</v>
      </c>
      <c r="O1543" t="s">
        <v>20</v>
      </c>
      <c r="P1543" t="s">
        <v>28</v>
      </c>
      <c r="Q1543" t="s">
        <v>33</v>
      </c>
    </row>
    <row r="1544" spans="1:17" x14ac:dyDescent="0.2">
      <c r="A1544" t="s">
        <v>23</v>
      </c>
      <c r="B1544">
        <v>36.542884999999998</v>
      </c>
      <c r="C1544">
        <v>1.75</v>
      </c>
      <c r="D1544">
        <v>119.434645</v>
      </c>
      <c r="E1544" t="s">
        <v>18</v>
      </c>
      <c r="F1544" t="s">
        <v>18</v>
      </c>
      <c r="G1544">
        <v>2.7298900000000001</v>
      </c>
      <c r="H1544">
        <v>3</v>
      </c>
      <c r="I1544" t="s">
        <v>20</v>
      </c>
      <c r="J1544" t="s">
        <v>19</v>
      </c>
      <c r="K1544">
        <v>2.030084</v>
      </c>
      <c r="L1544" t="s">
        <v>19</v>
      </c>
      <c r="M1544">
        <v>0.59260699999999999</v>
      </c>
      <c r="N1544">
        <v>0.754417</v>
      </c>
      <c r="O1544" t="s">
        <v>20</v>
      </c>
      <c r="P1544" t="s">
        <v>28</v>
      </c>
      <c r="Q1544" t="s">
        <v>33</v>
      </c>
    </row>
    <row r="1545" spans="1:17" x14ac:dyDescent="0.2">
      <c r="A1545" t="s">
        <v>23</v>
      </c>
      <c r="B1545">
        <v>21.556360999999999</v>
      </c>
      <c r="C1545">
        <v>1.7736639999999999</v>
      </c>
      <c r="D1545">
        <v>116.160329</v>
      </c>
      <c r="E1545" t="s">
        <v>18</v>
      </c>
      <c r="F1545" t="s">
        <v>18</v>
      </c>
      <c r="G1545">
        <v>2</v>
      </c>
      <c r="H1545">
        <v>3</v>
      </c>
      <c r="I1545" t="s">
        <v>20</v>
      </c>
      <c r="J1545" t="s">
        <v>19</v>
      </c>
      <c r="K1545">
        <v>2</v>
      </c>
      <c r="L1545" t="s">
        <v>19</v>
      </c>
      <c r="M1545">
        <v>1.3991830000000001</v>
      </c>
      <c r="N1545">
        <v>1</v>
      </c>
      <c r="O1545" t="s">
        <v>20</v>
      </c>
      <c r="P1545" t="s">
        <v>21</v>
      </c>
      <c r="Q1545" t="s">
        <v>33</v>
      </c>
    </row>
    <row r="1546" spans="1:17" x14ac:dyDescent="0.2">
      <c r="A1546" t="s">
        <v>23</v>
      </c>
      <c r="B1546">
        <v>23.963649</v>
      </c>
      <c r="C1546">
        <v>1.7929980000000001</v>
      </c>
      <c r="D1546">
        <v>116.102615</v>
      </c>
      <c r="E1546" t="s">
        <v>18</v>
      </c>
      <c r="F1546" t="s">
        <v>18</v>
      </c>
      <c r="G1546">
        <v>1.9946790000000001</v>
      </c>
      <c r="H1546">
        <v>3</v>
      </c>
      <c r="I1546" t="s">
        <v>20</v>
      </c>
      <c r="J1546" t="s">
        <v>19</v>
      </c>
      <c r="K1546">
        <v>2</v>
      </c>
      <c r="L1546" t="s">
        <v>19</v>
      </c>
      <c r="M1546">
        <v>0.96661699999999995</v>
      </c>
      <c r="N1546">
        <v>0.73900600000000005</v>
      </c>
      <c r="O1546" t="s">
        <v>20</v>
      </c>
      <c r="P1546" t="s">
        <v>21</v>
      </c>
      <c r="Q1546" t="s">
        <v>33</v>
      </c>
    </row>
    <row r="1547" spans="1:17" x14ac:dyDescent="0.2">
      <c r="A1547" t="s">
        <v>23</v>
      </c>
      <c r="B1547">
        <v>24.145295000000001</v>
      </c>
      <c r="C1547">
        <v>1.82559</v>
      </c>
      <c r="D1547">
        <v>120.86038600000001</v>
      </c>
      <c r="E1547" t="s">
        <v>18</v>
      </c>
      <c r="F1547" t="s">
        <v>18</v>
      </c>
      <c r="G1547">
        <v>2.4034209999999998</v>
      </c>
      <c r="H1547">
        <v>3</v>
      </c>
      <c r="I1547" t="s">
        <v>20</v>
      </c>
      <c r="J1547" t="s">
        <v>19</v>
      </c>
      <c r="K1547">
        <v>2.4906130000000002</v>
      </c>
      <c r="L1547" t="s">
        <v>19</v>
      </c>
      <c r="M1547">
        <v>2</v>
      </c>
      <c r="N1547">
        <v>0.70776799999999995</v>
      </c>
      <c r="O1547" t="s">
        <v>20</v>
      </c>
      <c r="P1547" t="s">
        <v>21</v>
      </c>
      <c r="Q1547" t="s">
        <v>33</v>
      </c>
    </row>
    <row r="1548" spans="1:17" x14ac:dyDescent="0.2">
      <c r="A1548" t="s">
        <v>23</v>
      </c>
      <c r="B1548">
        <v>25.298400000000001</v>
      </c>
      <c r="C1548">
        <v>1.8272790000000001</v>
      </c>
      <c r="D1548">
        <v>120.99607399999999</v>
      </c>
      <c r="E1548" t="s">
        <v>18</v>
      </c>
      <c r="F1548" t="s">
        <v>18</v>
      </c>
      <c r="G1548">
        <v>3</v>
      </c>
      <c r="H1548">
        <v>3</v>
      </c>
      <c r="I1548" t="s">
        <v>20</v>
      </c>
      <c r="J1548" t="s">
        <v>19</v>
      </c>
      <c r="K1548">
        <v>3</v>
      </c>
      <c r="L1548" t="s">
        <v>19</v>
      </c>
      <c r="M1548">
        <v>1.110215</v>
      </c>
      <c r="N1548">
        <v>0.39635199999999998</v>
      </c>
      <c r="O1548" t="s">
        <v>20</v>
      </c>
      <c r="P1548" t="s">
        <v>21</v>
      </c>
      <c r="Q1548" t="s">
        <v>33</v>
      </c>
    </row>
    <row r="1549" spans="1:17" x14ac:dyDescent="0.2">
      <c r="A1549" t="s">
        <v>23</v>
      </c>
      <c r="B1549">
        <v>31.755386999999999</v>
      </c>
      <c r="C1549">
        <v>1.7754160000000001</v>
      </c>
      <c r="D1549">
        <v>121.204668</v>
      </c>
      <c r="E1549" t="s">
        <v>18</v>
      </c>
      <c r="F1549" t="s">
        <v>18</v>
      </c>
      <c r="G1549">
        <v>2.758394</v>
      </c>
      <c r="H1549">
        <v>3</v>
      </c>
      <c r="I1549" t="s">
        <v>20</v>
      </c>
      <c r="J1549" t="s">
        <v>19</v>
      </c>
      <c r="K1549">
        <v>2.1613030000000002</v>
      </c>
      <c r="L1549" t="s">
        <v>19</v>
      </c>
      <c r="M1549">
        <v>0.42817300000000003</v>
      </c>
      <c r="N1549">
        <v>0.71632700000000005</v>
      </c>
      <c r="O1549" t="s">
        <v>20</v>
      </c>
      <c r="P1549" t="s">
        <v>28</v>
      </c>
      <c r="Q1549" t="s">
        <v>33</v>
      </c>
    </row>
    <row r="1550" spans="1:17" x14ac:dyDescent="0.2">
      <c r="A1550" t="s">
        <v>23</v>
      </c>
      <c r="B1550">
        <v>30.62865</v>
      </c>
      <c r="C1550">
        <v>1.766975</v>
      </c>
      <c r="D1550">
        <v>118.363376</v>
      </c>
      <c r="E1550" t="s">
        <v>18</v>
      </c>
      <c r="F1550" t="s">
        <v>18</v>
      </c>
      <c r="G1550">
        <v>2.9643190000000001</v>
      </c>
      <c r="H1550">
        <v>3</v>
      </c>
      <c r="I1550" t="s">
        <v>20</v>
      </c>
      <c r="J1550" t="s">
        <v>19</v>
      </c>
      <c r="K1550">
        <v>2.3772570000000002</v>
      </c>
      <c r="L1550" t="s">
        <v>19</v>
      </c>
      <c r="M1550">
        <v>0.61495900000000003</v>
      </c>
      <c r="N1550">
        <v>1.8750230000000001</v>
      </c>
      <c r="O1550" t="s">
        <v>20</v>
      </c>
      <c r="P1550" t="s">
        <v>28</v>
      </c>
      <c r="Q1550" t="s">
        <v>33</v>
      </c>
    </row>
    <row r="1551" spans="1:17" x14ac:dyDescent="0.2">
      <c r="A1551" t="s">
        <v>23</v>
      </c>
      <c r="B1551">
        <v>23.454557999999999</v>
      </c>
      <c r="C1551">
        <v>1.7542180000000001</v>
      </c>
      <c r="D1551">
        <v>117.384745</v>
      </c>
      <c r="E1551" t="s">
        <v>18</v>
      </c>
      <c r="F1551" t="s">
        <v>18</v>
      </c>
      <c r="G1551">
        <v>1.6170929999999999</v>
      </c>
      <c r="H1551">
        <v>3</v>
      </c>
      <c r="I1551" t="s">
        <v>20</v>
      </c>
      <c r="J1551" t="s">
        <v>19</v>
      </c>
      <c r="K1551">
        <v>2</v>
      </c>
      <c r="L1551" t="s">
        <v>19</v>
      </c>
      <c r="M1551">
        <v>1.818052</v>
      </c>
      <c r="N1551">
        <v>0.63182499999999997</v>
      </c>
      <c r="O1551" t="s">
        <v>20</v>
      </c>
      <c r="P1551" t="s">
        <v>21</v>
      </c>
      <c r="Q1551" t="s">
        <v>33</v>
      </c>
    </row>
    <row r="1552" spans="1:17" x14ac:dyDescent="0.2">
      <c r="A1552" t="s">
        <v>23</v>
      </c>
      <c r="B1552">
        <v>23.432227000000001</v>
      </c>
      <c r="C1552">
        <v>1.754996</v>
      </c>
      <c r="D1552">
        <v>119.087557</v>
      </c>
      <c r="E1552" t="s">
        <v>18</v>
      </c>
      <c r="F1552" t="s">
        <v>18</v>
      </c>
      <c r="G1552">
        <v>1.6311439999999999</v>
      </c>
      <c r="H1552">
        <v>3</v>
      </c>
      <c r="I1552" t="s">
        <v>20</v>
      </c>
      <c r="J1552" t="s">
        <v>19</v>
      </c>
      <c r="K1552">
        <v>2</v>
      </c>
      <c r="L1552" t="s">
        <v>19</v>
      </c>
      <c r="M1552">
        <v>1.593183</v>
      </c>
      <c r="N1552">
        <v>0.86373999999999995</v>
      </c>
      <c r="O1552" t="s">
        <v>20</v>
      </c>
      <c r="P1552" t="s">
        <v>21</v>
      </c>
      <c r="Q1552" t="s">
        <v>33</v>
      </c>
    </row>
    <row r="1553" spans="1:17" x14ac:dyDescent="0.2">
      <c r="A1553" t="s">
        <v>23</v>
      </c>
      <c r="B1553">
        <v>40.500210000000003</v>
      </c>
      <c r="C1553">
        <v>1.748103</v>
      </c>
      <c r="D1553">
        <v>108.30811199999999</v>
      </c>
      <c r="E1553" t="s">
        <v>18</v>
      </c>
      <c r="F1553" t="s">
        <v>18</v>
      </c>
      <c r="G1553">
        <v>2.3174589999999999</v>
      </c>
      <c r="H1553">
        <v>3.7343229999999998</v>
      </c>
      <c r="I1553" t="s">
        <v>20</v>
      </c>
      <c r="J1553" t="s">
        <v>19</v>
      </c>
      <c r="K1553">
        <v>1</v>
      </c>
      <c r="L1553" t="s">
        <v>19</v>
      </c>
      <c r="M1553">
        <v>1.6286369999999999</v>
      </c>
      <c r="N1553">
        <v>0</v>
      </c>
      <c r="O1553" t="s">
        <v>19</v>
      </c>
      <c r="P1553" t="s">
        <v>28</v>
      </c>
      <c r="Q1553" t="s">
        <v>33</v>
      </c>
    </row>
    <row r="1554" spans="1:17" x14ac:dyDescent="0.2">
      <c r="A1554" t="s">
        <v>23</v>
      </c>
      <c r="B1554">
        <v>34.576714000000003</v>
      </c>
      <c r="C1554">
        <v>1.73325</v>
      </c>
      <c r="D1554">
        <v>103.669116</v>
      </c>
      <c r="E1554" t="s">
        <v>18</v>
      </c>
      <c r="F1554" t="s">
        <v>18</v>
      </c>
      <c r="G1554">
        <v>2.5012240000000001</v>
      </c>
      <c r="H1554">
        <v>2.0495649999999999</v>
      </c>
      <c r="I1554" t="s">
        <v>20</v>
      </c>
      <c r="J1554" t="s">
        <v>19</v>
      </c>
      <c r="K1554">
        <v>1</v>
      </c>
      <c r="L1554" t="s">
        <v>19</v>
      </c>
      <c r="M1554">
        <v>1.746583</v>
      </c>
      <c r="N1554">
        <v>0</v>
      </c>
      <c r="O1554" t="s">
        <v>19</v>
      </c>
      <c r="P1554" t="s">
        <v>28</v>
      </c>
      <c r="Q1554" t="s">
        <v>33</v>
      </c>
    </row>
    <row r="1555" spans="1:17" x14ac:dyDescent="0.2">
      <c r="A1555" t="s">
        <v>23</v>
      </c>
      <c r="B1555">
        <v>22.276969000000001</v>
      </c>
      <c r="C1555">
        <v>1.84995</v>
      </c>
      <c r="D1555">
        <v>121.786485</v>
      </c>
      <c r="E1555" t="s">
        <v>18</v>
      </c>
      <c r="F1555" t="s">
        <v>18</v>
      </c>
      <c r="G1555">
        <v>3</v>
      </c>
      <c r="H1555">
        <v>2.272214</v>
      </c>
      <c r="I1555" t="s">
        <v>20</v>
      </c>
      <c r="J1555" t="s">
        <v>19</v>
      </c>
      <c r="K1555">
        <v>1.555534</v>
      </c>
      <c r="L1555" t="s">
        <v>19</v>
      </c>
      <c r="M1555">
        <v>0.34883900000000001</v>
      </c>
      <c r="N1555">
        <v>0</v>
      </c>
      <c r="O1555" t="s">
        <v>20</v>
      </c>
      <c r="P1555" t="s">
        <v>21</v>
      </c>
      <c r="Q1555" t="s">
        <v>33</v>
      </c>
    </row>
    <row r="1556" spans="1:17" x14ac:dyDescent="0.2">
      <c r="A1556" t="s">
        <v>23</v>
      </c>
      <c r="B1556">
        <v>21.963787</v>
      </c>
      <c r="C1556">
        <v>1.8496010000000001</v>
      </c>
      <c r="D1556">
        <v>122.33342500000001</v>
      </c>
      <c r="E1556" t="s">
        <v>18</v>
      </c>
      <c r="F1556" t="s">
        <v>18</v>
      </c>
      <c r="G1556">
        <v>3</v>
      </c>
      <c r="H1556">
        <v>2.2182849999999998</v>
      </c>
      <c r="I1556" t="s">
        <v>20</v>
      </c>
      <c r="J1556" t="s">
        <v>19</v>
      </c>
      <c r="K1556">
        <v>1.340117</v>
      </c>
      <c r="L1556" t="s">
        <v>19</v>
      </c>
      <c r="M1556">
        <v>0.428259</v>
      </c>
      <c r="N1556">
        <v>0</v>
      </c>
      <c r="O1556" t="s">
        <v>20</v>
      </c>
      <c r="P1556" t="s">
        <v>21</v>
      </c>
      <c r="Q1556" t="s">
        <v>33</v>
      </c>
    </row>
    <row r="1557" spans="1:17" x14ac:dyDescent="0.2">
      <c r="A1557" t="s">
        <v>23</v>
      </c>
      <c r="B1557">
        <v>24.001684999999998</v>
      </c>
      <c r="C1557">
        <v>1.606066</v>
      </c>
      <c r="D1557">
        <v>99.961731</v>
      </c>
      <c r="E1557" t="s">
        <v>18</v>
      </c>
      <c r="F1557" t="s">
        <v>18</v>
      </c>
      <c r="G1557">
        <v>3</v>
      </c>
      <c r="H1557">
        <v>1.418833</v>
      </c>
      <c r="I1557" t="s">
        <v>20</v>
      </c>
      <c r="J1557" t="s">
        <v>19</v>
      </c>
      <c r="K1557">
        <v>1</v>
      </c>
      <c r="L1557" t="s">
        <v>19</v>
      </c>
      <c r="M1557">
        <v>1.19102</v>
      </c>
      <c r="N1557">
        <v>1.3841859999999999</v>
      </c>
      <c r="O1557" t="s">
        <v>19</v>
      </c>
      <c r="P1557" t="s">
        <v>21</v>
      </c>
      <c r="Q1557" t="s">
        <v>33</v>
      </c>
    </row>
    <row r="1558" spans="1:17" x14ac:dyDescent="0.2">
      <c r="A1558" t="s">
        <v>23</v>
      </c>
      <c r="B1558">
        <v>20.027764000000001</v>
      </c>
      <c r="C1558">
        <v>1.611434</v>
      </c>
      <c r="D1558">
        <v>103.175516</v>
      </c>
      <c r="E1558" t="s">
        <v>18</v>
      </c>
      <c r="F1558" t="s">
        <v>18</v>
      </c>
      <c r="G1558">
        <v>2.9830420000000002</v>
      </c>
      <c r="H1558">
        <v>1.1099559999999999</v>
      </c>
      <c r="I1558" t="s">
        <v>20</v>
      </c>
      <c r="J1558" t="s">
        <v>19</v>
      </c>
      <c r="K1558">
        <v>1.430444</v>
      </c>
      <c r="L1558" t="s">
        <v>19</v>
      </c>
      <c r="M1558">
        <v>0</v>
      </c>
      <c r="N1558">
        <v>1.690901</v>
      </c>
      <c r="O1558" t="s">
        <v>19</v>
      </c>
      <c r="P1558" t="s">
        <v>21</v>
      </c>
      <c r="Q1558" t="s">
        <v>33</v>
      </c>
    </row>
    <row r="1559" spans="1:17" x14ac:dyDescent="0.2">
      <c r="A1559" t="s">
        <v>23</v>
      </c>
      <c r="B1559">
        <v>28.704461999999999</v>
      </c>
      <c r="C1559">
        <v>1.7628870000000001</v>
      </c>
      <c r="D1559">
        <v>113.90197999999999</v>
      </c>
      <c r="E1559" t="s">
        <v>18</v>
      </c>
      <c r="F1559" t="s">
        <v>18</v>
      </c>
      <c r="G1559">
        <v>2.3233510000000002</v>
      </c>
      <c r="H1559">
        <v>3</v>
      </c>
      <c r="I1559" t="s">
        <v>20</v>
      </c>
      <c r="J1559" t="s">
        <v>19</v>
      </c>
      <c r="K1559">
        <v>2.1650480000000001</v>
      </c>
      <c r="L1559" t="s">
        <v>19</v>
      </c>
      <c r="M1559">
        <v>0</v>
      </c>
      <c r="N1559">
        <v>1.493716</v>
      </c>
      <c r="O1559" t="s">
        <v>20</v>
      </c>
      <c r="P1559" t="s">
        <v>28</v>
      </c>
      <c r="Q1559" t="s">
        <v>33</v>
      </c>
    </row>
    <row r="1560" spans="1:17" x14ac:dyDescent="0.2">
      <c r="A1560" t="s">
        <v>23</v>
      </c>
      <c r="B1560">
        <v>26.774114999999998</v>
      </c>
      <c r="C1560">
        <v>1.755938</v>
      </c>
      <c r="D1560">
        <v>112.287678</v>
      </c>
      <c r="E1560" t="s">
        <v>18</v>
      </c>
      <c r="F1560" t="s">
        <v>18</v>
      </c>
      <c r="G1560">
        <v>1.4282889999999999</v>
      </c>
      <c r="H1560">
        <v>3</v>
      </c>
      <c r="I1560" t="s">
        <v>20</v>
      </c>
      <c r="J1560" t="s">
        <v>19</v>
      </c>
      <c r="K1560">
        <v>2.1177329999999999</v>
      </c>
      <c r="L1560" t="s">
        <v>19</v>
      </c>
      <c r="M1560">
        <v>0.48532199999999998</v>
      </c>
      <c r="N1560">
        <v>0.69694800000000001</v>
      </c>
      <c r="O1560" t="s">
        <v>20</v>
      </c>
      <c r="P1560" t="s">
        <v>28</v>
      </c>
      <c r="Q1560" t="s">
        <v>33</v>
      </c>
    </row>
    <row r="1561" spans="1:17" x14ac:dyDescent="0.2">
      <c r="A1561" t="s">
        <v>23</v>
      </c>
      <c r="B1561">
        <v>25.539411000000001</v>
      </c>
      <c r="C1561">
        <v>1.7870520000000001</v>
      </c>
      <c r="D1561">
        <v>115.428276</v>
      </c>
      <c r="E1561" t="s">
        <v>18</v>
      </c>
      <c r="F1561" t="s">
        <v>18</v>
      </c>
      <c r="G1561">
        <v>1.9928889999999999</v>
      </c>
      <c r="H1561">
        <v>3</v>
      </c>
      <c r="I1561" t="s">
        <v>20</v>
      </c>
      <c r="J1561" t="s">
        <v>19</v>
      </c>
      <c r="K1561">
        <v>2.1412710000000001</v>
      </c>
      <c r="L1561" t="s">
        <v>19</v>
      </c>
      <c r="M1561">
        <v>1.121038</v>
      </c>
      <c r="N1561">
        <v>0</v>
      </c>
      <c r="O1561" t="s">
        <v>20</v>
      </c>
      <c r="P1561" t="s">
        <v>21</v>
      </c>
      <c r="Q1561" t="s">
        <v>33</v>
      </c>
    </row>
    <row r="1562" spans="1:17" x14ac:dyDescent="0.2">
      <c r="A1562" t="s">
        <v>23</v>
      </c>
      <c r="B1562">
        <v>25.300208000000001</v>
      </c>
      <c r="C1562">
        <v>1.765258</v>
      </c>
      <c r="D1562">
        <v>114.330023</v>
      </c>
      <c r="E1562" t="s">
        <v>18</v>
      </c>
      <c r="F1562" t="s">
        <v>18</v>
      </c>
      <c r="G1562">
        <v>1.5628040000000001</v>
      </c>
      <c r="H1562">
        <v>3</v>
      </c>
      <c r="I1562" t="s">
        <v>20</v>
      </c>
      <c r="J1562" t="s">
        <v>19</v>
      </c>
      <c r="K1562">
        <v>2.0754929999999998</v>
      </c>
      <c r="L1562" t="s">
        <v>19</v>
      </c>
      <c r="M1562">
        <v>1.5537339999999999</v>
      </c>
      <c r="N1562">
        <v>4.3600000000000003E-4</v>
      </c>
      <c r="O1562" t="s">
        <v>20</v>
      </c>
      <c r="P1562" t="s">
        <v>21</v>
      </c>
      <c r="Q1562" t="s">
        <v>33</v>
      </c>
    </row>
    <row r="1563" spans="1:17" x14ac:dyDescent="0.2">
      <c r="A1563" t="s">
        <v>23</v>
      </c>
      <c r="B1563">
        <v>31.194458000000001</v>
      </c>
      <c r="C1563">
        <v>1.7262789999999999</v>
      </c>
      <c r="D1563">
        <v>110.71471099999999</v>
      </c>
      <c r="E1563" t="s">
        <v>18</v>
      </c>
      <c r="F1563" t="s">
        <v>18</v>
      </c>
      <c r="G1563">
        <v>1.7948249999999999</v>
      </c>
      <c r="H1563">
        <v>3.9144540000000001</v>
      </c>
      <c r="I1563" t="s">
        <v>20</v>
      </c>
      <c r="J1563" t="s">
        <v>19</v>
      </c>
      <c r="K1563">
        <v>1.972016</v>
      </c>
      <c r="L1563" t="s">
        <v>19</v>
      </c>
      <c r="M1563">
        <v>0.66896299999999997</v>
      </c>
      <c r="N1563">
        <v>0</v>
      </c>
      <c r="O1563" t="s">
        <v>19</v>
      </c>
      <c r="P1563" t="s">
        <v>28</v>
      </c>
      <c r="Q1563" t="s">
        <v>33</v>
      </c>
    </row>
    <row r="1564" spans="1:17" x14ac:dyDescent="0.2">
      <c r="A1564" t="s">
        <v>23</v>
      </c>
      <c r="B1564">
        <v>40.794057000000002</v>
      </c>
      <c r="C1564">
        <v>1.735851</v>
      </c>
      <c r="D1564">
        <v>109.88933400000001</v>
      </c>
      <c r="E1564" t="s">
        <v>18</v>
      </c>
      <c r="F1564" t="s">
        <v>18</v>
      </c>
      <c r="G1564">
        <v>2.3053490000000001</v>
      </c>
      <c r="H1564">
        <v>3.169089</v>
      </c>
      <c r="I1564" t="s">
        <v>20</v>
      </c>
      <c r="J1564" t="s">
        <v>19</v>
      </c>
      <c r="K1564">
        <v>1.0216099999999999</v>
      </c>
      <c r="L1564" t="s">
        <v>19</v>
      </c>
      <c r="M1564">
        <v>0.90898100000000004</v>
      </c>
      <c r="N1564">
        <v>0</v>
      </c>
      <c r="O1564" t="s">
        <v>19</v>
      </c>
      <c r="P1564" t="s">
        <v>28</v>
      </c>
      <c r="Q1564" t="s">
        <v>33</v>
      </c>
    </row>
    <row r="1565" spans="1:17" x14ac:dyDescent="0.2">
      <c r="A1565" t="s">
        <v>23</v>
      </c>
      <c r="B1565">
        <v>33.553359999999998</v>
      </c>
      <c r="C1565">
        <v>1.6997930000000001</v>
      </c>
      <c r="D1565">
        <v>103.841672</v>
      </c>
      <c r="E1565" t="s">
        <v>18</v>
      </c>
      <c r="F1565" t="s">
        <v>18</v>
      </c>
      <c r="G1565">
        <v>2.5764490000000002</v>
      </c>
      <c r="H1565">
        <v>2.4196559999999998</v>
      </c>
      <c r="I1565" t="s">
        <v>20</v>
      </c>
      <c r="J1565" t="s">
        <v>19</v>
      </c>
      <c r="K1565">
        <v>1</v>
      </c>
      <c r="L1565" t="s">
        <v>19</v>
      </c>
      <c r="M1565">
        <v>1.9823789999999999</v>
      </c>
      <c r="N1565">
        <v>0</v>
      </c>
      <c r="O1565" t="s">
        <v>19</v>
      </c>
      <c r="P1565" t="s">
        <v>21</v>
      </c>
      <c r="Q1565" t="s">
        <v>33</v>
      </c>
    </row>
    <row r="1566" spans="1:17" x14ac:dyDescent="0.2">
      <c r="A1566" t="s">
        <v>23</v>
      </c>
      <c r="B1566">
        <v>30.304203000000001</v>
      </c>
      <c r="C1566">
        <v>1.7032020000000001</v>
      </c>
      <c r="D1566">
        <v>103.03440000000001</v>
      </c>
      <c r="E1566" t="s">
        <v>18</v>
      </c>
      <c r="F1566" t="s">
        <v>18</v>
      </c>
      <c r="G1566">
        <v>2.754645</v>
      </c>
      <c r="H1566">
        <v>2.1754319999999998</v>
      </c>
      <c r="I1566" t="s">
        <v>20</v>
      </c>
      <c r="J1566" t="s">
        <v>19</v>
      </c>
      <c r="K1566">
        <v>1.541733</v>
      </c>
      <c r="L1566" t="s">
        <v>19</v>
      </c>
      <c r="M1566">
        <v>0.358709</v>
      </c>
      <c r="N1566">
        <v>1.0739000000000001</v>
      </c>
      <c r="O1566" t="s">
        <v>19</v>
      </c>
      <c r="P1566" t="s">
        <v>21</v>
      </c>
      <c r="Q1566" t="s">
        <v>33</v>
      </c>
    </row>
    <row r="1567" spans="1:17" x14ac:dyDescent="0.2">
      <c r="A1567" t="s">
        <v>23</v>
      </c>
      <c r="B1567">
        <v>30.958051000000001</v>
      </c>
      <c r="C1567">
        <v>1.9068210000000001</v>
      </c>
      <c r="D1567">
        <v>128.85667699999999</v>
      </c>
      <c r="E1567" t="s">
        <v>18</v>
      </c>
      <c r="F1567" t="s">
        <v>18</v>
      </c>
      <c r="G1567">
        <v>2.6338550000000001</v>
      </c>
      <c r="H1567">
        <v>3</v>
      </c>
      <c r="I1567" t="s">
        <v>20</v>
      </c>
      <c r="J1567" t="s">
        <v>19</v>
      </c>
      <c r="K1567">
        <v>1.619305</v>
      </c>
      <c r="L1567" t="s">
        <v>19</v>
      </c>
      <c r="M1567">
        <v>1.8478019999999999</v>
      </c>
      <c r="N1567">
        <v>0.42461199999999999</v>
      </c>
      <c r="O1567" t="s">
        <v>20</v>
      </c>
      <c r="P1567" t="s">
        <v>21</v>
      </c>
      <c r="Q1567" t="s">
        <v>33</v>
      </c>
    </row>
    <row r="1568" spans="1:17" x14ac:dyDescent="0.2">
      <c r="A1568" t="s">
        <v>23</v>
      </c>
      <c r="B1568">
        <v>29.429687000000001</v>
      </c>
      <c r="C1568">
        <v>1.910987</v>
      </c>
      <c r="D1568">
        <v>129.935666</v>
      </c>
      <c r="E1568" t="s">
        <v>18</v>
      </c>
      <c r="F1568" t="s">
        <v>18</v>
      </c>
      <c r="G1568">
        <v>2.2005880000000002</v>
      </c>
      <c r="H1568">
        <v>3</v>
      </c>
      <c r="I1568" t="s">
        <v>20</v>
      </c>
      <c r="J1568" t="s">
        <v>19</v>
      </c>
      <c r="K1568">
        <v>1.2956970000000001</v>
      </c>
      <c r="L1568" t="s">
        <v>19</v>
      </c>
      <c r="M1568">
        <v>1.058378</v>
      </c>
      <c r="N1568">
        <v>0</v>
      </c>
      <c r="O1568" t="s">
        <v>20</v>
      </c>
      <c r="P1568" t="s">
        <v>21</v>
      </c>
      <c r="Q1568" t="s">
        <v>33</v>
      </c>
    </row>
    <row r="1569" spans="1:17" x14ac:dyDescent="0.2">
      <c r="A1569" t="s">
        <v>23</v>
      </c>
      <c r="B1569">
        <v>30.520854</v>
      </c>
      <c r="C1569">
        <v>1.784049</v>
      </c>
      <c r="D1569">
        <v>120.644178</v>
      </c>
      <c r="E1569" t="s">
        <v>18</v>
      </c>
      <c r="F1569" t="s">
        <v>18</v>
      </c>
      <c r="G1569">
        <v>2.4991080000000001</v>
      </c>
      <c r="H1569">
        <v>3</v>
      </c>
      <c r="I1569" t="s">
        <v>20</v>
      </c>
      <c r="J1569" t="s">
        <v>19</v>
      </c>
      <c r="K1569">
        <v>2.0409519999999999</v>
      </c>
      <c r="L1569" t="s">
        <v>19</v>
      </c>
      <c r="M1569">
        <v>0.83873900000000001</v>
      </c>
      <c r="N1569">
        <v>0.48985400000000001</v>
      </c>
      <c r="O1569" t="s">
        <v>20</v>
      </c>
      <c r="P1569" t="s">
        <v>28</v>
      </c>
      <c r="Q1569" t="s">
        <v>33</v>
      </c>
    </row>
    <row r="1570" spans="1:17" x14ac:dyDescent="0.2">
      <c r="A1570" t="s">
        <v>23</v>
      </c>
      <c r="B1570">
        <v>30.610436</v>
      </c>
      <c r="C1570">
        <v>1.783914</v>
      </c>
      <c r="D1570">
        <v>120.549592</v>
      </c>
      <c r="E1570" t="s">
        <v>18</v>
      </c>
      <c r="F1570" t="s">
        <v>18</v>
      </c>
      <c r="G1570">
        <v>2.05687</v>
      </c>
      <c r="H1570">
        <v>3</v>
      </c>
      <c r="I1570" t="s">
        <v>20</v>
      </c>
      <c r="J1570" t="s">
        <v>19</v>
      </c>
      <c r="K1570">
        <v>2.358088</v>
      </c>
      <c r="L1570" t="s">
        <v>19</v>
      </c>
      <c r="M1570">
        <v>9.3418000000000001E-2</v>
      </c>
      <c r="N1570">
        <v>1.759954</v>
      </c>
      <c r="O1570" t="s">
        <v>20</v>
      </c>
      <c r="P1570" t="s">
        <v>28</v>
      </c>
      <c r="Q1570" t="s">
        <v>33</v>
      </c>
    </row>
    <row r="1571" spans="1:17" x14ac:dyDescent="0.2">
      <c r="A1571" t="s">
        <v>23</v>
      </c>
      <c r="B1571">
        <v>26.740655</v>
      </c>
      <c r="C1571">
        <v>1.863883</v>
      </c>
      <c r="D1571">
        <v>120.202596</v>
      </c>
      <c r="E1571" t="s">
        <v>18</v>
      </c>
      <c r="F1571" t="s">
        <v>18</v>
      </c>
      <c r="G1571">
        <v>2.247795</v>
      </c>
      <c r="H1571">
        <v>3</v>
      </c>
      <c r="I1571" t="s">
        <v>20</v>
      </c>
      <c r="J1571" t="s">
        <v>19</v>
      </c>
      <c r="K1571">
        <v>2.8160150000000002</v>
      </c>
      <c r="L1571" t="s">
        <v>19</v>
      </c>
      <c r="M1571">
        <v>0.71272599999999997</v>
      </c>
      <c r="N1571">
        <v>0</v>
      </c>
      <c r="O1571" t="s">
        <v>20</v>
      </c>
      <c r="P1571" t="s">
        <v>21</v>
      </c>
      <c r="Q1571" t="s">
        <v>33</v>
      </c>
    </row>
    <row r="1572" spans="1:17" x14ac:dyDescent="0.2">
      <c r="A1572" t="s">
        <v>23</v>
      </c>
      <c r="B1572">
        <v>26.680375999999999</v>
      </c>
      <c r="C1572">
        <v>1.8122590000000001</v>
      </c>
      <c r="D1572">
        <v>118.277657</v>
      </c>
      <c r="E1572" t="s">
        <v>18</v>
      </c>
      <c r="F1572" t="s">
        <v>18</v>
      </c>
      <c r="G1572">
        <v>2.2396340000000001</v>
      </c>
      <c r="H1572">
        <v>3</v>
      </c>
      <c r="I1572" t="s">
        <v>20</v>
      </c>
      <c r="J1572" t="s">
        <v>19</v>
      </c>
      <c r="K1572">
        <v>2.6842640000000002</v>
      </c>
      <c r="L1572" t="s">
        <v>19</v>
      </c>
      <c r="M1572">
        <v>0.97930600000000001</v>
      </c>
      <c r="N1572">
        <v>0</v>
      </c>
      <c r="O1572" t="s">
        <v>20</v>
      </c>
      <c r="P1572" t="s">
        <v>21</v>
      </c>
      <c r="Q1572" t="s">
        <v>33</v>
      </c>
    </row>
    <row r="1573" spans="1:17" x14ac:dyDescent="0.2">
      <c r="A1573" t="s">
        <v>23</v>
      </c>
      <c r="B1573">
        <v>37.056193</v>
      </c>
      <c r="C1573">
        <v>1.7501500000000001</v>
      </c>
      <c r="D1573">
        <v>118.206565</v>
      </c>
      <c r="E1573" t="s">
        <v>18</v>
      </c>
      <c r="F1573" t="s">
        <v>18</v>
      </c>
      <c r="G1573">
        <v>2.0928300000000002</v>
      </c>
      <c r="H1573">
        <v>3</v>
      </c>
      <c r="I1573" t="s">
        <v>20</v>
      </c>
      <c r="J1573" t="s">
        <v>19</v>
      </c>
      <c r="K1573">
        <v>2.0777040000000002</v>
      </c>
      <c r="L1573" t="s">
        <v>19</v>
      </c>
      <c r="M1573">
        <v>0.59865500000000005</v>
      </c>
      <c r="N1573">
        <v>0</v>
      </c>
      <c r="O1573" t="s">
        <v>20</v>
      </c>
      <c r="P1573" t="s">
        <v>28</v>
      </c>
      <c r="Q1573" t="s">
        <v>33</v>
      </c>
    </row>
    <row r="1574" spans="1:17" x14ac:dyDescent="0.2">
      <c r="A1574" t="s">
        <v>23</v>
      </c>
      <c r="B1574">
        <v>28.825278999999998</v>
      </c>
      <c r="C1574">
        <v>1.815347</v>
      </c>
      <c r="D1574">
        <v>120.39975800000001</v>
      </c>
      <c r="E1574" t="s">
        <v>18</v>
      </c>
      <c r="F1574" t="s">
        <v>18</v>
      </c>
      <c r="G1574">
        <v>2.9672999999999998</v>
      </c>
      <c r="H1574">
        <v>3</v>
      </c>
      <c r="I1574" t="s">
        <v>20</v>
      </c>
      <c r="J1574" t="s">
        <v>19</v>
      </c>
      <c r="K1574">
        <v>2.5300349999999998</v>
      </c>
      <c r="L1574" t="s">
        <v>19</v>
      </c>
      <c r="M1574">
        <v>1.045107</v>
      </c>
      <c r="N1574">
        <v>0.94786599999999999</v>
      </c>
      <c r="O1574" t="s">
        <v>20</v>
      </c>
      <c r="P1574" t="s">
        <v>28</v>
      </c>
      <c r="Q1574" t="s">
        <v>33</v>
      </c>
    </row>
    <row r="1575" spans="1:17" x14ac:dyDescent="0.2">
      <c r="A1575" t="s">
        <v>23</v>
      </c>
      <c r="B1575">
        <v>25.883749000000002</v>
      </c>
      <c r="C1575">
        <v>1.767077</v>
      </c>
      <c r="D1575">
        <v>114.133149</v>
      </c>
      <c r="E1575" t="s">
        <v>18</v>
      </c>
      <c r="F1575" t="s">
        <v>18</v>
      </c>
      <c r="G1575">
        <v>2.2257310000000001</v>
      </c>
      <c r="H1575">
        <v>3</v>
      </c>
      <c r="I1575" t="s">
        <v>20</v>
      </c>
      <c r="J1575" t="s">
        <v>19</v>
      </c>
      <c r="K1575">
        <v>2.1543260000000002</v>
      </c>
      <c r="L1575" t="s">
        <v>19</v>
      </c>
      <c r="M1575">
        <v>1.266866</v>
      </c>
      <c r="N1575">
        <v>0.39017800000000002</v>
      </c>
      <c r="O1575" t="s">
        <v>20</v>
      </c>
      <c r="P1575" t="s">
        <v>21</v>
      </c>
      <c r="Q1575" t="s">
        <v>33</v>
      </c>
    </row>
    <row r="1576" spans="1:17" x14ac:dyDescent="0.2">
      <c r="A1576" t="s">
        <v>23</v>
      </c>
      <c r="B1576">
        <v>25.486521</v>
      </c>
      <c r="C1576">
        <v>1.7624610000000001</v>
      </c>
      <c r="D1576">
        <v>115.531622</v>
      </c>
      <c r="E1576" t="s">
        <v>18</v>
      </c>
      <c r="F1576" t="s">
        <v>18</v>
      </c>
      <c r="G1576">
        <v>2.1783079999999999</v>
      </c>
      <c r="H1576">
        <v>3</v>
      </c>
      <c r="I1576" t="s">
        <v>20</v>
      </c>
      <c r="J1576" t="s">
        <v>19</v>
      </c>
      <c r="K1576">
        <v>2.1658040000000001</v>
      </c>
      <c r="L1576" t="s">
        <v>19</v>
      </c>
      <c r="M1576">
        <v>1.4206749999999999</v>
      </c>
      <c r="N1576">
        <v>1.875683</v>
      </c>
      <c r="O1576" t="s">
        <v>20</v>
      </c>
      <c r="P1576" t="s">
        <v>21</v>
      </c>
      <c r="Q1576" t="s">
        <v>33</v>
      </c>
    </row>
    <row r="1577" spans="1:17" x14ac:dyDescent="0.2">
      <c r="A1577" t="s">
        <v>23</v>
      </c>
      <c r="B1577">
        <v>29.883020999999999</v>
      </c>
      <c r="C1577">
        <v>1.7790490000000001</v>
      </c>
      <c r="D1577">
        <v>112.438508</v>
      </c>
      <c r="E1577" t="s">
        <v>18</v>
      </c>
      <c r="F1577" t="s">
        <v>18</v>
      </c>
      <c r="G1577">
        <v>2.0657519999999998</v>
      </c>
      <c r="H1577">
        <v>3</v>
      </c>
      <c r="I1577" t="s">
        <v>20</v>
      </c>
      <c r="J1577" t="s">
        <v>19</v>
      </c>
      <c r="K1577">
        <v>2.0782970000000001</v>
      </c>
      <c r="L1577" t="s">
        <v>19</v>
      </c>
      <c r="M1577">
        <v>0</v>
      </c>
      <c r="N1577">
        <v>0.67735400000000001</v>
      </c>
      <c r="O1577" t="s">
        <v>20</v>
      </c>
      <c r="P1577" t="s">
        <v>28</v>
      </c>
      <c r="Q1577" t="s">
        <v>33</v>
      </c>
    </row>
    <row r="1578" spans="1:17" x14ac:dyDescent="0.2">
      <c r="A1578" t="s">
        <v>23</v>
      </c>
      <c r="B1578">
        <v>26.957644999999999</v>
      </c>
      <c r="C1578">
        <v>1.7807310000000001</v>
      </c>
      <c r="D1578">
        <v>112.957922</v>
      </c>
      <c r="E1578" t="s">
        <v>18</v>
      </c>
      <c r="F1578" t="s">
        <v>18</v>
      </c>
      <c r="G1578">
        <v>2.263245</v>
      </c>
      <c r="H1578">
        <v>3</v>
      </c>
      <c r="I1578" t="s">
        <v>20</v>
      </c>
      <c r="J1578" t="s">
        <v>19</v>
      </c>
      <c r="K1578">
        <v>2.0925090000000002</v>
      </c>
      <c r="L1578" t="s">
        <v>19</v>
      </c>
      <c r="M1578">
        <v>0</v>
      </c>
      <c r="N1578">
        <v>1.8368530000000001</v>
      </c>
      <c r="O1578" t="s">
        <v>20</v>
      </c>
      <c r="P1578" t="s">
        <v>28</v>
      </c>
      <c r="Q1578" t="s">
        <v>33</v>
      </c>
    </row>
    <row r="1579" spans="1:17" x14ac:dyDescent="0.2">
      <c r="A1579" t="s">
        <v>23</v>
      </c>
      <c r="B1579">
        <v>26.490926000000002</v>
      </c>
      <c r="C1579">
        <v>1.872517</v>
      </c>
      <c r="D1579">
        <v>120.898397</v>
      </c>
      <c r="E1579" t="s">
        <v>18</v>
      </c>
      <c r="F1579" t="s">
        <v>18</v>
      </c>
      <c r="G1579">
        <v>2.4435380000000002</v>
      </c>
      <c r="H1579">
        <v>3</v>
      </c>
      <c r="I1579" t="s">
        <v>20</v>
      </c>
      <c r="J1579" t="s">
        <v>19</v>
      </c>
      <c r="K1579">
        <v>2.939492</v>
      </c>
      <c r="L1579" t="s">
        <v>19</v>
      </c>
      <c r="M1579">
        <v>1.208142</v>
      </c>
      <c r="N1579">
        <v>0.73893500000000001</v>
      </c>
      <c r="O1579" t="s">
        <v>20</v>
      </c>
      <c r="P1579" t="s">
        <v>21</v>
      </c>
      <c r="Q1579" t="s">
        <v>33</v>
      </c>
    </row>
    <row r="1580" spans="1:17" x14ac:dyDescent="0.2">
      <c r="A1580" t="s">
        <v>23</v>
      </c>
      <c r="B1580">
        <v>27.558800999999999</v>
      </c>
      <c r="C1580">
        <v>1.8012239999999999</v>
      </c>
      <c r="D1580">
        <v>119.050381</v>
      </c>
      <c r="E1580" t="s">
        <v>18</v>
      </c>
      <c r="F1580" t="s">
        <v>18</v>
      </c>
      <c r="G1580">
        <v>2.7449940000000002</v>
      </c>
      <c r="H1580">
        <v>3</v>
      </c>
      <c r="I1580" t="s">
        <v>20</v>
      </c>
      <c r="J1580" t="s">
        <v>19</v>
      </c>
      <c r="K1580">
        <v>2.4788380000000001</v>
      </c>
      <c r="L1580" t="s">
        <v>19</v>
      </c>
      <c r="M1580">
        <v>0.68448699999999996</v>
      </c>
      <c r="N1580">
        <v>0.67790899999999998</v>
      </c>
      <c r="O1580" t="s">
        <v>20</v>
      </c>
      <c r="P1580" t="s">
        <v>21</v>
      </c>
      <c r="Q1580" t="s">
        <v>33</v>
      </c>
    </row>
    <row r="1581" spans="1:17" x14ac:dyDescent="0.2">
      <c r="A1581" t="s">
        <v>23</v>
      </c>
      <c r="B1581">
        <v>22.908878999999999</v>
      </c>
      <c r="C1581">
        <v>1.876898</v>
      </c>
      <c r="D1581">
        <v>121.277832</v>
      </c>
      <c r="E1581" t="s">
        <v>18</v>
      </c>
      <c r="F1581" t="s">
        <v>18</v>
      </c>
      <c r="G1581">
        <v>2.6301369999999999</v>
      </c>
      <c r="H1581">
        <v>2.806298</v>
      </c>
      <c r="I1581" t="s">
        <v>20</v>
      </c>
      <c r="J1581" t="s">
        <v>19</v>
      </c>
      <c r="K1581">
        <v>1.9705079999999999</v>
      </c>
      <c r="L1581" t="s">
        <v>19</v>
      </c>
      <c r="M1581">
        <v>1.3042910000000001</v>
      </c>
      <c r="N1581">
        <v>0</v>
      </c>
      <c r="O1581" t="s">
        <v>20</v>
      </c>
      <c r="P1581" t="s">
        <v>21</v>
      </c>
      <c r="Q1581" t="s">
        <v>33</v>
      </c>
    </row>
    <row r="1582" spans="1:17" x14ac:dyDescent="0.2">
      <c r="A1582" t="s">
        <v>23</v>
      </c>
      <c r="B1582">
        <v>24.201622</v>
      </c>
      <c r="C1582">
        <v>1.7755799999999999</v>
      </c>
      <c r="D1582">
        <v>120.58941900000001</v>
      </c>
      <c r="E1582" t="s">
        <v>18</v>
      </c>
      <c r="F1582" t="s">
        <v>18</v>
      </c>
      <c r="G1582">
        <v>2.1138430000000001</v>
      </c>
      <c r="H1582">
        <v>3</v>
      </c>
      <c r="I1582" t="s">
        <v>20</v>
      </c>
      <c r="J1582" t="s">
        <v>19</v>
      </c>
      <c r="K1582">
        <v>2.3160690000000002</v>
      </c>
      <c r="L1582" t="s">
        <v>19</v>
      </c>
      <c r="M1582">
        <v>1.804157</v>
      </c>
      <c r="N1582">
        <v>0.35731400000000002</v>
      </c>
      <c r="O1582" t="s">
        <v>20</v>
      </c>
      <c r="P1582" t="s">
        <v>21</v>
      </c>
      <c r="Q1582" t="s">
        <v>33</v>
      </c>
    </row>
    <row r="1583" spans="1:17" x14ac:dyDescent="0.2">
      <c r="A1583" t="s">
        <v>23</v>
      </c>
      <c r="B1583">
        <v>31.689772999999999</v>
      </c>
      <c r="C1583">
        <v>1.76569</v>
      </c>
      <c r="D1583">
        <v>120.08294100000001</v>
      </c>
      <c r="E1583" t="s">
        <v>18</v>
      </c>
      <c r="F1583" t="s">
        <v>18</v>
      </c>
      <c r="G1583">
        <v>2.8217270000000001</v>
      </c>
      <c r="H1583">
        <v>3</v>
      </c>
      <c r="I1583" t="s">
        <v>20</v>
      </c>
      <c r="J1583" t="s">
        <v>19</v>
      </c>
      <c r="K1583">
        <v>2.173279</v>
      </c>
      <c r="L1583" t="s">
        <v>19</v>
      </c>
      <c r="M1583">
        <v>1.0965560000000001</v>
      </c>
      <c r="N1583">
        <v>0.23285800000000001</v>
      </c>
      <c r="O1583" t="s">
        <v>20</v>
      </c>
      <c r="P1583" t="s">
        <v>28</v>
      </c>
      <c r="Q1583" t="s">
        <v>33</v>
      </c>
    </row>
    <row r="1584" spans="1:17" x14ac:dyDescent="0.2">
      <c r="A1584" t="s">
        <v>23</v>
      </c>
      <c r="B1584">
        <v>30.242597</v>
      </c>
      <c r="C1584">
        <v>1.7597719999999999</v>
      </c>
      <c r="D1584">
        <v>118.382361</v>
      </c>
      <c r="E1584" t="s">
        <v>18</v>
      </c>
      <c r="F1584" t="s">
        <v>18</v>
      </c>
      <c r="G1584">
        <v>2.3125279999999999</v>
      </c>
      <c r="H1584">
        <v>3</v>
      </c>
      <c r="I1584" t="s">
        <v>20</v>
      </c>
      <c r="J1584" t="s">
        <v>19</v>
      </c>
      <c r="K1584">
        <v>2.2080679999999999</v>
      </c>
      <c r="L1584" t="s">
        <v>19</v>
      </c>
      <c r="M1584">
        <v>1.0767199999999999</v>
      </c>
      <c r="N1584">
        <v>1.035711</v>
      </c>
      <c r="O1584" t="s">
        <v>20</v>
      </c>
      <c r="P1584" t="s">
        <v>28</v>
      </c>
      <c r="Q1584" t="s">
        <v>33</v>
      </c>
    </row>
    <row r="1585" spans="1:17" x14ac:dyDescent="0.2">
      <c r="A1585" t="s">
        <v>23</v>
      </c>
      <c r="B1585">
        <v>31.346844999999998</v>
      </c>
      <c r="C1585">
        <v>1.823545</v>
      </c>
      <c r="D1585">
        <v>126.460936</v>
      </c>
      <c r="E1585" t="s">
        <v>18</v>
      </c>
      <c r="F1585" t="s">
        <v>18</v>
      </c>
      <c r="G1585">
        <v>2.9388010000000002</v>
      </c>
      <c r="H1585">
        <v>3</v>
      </c>
      <c r="I1585" t="s">
        <v>20</v>
      </c>
      <c r="J1585" t="s">
        <v>18</v>
      </c>
      <c r="K1585">
        <v>1.4789939999999999</v>
      </c>
      <c r="L1585" t="s">
        <v>19</v>
      </c>
      <c r="M1585">
        <v>0.94676300000000002</v>
      </c>
      <c r="N1585">
        <v>1.360463</v>
      </c>
      <c r="O1585" t="s">
        <v>20</v>
      </c>
      <c r="P1585" t="s">
        <v>21</v>
      </c>
      <c r="Q1585" t="s">
        <v>33</v>
      </c>
    </row>
    <row r="1586" spans="1:17" x14ac:dyDescent="0.2">
      <c r="A1586" t="s">
        <v>23</v>
      </c>
      <c r="B1586">
        <v>30.577342999999999</v>
      </c>
      <c r="C1586">
        <v>1.8689229999999999</v>
      </c>
      <c r="D1586">
        <v>125.06426399999999</v>
      </c>
      <c r="E1586" t="s">
        <v>18</v>
      </c>
      <c r="F1586" t="s">
        <v>18</v>
      </c>
      <c r="G1586">
        <v>2.0506190000000002</v>
      </c>
      <c r="H1586">
        <v>3</v>
      </c>
      <c r="I1586" t="s">
        <v>20</v>
      </c>
      <c r="J1586" t="s">
        <v>18</v>
      </c>
      <c r="K1586">
        <v>1.5151829999999999</v>
      </c>
      <c r="L1586" t="s">
        <v>19</v>
      </c>
      <c r="M1586">
        <v>0.84981099999999998</v>
      </c>
      <c r="N1586">
        <v>0.26190099999999999</v>
      </c>
      <c r="O1586" t="s">
        <v>20</v>
      </c>
      <c r="P1586" t="s">
        <v>21</v>
      </c>
      <c r="Q1586" t="s">
        <v>33</v>
      </c>
    </row>
    <row r="1587" spans="1:17" x14ac:dyDescent="0.2">
      <c r="A1587" t="s">
        <v>23</v>
      </c>
      <c r="B1587">
        <v>25.124594999999999</v>
      </c>
      <c r="C1587">
        <v>1.7715099999999999</v>
      </c>
      <c r="D1587">
        <v>113.20712399999999</v>
      </c>
      <c r="E1587" t="s">
        <v>18</v>
      </c>
      <c r="F1587" t="s">
        <v>18</v>
      </c>
      <c r="G1587">
        <v>1.4577580000000001</v>
      </c>
      <c r="H1587">
        <v>3</v>
      </c>
      <c r="I1587" t="s">
        <v>20</v>
      </c>
      <c r="J1587" t="s">
        <v>19</v>
      </c>
      <c r="K1587">
        <v>2.0202490000000002</v>
      </c>
      <c r="L1587" t="s">
        <v>19</v>
      </c>
      <c r="M1587">
        <v>1.5567089999999999</v>
      </c>
      <c r="N1587">
        <v>1.33E-3</v>
      </c>
      <c r="O1587" t="s">
        <v>20</v>
      </c>
      <c r="P1587" t="s">
        <v>21</v>
      </c>
      <c r="Q1587" t="s">
        <v>33</v>
      </c>
    </row>
    <row r="1588" spans="1:17" x14ac:dyDescent="0.2">
      <c r="A1588" t="s">
        <v>23</v>
      </c>
      <c r="B1588">
        <v>25.509034</v>
      </c>
      <c r="C1588">
        <v>1.7721899999999999</v>
      </c>
      <c r="D1588">
        <v>114.097656</v>
      </c>
      <c r="E1588" t="s">
        <v>18</v>
      </c>
      <c r="F1588" t="s">
        <v>18</v>
      </c>
      <c r="G1588">
        <v>2.1933099999999999</v>
      </c>
      <c r="H1588">
        <v>3</v>
      </c>
      <c r="I1588" t="s">
        <v>20</v>
      </c>
      <c r="J1588" t="s">
        <v>19</v>
      </c>
      <c r="K1588">
        <v>2.0899830000000001</v>
      </c>
      <c r="L1588" t="s">
        <v>19</v>
      </c>
      <c r="M1588">
        <v>1.360994</v>
      </c>
      <c r="N1588">
        <v>0.85743800000000003</v>
      </c>
      <c r="O1588" t="s">
        <v>20</v>
      </c>
      <c r="P1588" t="s">
        <v>21</v>
      </c>
      <c r="Q1588" t="s">
        <v>33</v>
      </c>
    </row>
    <row r="1589" spans="1:17" x14ac:dyDescent="0.2">
      <c r="A1589" t="s">
        <v>23</v>
      </c>
      <c r="B1589">
        <v>25.478662</v>
      </c>
      <c r="C1589">
        <v>1.8582650000000001</v>
      </c>
      <c r="D1589">
        <v>117.57456999999999</v>
      </c>
      <c r="E1589" t="s">
        <v>18</v>
      </c>
      <c r="F1589" t="s">
        <v>18</v>
      </c>
      <c r="G1589">
        <v>2.0285709999999999</v>
      </c>
      <c r="H1589">
        <v>3</v>
      </c>
      <c r="I1589" t="s">
        <v>20</v>
      </c>
      <c r="J1589" t="s">
        <v>19</v>
      </c>
      <c r="K1589">
        <v>2.5304280000000001</v>
      </c>
      <c r="L1589" t="s">
        <v>19</v>
      </c>
      <c r="M1589">
        <v>1.31257</v>
      </c>
      <c r="N1589">
        <v>6.6805000000000003E-2</v>
      </c>
      <c r="O1589" t="s">
        <v>20</v>
      </c>
      <c r="P1589" t="s">
        <v>21</v>
      </c>
      <c r="Q1589" t="s">
        <v>33</v>
      </c>
    </row>
    <row r="1590" spans="1:17" x14ac:dyDescent="0.2">
      <c r="A1590" t="s">
        <v>23</v>
      </c>
      <c r="B1590">
        <v>25.100512999999999</v>
      </c>
      <c r="C1590">
        <v>1.8305959999999999</v>
      </c>
      <c r="D1590">
        <v>118.424156</v>
      </c>
      <c r="E1590" t="s">
        <v>18</v>
      </c>
      <c r="F1590" t="s">
        <v>18</v>
      </c>
      <c r="G1590">
        <v>1.4556020000000001</v>
      </c>
      <c r="H1590">
        <v>3</v>
      </c>
      <c r="I1590" t="s">
        <v>20</v>
      </c>
      <c r="J1590" t="s">
        <v>19</v>
      </c>
      <c r="K1590">
        <v>2.3633069999999998</v>
      </c>
      <c r="L1590" t="s">
        <v>19</v>
      </c>
      <c r="M1590">
        <v>1.1446829999999999</v>
      </c>
      <c r="N1590">
        <v>0.101026</v>
      </c>
      <c r="O1590" t="s">
        <v>20</v>
      </c>
      <c r="P1590" t="s">
        <v>21</v>
      </c>
      <c r="Q1590" t="s">
        <v>33</v>
      </c>
    </row>
    <row r="1591" spans="1:17" x14ac:dyDescent="0.2">
      <c r="A1591" t="s">
        <v>23</v>
      </c>
      <c r="B1591">
        <v>38.523645999999999</v>
      </c>
      <c r="C1591">
        <v>1.765836</v>
      </c>
      <c r="D1591">
        <v>118.53324600000001</v>
      </c>
      <c r="E1591" t="s">
        <v>18</v>
      </c>
      <c r="F1591" t="s">
        <v>18</v>
      </c>
      <c r="G1591">
        <v>2.1778960000000001</v>
      </c>
      <c r="H1591">
        <v>2.9876520000000002</v>
      </c>
      <c r="I1591" t="s">
        <v>20</v>
      </c>
      <c r="J1591" t="s">
        <v>19</v>
      </c>
      <c r="K1591">
        <v>1.7450950000000001</v>
      </c>
      <c r="L1591" t="s">
        <v>19</v>
      </c>
      <c r="M1591">
        <v>0.65654800000000002</v>
      </c>
      <c r="N1591">
        <v>0</v>
      </c>
      <c r="O1591" t="s">
        <v>20</v>
      </c>
      <c r="P1591" t="s">
        <v>28</v>
      </c>
      <c r="Q1591" t="s">
        <v>33</v>
      </c>
    </row>
    <row r="1592" spans="1:17" x14ac:dyDescent="0.2">
      <c r="A1592" t="s">
        <v>23</v>
      </c>
      <c r="B1592">
        <v>38.712159999999997</v>
      </c>
      <c r="C1592">
        <v>1.770278</v>
      </c>
      <c r="D1592">
        <v>117.29188000000001</v>
      </c>
      <c r="E1592" t="s">
        <v>18</v>
      </c>
      <c r="F1592" t="s">
        <v>18</v>
      </c>
      <c r="G1592">
        <v>2.2523819999999999</v>
      </c>
      <c r="H1592">
        <v>2.842848</v>
      </c>
      <c r="I1592" t="s">
        <v>20</v>
      </c>
      <c r="J1592" t="s">
        <v>19</v>
      </c>
      <c r="K1592">
        <v>1.879381</v>
      </c>
      <c r="L1592" t="s">
        <v>19</v>
      </c>
      <c r="M1592">
        <v>0.91938799999999998</v>
      </c>
      <c r="N1592">
        <v>0</v>
      </c>
      <c r="O1592" t="s">
        <v>20</v>
      </c>
      <c r="P1592" t="s">
        <v>28</v>
      </c>
      <c r="Q1592" t="s">
        <v>33</v>
      </c>
    </row>
    <row r="1593" spans="1:17" x14ac:dyDescent="0.2">
      <c r="A1593" t="s">
        <v>23</v>
      </c>
      <c r="B1593">
        <v>25.717521999999999</v>
      </c>
      <c r="C1593">
        <v>1.6734910000000001</v>
      </c>
      <c r="D1593">
        <v>103.706181</v>
      </c>
      <c r="E1593" t="s">
        <v>18</v>
      </c>
      <c r="F1593" t="s">
        <v>18</v>
      </c>
      <c r="G1593">
        <v>2.668949</v>
      </c>
      <c r="H1593">
        <v>1.1343209999999999</v>
      </c>
      <c r="I1593" t="s">
        <v>20</v>
      </c>
      <c r="J1593" t="s">
        <v>19</v>
      </c>
      <c r="K1593">
        <v>1.2794430000000001</v>
      </c>
      <c r="L1593" t="s">
        <v>19</v>
      </c>
      <c r="M1593">
        <v>0.11243</v>
      </c>
      <c r="N1593">
        <v>1.1355029999999999</v>
      </c>
      <c r="O1593" t="s">
        <v>19</v>
      </c>
      <c r="P1593" t="s">
        <v>21</v>
      </c>
      <c r="Q1593" t="s">
        <v>33</v>
      </c>
    </row>
    <row r="1594" spans="1:17" x14ac:dyDescent="0.2">
      <c r="A1594" t="s">
        <v>23</v>
      </c>
      <c r="B1594">
        <v>32.259622999999998</v>
      </c>
      <c r="C1594">
        <v>1.703346</v>
      </c>
      <c r="D1594">
        <v>102.686239</v>
      </c>
      <c r="E1594" t="s">
        <v>18</v>
      </c>
      <c r="F1594" t="s">
        <v>18</v>
      </c>
      <c r="G1594">
        <v>2.7239529999999998</v>
      </c>
      <c r="H1594">
        <v>1.9241680000000001</v>
      </c>
      <c r="I1594" t="s">
        <v>20</v>
      </c>
      <c r="J1594" t="s">
        <v>19</v>
      </c>
      <c r="K1594">
        <v>1</v>
      </c>
      <c r="L1594" t="s">
        <v>19</v>
      </c>
      <c r="M1594">
        <v>1.622055</v>
      </c>
      <c r="N1594">
        <v>6.9366999999999998E-2</v>
      </c>
      <c r="O1594" t="s">
        <v>19</v>
      </c>
      <c r="P1594" t="s">
        <v>21</v>
      </c>
      <c r="Q1594" t="s">
        <v>33</v>
      </c>
    </row>
    <row r="1595" spans="1:17" x14ac:dyDescent="0.2">
      <c r="A1595" t="s">
        <v>23</v>
      </c>
      <c r="B1595">
        <v>23.47007</v>
      </c>
      <c r="C1595">
        <v>1.8429059999999999</v>
      </c>
      <c r="D1595">
        <v>121.142535</v>
      </c>
      <c r="E1595" t="s">
        <v>18</v>
      </c>
      <c r="F1595" t="s">
        <v>18</v>
      </c>
      <c r="G1595">
        <v>3</v>
      </c>
      <c r="H1595">
        <v>2.701689</v>
      </c>
      <c r="I1595" t="s">
        <v>20</v>
      </c>
      <c r="J1595" t="s">
        <v>19</v>
      </c>
      <c r="K1595">
        <v>2.7384849999999998</v>
      </c>
      <c r="L1595" t="s">
        <v>19</v>
      </c>
      <c r="M1595">
        <v>0.99225300000000005</v>
      </c>
      <c r="N1595">
        <v>0</v>
      </c>
      <c r="O1595" t="s">
        <v>20</v>
      </c>
      <c r="P1595" t="s">
        <v>21</v>
      </c>
      <c r="Q1595" t="s">
        <v>33</v>
      </c>
    </row>
    <row r="1596" spans="1:17" x14ac:dyDescent="0.2">
      <c r="A1596" t="s">
        <v>23</v>
      </c>
      <c r="B1596">
        <v>24.408805000000001</v>
      </c>
      <c r="C1596">
        <v>1.779547</v>
      </c>
      <c r="D1596">
        <v>118.74003500000001</v>
      </c>
      <c r="E1596" t="s">
        <v>18</v>
      </c>
      <c r="F1596" t="s">
        <v>18</v>
      </c>
      <c r="G1596">
        <v>2.7362980000000001</v>
      </c>
      <c r="H1596">
        <v>2.9929030000000001</v>
      </c>
      <c r="I1596" t="s">
        <v>20</v>
      </c>
      <c r="J1596" t="s">
        <v>19</v>
      </c>
      <c r="K1596">
        <v>2.0455610000000002</v>
      </c>
      <c r="L1596" t="s">
        <v>19</v>
      </c>
      <c r="M1596">
        <v>0.85495699999999997</v>
      </c>
      <c r="N1596">
        <v>0.428452</v>
      </c>
      <c r="O1596" t="s">
        <v>20</v>
      </c>
      <c r="P1596" t="s">
        <v>21</v>
      </c>
      <c r="Q1596" t="s">
        <v>33</v>
      </c>
    </row>
    <row r="1597" spans="1:17" x14ac:dyDescent="0.2">
      <c r="A1597" t="s">
        <v>23</v>
      </c>
      <c r="B1597">
        <v>24.443010999999998</v>
      </c>
      <c r="C1597">
        <v>1.8733679999999999</v>
      </c>
      <c r="D1597">
        <v>121.82962000000001</v>
      </c>
      <c r="E1597" t="s">
        <v>18</v>
      </c>
      <c r="F1597" t="s">
        <v>18</v>
      </c>
      <c r="G1597">
        <v>2.7221609999999998</v>
      </c>
      <c r="H1597">
        <v>2.6588370000000001</v>
      </c>
      <c r="I1597" t="s">
        <v>20</v>
      </c>
      <c r="J1597" t="s">
        <v>19</v>
      </c>
      <c r="K1597">
        <v>2.3757069999999998</v>
      </c>
      <c r="L1597" t="s">
        <v>19</v>
      </c>
      <c r="M1597">
        <v>1.299469</v>
      </c>
      <c r="N1597">
        <v>0</v>
      </c>
      <c r="O1597" t="s">
        <v>20</v>
      </c>
      <c r="P1597" t="s">
        <v>21</v>
      </c>
      <c r="Q1597" t="s">
        <v>33</v>
      </c>
    </row>
    <row r="1598" spans="1:17" x14ac:dyDescent="0.2">
      <c r="A1598" t="s">
        <v>23</v>
      </c>
      <c r="B1598">
        <v>22.906341999999999</v>
      </c>
      <c r="C1598">
        <v>1.7559020000000001</v>
      </c>
      <c r="D1598">
        <v>120.02116100000001</v>
      </c>
      <c r="E1598" t="s">
        <v>18</v>
      </c>
      <c r="F1598" t="s">
        <v>18</v>
      </c>
      <c r="G1598">
        <v>2.9715739999999999</v>
      </c>
      <c r="H1598">
        <v>2.80742</v>
      </c>
      <c r="I1598" t="s">
        <v>20</v>
      </c>
      <c r="J1598" t="s">
        <v>19</v>
      </c>
      <c r="K1598">
        <v>1.9626459999999999</v>
      </c>
      <c r="L1598" t="s">
        <v>19</v>
      </c>
      <c r="M1598">
        <v>1.5838319999999999</v>
      </c>
      <c r="N1598">
        <v>0.50481600000000004</v>
      </c>
      <c r="O1598" t="s">
        <v>20</v>
      </c>
      <c r="P1598" t="s">
        <v>21</v>
      </c>
      <c r="Q1598" t="s">
        <v>33</v>
      </c>
    </row>
    <row r="1599" spans="1:17" x14ac:dyDescent="0.2">
      <c r="A1599" t="s">
        <v>23</v>
      </c>
      <c r="B1599">
        <v>24.007487999999999</v>
      </c>
      <c r="C1599">
        <v>1.6176550000000001</v>
      </c>
      <c r="D1599">
        <v>100.941357</v>
      </c>
      <c r="E1599" t="s">
        <v>18</v>
      </c>
      <c r="F1599" t="s">
        <v>18</v>
      </c>
      <c r="G1599">
        <v>2.871016</v>
      </c>
      <c r="H1599">
        <v>1.8344720000000001</v>
      </c>
      <c r="I1599" t="s">
        <v>20</v>
      </c>
      <c r="J1599" t="s">
        <v>19</v>
      </c>
      <c r="K1599">
        <v>1.0165850000000001</v>
      </c>
      <c r="L1599" t="s">
        <v>19</v>
      </c>
      <c r="M1599">
        <v>0.23616799999999999</v>
      </c>
      <c r="N1599">
        <v>0.974939</v>
      </c>
      <c r="O1599" t="s">
        <v>19</v>
      </c>
      <c r="P1599" t="s">
        <v>21</v>
      </c>
      <c r="Q1599" t="s">
        <v>33</v>
      </c>
    </row>
    <row r="1600" spans="1:17" x14ac:dyDescent="0.2">
      <c r="A1600" t="s">
        <v>23</v>
      </c>
      <c r="B1600">
        <v>30.686700999999999</v>
      </c>
      <c r="C1600">
        <v>1.644517</v>
      </c>
      <c r="D1600">
        <v>100.004418</v>
      </c>
      <c r="E1600" t="s">
        <v>18</v>
      </c>
      <c r="F1600" t="s">
        <v>18</v>
      </c>
      <c r="G1600">
        <v>2.9640499999999999</v>
      </c>
      <c r="H1600">
        <v>2.123138</v>
      </c>
      <c r="I1600" t="s">
        <v>20</v>
      </c>
      <c r="J1600" t="s">
        <v>19</v>
      </c>
      <c r="K1600">
        <v>1</v>
      </c>
      <c r="L1600" t="s">
        <v>19</v>
      </c>
      <c r="M1600">
        <v>1.6991810000000001</v>
      </c>
      <c r="N1600">
        <v>0.62046500000000004</v>
      </c>
      <c r="O1600" t="s">
        <v>19</v>
      </c>
      <c r="P1600" t="s">
        <v>21</v>
      </c>
      <c r="Q1600" t="s">
        <v>33</v>
      </c>
    </row>
    <row r="1601" spans="1:17" x14ac:dyDescent="0.2">
      <c r="A1601" t="s">
        <v>23</v>
      </c>
      <c r="B1601">
        <v>20.184450999999999</v>
      </c>
      <c r="C1601">
        <v>1.701284</v>
      </c>
      <c r="D1601">
        <v>104.578255</v>
      </c>
      <c r="E1601" t="s">
        <v>18</v>
      </c>
      <c r="F1601" t="s">
        <v>18</v>
      </c>
      <c r="G1601">
        <v>2.653721</v>
      </c>
      <c r="H1601">
        <v>1.265463</v>
      </c>
      <c r="I1601" t="s">
        <v>20</v>
      </c>
      <c r="J1601" t="s">
        <v>19</v>
      </c>
      <c r="K1601">
        <v>1.368457</v>
      </c>
      <c r="L1601" t="s">
        <v>19</v>
      </c>
      <c r="M1601">
        <v>0.21835599999999999</v>
      </c>
      <c r="N1601">
        <v>0.76807099999999995</v>
      </c>
      <c r="O1601" t="s">
        <v>19</v>
      </c>
      <c r="P1601" t="s">
        <v>21</v>
      </c>
      <c r="Q1601" t="s">
        <v>33</v>
      </c>
    </row>
    <row r="1602" spans="1:17" x14ac:dyDescent="0.2">
      <c r="A1602" t="s">
        <v>23</v>
      </c>
      <c r="B1602">
        <v>25.447208</v>
      </c>
      <c r="C1602">
        <v>1.6589100000000001</v>
      </c>
      <c r="D1602">
        <v>104.548794</v>
      </c>
      <c r="E1602" t="s">
        <v>18</v>
      </c>
      <c r="F1602" t="s">
        <v>18</v>
      </c>
      <c r="G1602">
        <v>2.8590970000000002</v>
      </c>
      <c r="H1602">
        <v>1.3403609999999999</v>
      </c>
      <c r="I1602" t="s">
        <v>20</v>
      </c>
      <c r="J1602" t="s">
        <v>19</v>
      </c>
      <c r="K1602">
        <v>1.530508</v>
      </c>
      <c r="L1602" t="s">
        <v>19</v>
      </c>
      <c r="M1602">
        <v>0.17447499999999999</v>
      </c>
      <c r="N1602">
        <v>1.2617050000000001</v>
      </c>
      <c r="O1602" t="s">
        <v>19</v>
      </c>
      <c r="P1602" t="s">
        <v>21</v>
      </c>
      <c r="Q1602" t="s">
        <v>33</v>
      </c>
    </row>
    <row r="1603" spans="1:17" x14ac:dyDescent="0.2">
      <c r="A1603" t="s">
        <v>23</v>
      </c>
      <c r="B1603">
        <v>30.002029</v>
      </c>
      <c r="C1603">
        <v>1.7593240000000001</v>
      </c>
      <c r="D1603">
        <v>112.000381</v>
      </c>
      <c r="E1603" t="s">
        <v>18</v>
      </c>
      <c r="F1603" t="s">
        <v>18</v>
      </c>
      <c r="G1603">
        <v>1.572036</v>
      </c>
      <c r="H1603">
        <v>3</v>
      </c>
      <c r="I1603" t="s">
        <v>20</v>
      </c>
      <c r="J1603" t="s">
        <v>19</v>
      </c>
      <c r="K1603">
        <v>2.0035630000000002</v>
      </c>
      <c r="L1603" t="s">
        <v>19</v>
      </c>
      <c r="M1603">
        <v>0</v>
      </c>
      <c r="N1603">
        <v>0.340196</v>
      </c>
      <c r="O1603" t="s">
        <v>20</v>
      </c>
      <c r="P1603" t="s">
        <v>28</v>
      </c>
      <c r="Q1603" t="s">
        <v>33</v>
      </c>
    </row>
    <row r="1604" spans="1:17" x14ac:dyDescent="0.2">
      <c r="A1604" t="s">
        <v>23</v>
      </c>
      <c r="B1604">
        <v>30.188303000000001</v>
      </c>
      <c r="C1604">
        <v>1.7583819999999999</v>
      </c>
      <c r="D1604">
        <v>112.10074</v>
      </c>
      <c r="E1604" t="s">
        <v>18</v>
      </c>
      <c r="F1604" t="s">
        <v>18</v>
      </c>
      <c r="G1604">
        <v>1.387489</v>
      </c>
      <c r="H1604">
        <v>3</v>
      </c>
      <c r="I1604" t="s">
        <v>20</v>
      </c>
      <c r="J1604" t="s">
        <v>19</v>
      </c>
      <c r="K1604">
        <v>2.017712</v>
      </c>
      <c r="L1604" t="s">
        <v>19</v>
      </c>
      <c r="M1604">
        <v>0</v>
      </c>
      <c r="N1604">
        <v>0.73125700000000005</v>
      </c>
      <c r="O1604" t="s">
        <v>20</v>
      </c>
      <c r="P1604" t="s">
        <v>28</v>
      </c>
      <c r="Q1604" t="s">
        <v>33</v>
      </c>
    </row>
    <row r="1605" spans="1:17" x14ac:dyDescent="0.2">
      <c r="A1605" t="s">
        <v>23</v>
      </c>
      <c r="B1605">
        <v>24.244029000000001</v>
      </c>
      <c r="C1605">
        <v>1.6222970000000001</v>
      </c>
      <c r="D1605">
        <v>99.982540999999998</v>
      </c>
      <c r="E1605" t="s">
        <v>18</v>
      </c>
      <c r="F1605" t="s">
        <v>18</v>
      </c>
      <c r="G1605">
        <v>2.941929</v>
      </c>
      <c r="H1605">
        <v>3.9894919999999998</v>
      </c>
      <c r="I1605" t="s">
        <v>20</v>
      </c>
      <c r="J1605" t="s">
        <v>19</v>
      </c>
      <c r="K1605">
        <v>1.014135</v>
      </c>
      <c r="L1605" t="s">
        <v>19</v>
      </c>
      <c r="M1605">
        <v>1.9586939999999999</v>
      </c>
      <c r="N1605">
        <v>0.68734200000000001</v>
      </c>
      <c r="O1605" t="s">
        <v>19</v>
      </c>
      <c r="P1605" t="s">
        <v>21</v>
      </c>
      <c r="Q1605" t="s">
        <v>33</v>
      </c>
    </row>
    <row r="1606" spans="1:17" x14ac:dyDescent="0.2">
      <c r="A1606" t="s">
        <v>23</v>
      </c>
      <c r="B1606">
        <v>24.521878999999998</v>
      </c>
      <c r="C1606">
        <v>1.623278</v>
      </c>
      <c r="D1606">
        <v>97.582959000000002</v>
      </c>
      <c r="E1606" t="s">
        <v>18</v>
      </c>
      <c r="F1606" t="s">
        <v>18</v>
      </c>
      <c r="G1606">
        <v>2.9735689999999999</v>
      </c>
      <c r="H1606">
        <v>2.6500880000000002</v>
      </c>
      <c r="I1606" t="s">
        <v>20</v>
      </c>
      <c r="J1606" t="s">
        <v>19</v>
      </c>
      <c r="K1606">
        <v>1.003063</v>
      </c>
      <c r="L1606" t="s">
        <v>19</v>
      </c>
      <c r="M1606">
        <v>1.9811540000000001</v>
      </c>
      <c r="N1606">
        <v>0.15700700000000001</v>
      </c>
      <c r="O1606" t="s">
        <v>19</v>
      </c>
      <c r="P1606" t="s">
        <v>21</v>
      </c>
      <c r="Q1606" t="s">
        <v>33</v>
      </c>
    </row>
    <row r="1607" spans="1:17" x14ac:dyDescent="0.2">
      <c r="A1607" t="s">
        <v>23</v>
      </c>
      <c r="B1607">
        <v>29.721964</v>
      </c>
      <c r="C1607">
        <v>1.9188590000000001</v>
      </c>
      <c r="D1607">
        <v>129.991623</v>
      </c>
      <c r="E1607" t="s">
        <v>18</v>
      </c>
      <c r="F1607" t="s">
        <v>18</v>
      </c>
      <c r="G1607">
        <v>2.0413760000000001</v>
      </c>
      <c r="H1607">
        <v>3</v>
      </c>
      <c r="I1607" t="s">
        <v>20</v>
      </c>
      <c r="J1607" t="s">
        <v>19</v>
      </c>
      <c r="K1607">
        <v>1.1202129999999999</v>
      </c>
      <c r="L1607" t="s">
        <v>19</v>
      </c>
      <c r="M1607">
        <v>1.05545</v>
      </c>
      <c r="N1607">
        <v>0</v>
      </c>
      <c r="O1607" t="s">
        <v>20</v>
      </c>
      <c r="P1607" t="s">
        <v>21</v>
      </c>
      <c r="Q1607" t="s">
        <v>33</v>
      </c>
    </row>
    <row r="1608" spans="1:17" x14ac:dyDescent="0.2">
      <c r="A1608" t="s">
        <v>23</v>
      </c>
      <c r="B1608">
        <v>29.906575</v>
      </c>
      <c r="C1608">
        <v>1.913252</v>
      </c>
      <c r="D1608">
        <v>129.23221599999999</v>
      </c>
      <c r="E1608" t="s">
        <v>18</v>
      </c>
      <c r="F1608" t="s">
        <v>18</v>
      </c>
      <c r="G1608">
        <v>2.0247199999999999</v>
      </c>
      <c r="H1608">
        <v>3</v>
      </c>
      <c r="I1608" t="s">
        <v>20</v>
      </c>
      <c r="J1608" t="s">
        <v>19</v>
      </c>
      <c r="K1608">
        <v>1.800335</v>
      </c>
      <c r="L1608" t="s">
        <v>19</v>
      </c>
      <c r="M1608">
        <v>1.1963680000000001</v>
      </c>
      <c r="N1608">
        <v>0</v>
      </c>
      <c r="O1608" t="s">
        <v>20</v>
      </c>
      <c r="P1608" t="s">
        <v>21</v>
      </c>
      <c r="Q1608" t="s">
        <v>33</v>
      </c>
    </row>
    <row r="1609" spans="1:17" x14ac:dyDescent="0.2">
      <c r="A1609" t="s">
        <v>23</v>
      </c>
      <c r="B1609">
        <v>37.084741999999999</v>
      </c>
      <c r="C1609">
        <v>1.75</v>
      </c>
      <c r="D1609">
        <v>118.07380999999999</v>
      </c>
      <c r="E1609" t="s">
        <v>18</v>
      </c>
      <c r="F1609" t="s">
        <v>18</v>
      </c>
      <c r="G1609">
        <v>2.1339640000000002</v>
      </c>
      <c r="H1609">
        <v>3</v>
      </c>
      <c r="I1609" t="s">
        <v>20</v>
      </c>
      <c r="J1609" t="s">
        <v>19</v>
      </c>
      <c r="K1609">
        <v>2.0083609999999998</v>
      </c>
      <c r="L1609" t="s">
        <v>19</v>
      </c>
      <c r="M1609">
        <v>0.20202899999999999</v>
      </c>
      <c r="N1609">
        <v>0.200516</v>
      </c>
      <c r="O1609" t="s">
        <v>20</v>
      </c>
      <c r="P1609" t="s">
        <v>28</v>
      </c>
      <c r="Q1609" t="s">
        <v>33</v>
      </c>
    </row>
    <row r="1610" spans="1:17" x14ac:dyDescent="0.2">
      <c r="A1610" t="s">
        <v>23</v>
      </c>
      <c r="B1610">
        <v>39.088859999999997</v>
      </c>
      <c r="C1610">
        <v>1.75</v>
      </c>
      <c r="D1610">
        <v>119.02910300000001</v>
      </c>
      <c r="E1610" t="s">
        <v>18</v>
      </c>
      <c r="F1610" t="s">
        <v>18</v>
      </c>
      <c r="G1610">
        <v>2.7024569999999999</v>
      </c>
      <c r="H1610">
        <v>3</v>
      </c>
      <c r="I1610" t="s">
        <v>20</v>
      </c>
      <c r="J1610" t="s">
        <v>19</v>
      </c>
      <c r="K1610">
        <v>2.0051939999999999</v>
      </c>
      <c r="L1610" t="s">
        <v>19</v>
      </c>
      <c r="M1610">
        <v>0.32531300000000002</v>
      </c>
      <c r="N1610">
        <v>0.41905500000000001</v>
      </c>
      <c r="O1610" t="s">
        <v>20</v>
      </c>
      <c r="P1610" t="s">
        <v>28</v>
      </c>
      <c r="Q1610" t="s">
        <v>33</v>
      </c>
    </row>
    <row r="1611" spans="1:17" x14ac:dyDescent="0.2">
      <c r="A1611" t="s">
        <v>23</v>
      </c>
      <c r="B1611">
        <v>22.658571999999999</v>
      </c>
      <c r="C1611">
        <v>1.784994</v>
      </c>
      <c r="D1611">
        <v>113.714521</v>
      </c>
      <c r="E1611" t="s">
        <v>18</v>
      </c>
      <c r="F1611" t="s">
        <v>18</v>
      </c>
      <c r="G1611">
        <v>1.760038</v>
      </c>
      <c r="H1611">
        <v>3</v>
      </c>
      <c r="I1611" t="s">
        <v>20</v>
      </c>
      <c r="J1611" t="s">
        <v>19</v>
      </c>
      <c r="K1611">
        <v>2.0035310000000002</v>
      </c>
      <c r="L1611" t="s">
        <v>19</v>
      </c>
      <c r="M1611">
        <v>1.0890610000000001</v>
      </c>
      <c r="N1611">
        <v>7.2263999999999995E-2</v>
      </c>
      <c r="O1611" t="s">
        <v>20</v>
      </c>
      <c r="P1611" t="s">
        <v>21</v>
      </c>
      <c r="Q1611" t="s">
        <v>33</v>
      </c>
    </row>
    <row r="1612" spans="1:17" x14ac:dyDescent="0.2">
      <c r="A1612" t="s">
        <v>23</v>
      </c>
      <c r="B1612">
        <v>22.889099000000002</v>
      </c>
      <c r="C1612">
        <v>1.7925329999999999</v>
      </c>
      <c r="D1612">
        <v>116.157766</v>
      </c>
      <c r="E1612" t="s">
        <v>18</v>
      </c>
      <c r="F1612" t="s">
        <v>18</v>
      </c>
      <c r="G1612">
        <v>1.9966459999999999</v>
      </c>
      <c r="H1612">
        <v>3</v>
      </c>
      <c r="I1612" t="s">
        <v>20</v>
      </c>
      <c r="J1612" t="s">
        <v>19</v>
      </c>
      <c r="K1612">
        <v>2</v>
      </c>
      <c r="L1612" t="s">
        <v>19</v>
      </c>
      <c r="M1612">
        <v>1.600536</v>
      </c>
      <c r="N1612">
        <v>0.73968400000000001</v>
      </c>
      <c r="O1612" t="s">
        <v>20</v>
      </c>
      <c r="P1612" t="s">
        <v>21</v>
      </c>
      <c r="Q1612" t="s">
        <v>33</v>
      </c>
    </row>
    <row r="1613" spans="1:17" x14ac:dyDescent="0.2">
      <c r="A1613" t="s">
        <v>23</v>
      </c>
      <c r="B1613">
        <v>24.634740000000001</v>
      </c>
      <c r="C1613">
        <v>1.8297570000000001</v>
      </c>
      <c r="D1613">
        <v>120.980508</v>
      </c>
      <c r="E1613" t="s">
        <v>18</v>
      </c>
      <c r="F1613" t="s">
        <v>18</v>
      </c>
      <c r="G1613">
        <v>2.6440939999999999</v>
      </c>
      <c r="H1613">
        <v>3</v>
      </c>
      <c r="I1613" t="s">
        <v>20</v>
      </c>
      <c r="J1613" t="s">
        <v>19</v>
      </c>
      <c r="K1613">
        <v>2.7405249999999999</v>
      </c>
      <c r="L1613" t="s">
        <v>19</v>
      </c>
      <c r="M1613">
        <v>2</v>
      </c>
      <c r="N1613">
        <v>0.50093600000000005</v>
      </c>
      <c r="O1613" t="s">
        <v>20</v>
      </c>
      <c r="P1613" t="s">
        <v>21</v>
      </c>
      <c r="Q1613" t="s">
        <v>33</v>
      </c>
    </row>
    <row r="1614" spans="1:17" x14ac:dyDescent="0.2">
      <c r="A1614" t="s">
        <v>23</v>
      </c>
      <c r="B1614">
        <v>24.920362000000001</v>
      </c>
      <c r="C1614">
        <v>1.7964150000000001</v>
      </c>
      <c r="D1614">
        <v>120.988454</v>
      </c>
      <c r="E1614" t="s">
        <v>18</v>
      </c>
      <c r="F1614" t="s">
        <v>18</v>
      </c>
      <c r="G1614">
        <v>2.475892</v>
      </c>
      <c r="H1614">
        <v>3</v>
      </c>
      <c r="I1614" t="s">
        <v>20</v>
      </c>
      <c r="J1614" t="s">
        <v>19</v>
      </c>
      <c r="K1614">
        <v>2.9493559999999999</v>
      </c>
      <c r="L1614" t="s">
        <v>19</v>
      </c>
      <c r="M1614">
        <v>1.8668389999999999</v>
      </c>
      <c r="N1614">
        <v>0.100048</v>
      </c>
      <c r="O1614" t="s">
        <v>20</v>
      </c>
      <c r="P1614" t="s">
        <v>21</v>
      </c>
      <c r="Q1614" t="s">
        <v>33</v>
      </c>
    </row>
    <row r="1615" spans="1:17" x14ac:dyDescent="0.2">
      <c r="A1615" t="s">
        <v>23</v>
      </c>
      <c r="B1615">
        <v>31.783844999999999</v>
      </c>
      <c r="C1615">
        <v>1.75</v>
      </c>
      <c r="D1615">
        <v>120</v>
      </c>
      <c r="E1615" t="s">
        <v>18</v>
      </c>
      <c r="F1615" t="s">
        <v>18</v>
      </c>
      <c r="G1615">
        <v>2.941627</v>
      </c>
      <c r="H1615">
        <v>3</v>
      </c>
      <c r="I1615" t="s">
        <v>20</v>
      </c>
      <c r="J1615" t="s">
        <v>19</v>
      </c>
      <c r="K1615">
        <v>2.3181340000000001</v>
      </c>
      <c r="L1615" t="s">
        <v>19</v>
      </c>
      <c r="M1615">
        <v>0.58268600000000004</v>
      </c>
      <c r="N1615">
        <v>1.5880460000000001</v>
      </c>
      <c r="O1615" t="s">
        <v>20</v>
      </c>
      <c r="P1615" t="s">
        <v>28</v>
      </c>
      <c r="Q1615" t="s">
        <v>33</v>
      </c>
    </row>
    <row r="1616" spans="1:17" x14ac:dyDescent="0.2">
      <c r="A1616" t="s">
        <v>23</v>
      </c>
      <c r="B1616">
        <v>31.627962</v>
      </c>
      <c r="C1616">
        <v>1.762389</v>
      </c>
      <c r="D1616">
        <v>118.548733</v>
      </c>
      <c r="E1616" t="s">
        <v>18</v>
      </c>
      <c r="F1616" t="s">
        <v>18</v>
      </c>
      <c r="G1616">
        <v>2.9984410000000001</v>
      </c>
      <c r="H1616">
        <v>3</v>
      </c>
      <c r="I1616" t="s">
        <v>20</v>
      </c>
      <c r="J1616" t="s">
        <v>19</v>
      </c>
      <c r="K1616">
        <v>2.4629159999999999</v>
      </c>
      <c r="L1616" t="s">
        <v>19</v>
      </c>
      <c r="M1616">
        <v>0.55464599999999997</v>
      </c>
      <c r="N1616">
        <v>1.9921899999999999</v>
      </c>
      <c r="O1616" t="s">
        <v>20</v>
      </c>
      <c r="P1616" t="s">
        <v>28</v>
      </c>
      <c r="Q1616" t="s">
        <v>33</v>
      </c>
    </row>
    <row r="1617" spans="1:17" x14ac:dyDescent="0.2">
      <c r="A1617" t="s">
        <v>23</v>
      </c>
      <c r="B1617">
        <v>22.976188</v>
      </c>
      <c r="C1617">
        <v>1.825718</v>
      </c>
      <c r="D1617">
        <v>121.236915</v>
      </c>
      <c r="E1617" t="s">
        <v>18</v>
      </c>
      <c r="F1617" t="s">
        <v>18</v>
      </c>
      <c r="G1617">
        <v>2.397284</v>
      </c>
      <c r="H1617">
        <v>2.8929200000000002</v>
      </c>
      <c r="I1617" t="s">
        <v>20</v>
      </c>
      <c r="J1617" t="s">
        <v>19</v>
      </c>
      <c r="K1617">
        <v>1.983973</v>
      </c>
      <c r="L1617" t="s">
        <v>19</v>
      </c>
      <c r="M1617">
        <v>1.859667</v>
      </c>
      <c r="N1617">
        <v>2.5999999999999999E-3</v>
      </c>
      <c r="O1617" t="s">
        <v>20</v>
      </c>
      <c r="P1617" t="s">
        <v>21</v>
      </c>
      <c r="Q1617" t="s">
        <v>33</v>
      </c>
    </row>
    <row r="1618" spans="1:17" x14ac:dyDescent="0.2">
      <c r="A1618" t="s">
        <v>23</v>
      </c>
      <c r="B1618">
        <v>22.977357000000001</v>
      </c>
      <c r="C1618">
        <v>1.839699</v>
      </c>
      <c r="D1618">
        <v>120.431551</v>
      </c>
      <c r="E1618" t="s">
        <v>18</v>
      </c>
      <c r="F1618" t="s">
        <v>18</v>
      </c>
      <c r="G1618">
        <v>2.3827050000000001</v>
      </c>
      <c r="H1618">
        <v>2.9389020000000001</v>
      </c>
      <c r="I1618" t="s">
        <v>20</v>
      </c>
      <c r="J1618" t="s">
        <v>19</v>
      </c>
      <c r="K1618">
        <v>1.9992780000000001</v>
      </c>
      <c r="L1618" t="s">
        <v>19</v>
      </c>
      <c r="M1618">
        <v>1.686229</v>
      </c>
      <c r="N1618">
        <v>0.63086600000000004</v>
      </c>
      <c r="O1618" t="s">
        <v>20</v>
      </c>
      <c r="P1618" t="s">
        <v>21</v>
      </c>
      <c r="Q1618" t="s">
        <v>33</v>
      </c>
    </row>
    <row r="1619" spans="1:17" x14ac:dyDescent="0.2">
      <c r="A1619" t="s">
        <v>23</v>
      </c>
      <c r="B1619">
        <v>40.973007000000003</v>
      </c>
      <c r="C1619">
        <v>1.7494050000000001</v>
      </c>
      <c r="D1619">
        <v>109.908779</v>
      </c>
      <c r="E1619" t="s">
        <v>18</v>
      </c>
      <c r="F1619" t="s">
        <v>18</v>
      </c>
      <c r="G1619">
        <v>2.1763170000000001</v>
      </c>
      <c r="H1619">
        <v>2.986637</v>
      </c>
      <c r="I1619" t="s">
        <v>20</v>
      </c>
      <c r="J1619" t="s">
        <v>19</v>
      </c>
      <c r="K1619">
        <v>1.0156719999999999</v>
      </c>
      <c r="L1619" t="s">
        <v>19</v>
      </c>
      <c r="M1619">
        <v>0.94140999999999997</v>
      </c>
      <c r="N1619">
        <v>0</v>
      </c>
      <c r="O1619" t="s">
        <v>19</v>
      </c>
      <c r="P1619" t="s">
        <v>28</v>
      </c>
      <c r="Q1619" t="s">
        <v>33</v>
      </c>
    </row>
    <row r="1620" spans="1:17" x14ac:dyDescent="0.2">
      <c r="A1620" t="s">
        <v>23</v>
      </c>
      <c r="B1620">
        <v>41</v>
      </c>
      <c r="C1620">
        <v>1.75</v>
      </c>
      <c r="D1620">
        <v>115.806977</v>
      </c>
      <c r="E1620" t="s">
        <v>18</v>
      </c>
      <c r="F1620" t="s">
        <v>18</v>
      </c>
      <c r="G1620">
        <v>2</v>
      </c>
      <c r="H1620">
        <v>2.7015210000000001</v>
      </c>
      <c r="I1620" t="s">
        <v>20</v>
      </c>
      <c r="J1620" t="s">
        <v>19</v>
      </c>
      <c r="K1620">
        <v>1.142644</v>
      </c>
      <c r="L1620" t="s">
        <v>19</v>
      </c>
      <c r="M1620">
        <v>0.51422500000000004</v>
      </c>
      <c r="N1620">
        <v>0</v>
      </c>
      <c r="O1620" t="s">
        <v>19</v>
      </c>
      <c r="P1620" t="s">
        <v>28</v>
      </c>
      <c r="Q1620" t="s">
        <v>33</v>
      </c>
    </row>
    <row r="1621" spans="1:17" x14ac:dyDescent="0.2">
      <c r="A1621" t="s">
        <v>23</v>
      </c>
      <c r="B1621">
        <v>21.721506999999999</v>
      </c>
      <c r="C1621">
        <v>1.849998</v>
      </c>
      <c r="D1621">
        <v>122.119682</v>
      </c>
      <c r="E1621" t="s">
        <v>18</v>
      </c>
      <c r="F1621" t="s">
        <v>18</v>
      </c>
      <c r="G1621">
        <v>3</v>
      </c>
      <c r="H1621">
        <v>2.0146709999999999</v>
      </c>
      <c r="I1621" t="s">
        <v>20</v>
      </c>
      <c r="J1621" t="s">
        <v>19</v>
      </c>
      <c r="K1621">
        <v>1.292786</v>
      </c>
      <c r="L1621" t="s">
        <v>19</v>
      </c>
      <c r="M1621">
        <v>0.14568700000000001</v>
      </c>
      <c r="N1621">
        <v>0</v>
      </c>
      <c r="O1621" t="s">
        <v>20</v>
      </c>
      <c r="P1621" t="s">
        <v>21</v>
      </c>
      <c r="Q1621" t="s">
        <v>33</v>
      </c>
    </row>
    <row r="1622" spans="1:17" x14ac:dyDescent="0.2">
      <c r="A1622" t="s">
        <v>23</v>
      </c>
      <c r="B1622">
        <v>21.544554000000002</v>
      </c>
      <c r="C1622">
        <v>1.84998</v>
      </c>
      <c r="D1622">
        <v>122.609911</v>
      </c>
      <c r="E1622" t="s">
        <v>18</v>
      </c>
      <c r="F1622" t="s">
        <v>18</v>
      </c>
      <c r="G1622">
        <v>3</v>
      </c>
      <c r="H1622">
        <v>1.9716590000000001</v>
      </c>
      <c r="I1622" t="s">
        <v>20</v>
      </c>
      <c r="J1622" t="s">
        <v>19</v>
      </c>
      <c r="K1622">
        <v>1.179254</v>
      </c>
      <c r="L1622" t="s">
        <v>19</v>
      </c>
      <c r="M1622">
        <v>0.17885599999999999</v>
      </c>
      <c r="N1622">
        <v>0</v>
      </c>
      <c r="O1622" t="s">
        <v>20</v>
      </c>
      <c r="P1622" t="s">
        <v>21</v>
      </c>
      <c r="Q1622" t="s">
        <v>33</v>
      </c>
    </row>
    <row r="1623" spans="1:17" x14ac:dyDescent="0.2">
      <c r="A1623" t="s">
        <v>23</v>
      </c>
      <c r="B1623">
        <v>24.000306999999999</v>
      </c>
      <c r="C1623">
        <v>1.607939</v>
      </c>
      <c r="D1623">
        <v>100.618239</v>
      </c>
      <c r="E1623" t="s">
        <v>18</v>
      </c>
      <c r="F1623" t="s">
        <v>18</v>
      </c>
      <c r="G1623">
        <v>2.8777430000000002</v>
      </c>
      <c r="H1623">
        <v>1.3117970000000001</v>
      </c>
      <c r="I1623" t="s">
        <v>20</v>
      </c>
      <c r="J1623" t="s">
        <v>19</v>
      </c>
      <c r="K1623">
        <v>1.0004630000000001</v>
      </c>
      <c r="L1623" t="s">
        <v>19</v>
      </c>
      <c r="M1623">
        <v>0.18224899999999999</v>
      </c>
      <c r="N1623">
        <v>1.4312</v>
      </c>
      <c r="O1623" t="s">
        <v>19</v>
      </c>
      <c r="P1623" t="s">
        <v>21</v>
      </c>
      <c r="Q1623" t="s">
        <v>33</v>
      </c>
    </row>
    <row r="1624" spans="1:17" x14ac:dyDescent="0.2">
      <c r="A1624" t="s">
        <v>23</v>
      </c>
      <c r="B1624">
        <v>24.040900000000001</v>
      </c>
      <c r="C1624">
        <v>1.603226</v>
      </c>
      <c r="D1624">
        <v>99.605526999999995</v>
      </c>
      <c r="E1624" t="s">
        <v>18</v>
      </c>
      <c r="F1624" t="s">
        <v>18</v>
      </c>
      <c r="G1624">
        <v>3</v>
      </c>
      <c r="H1624">
        <v>1.262831</v>
      </c>
      <c r="I1624" t="s">
        <v>20</v>
      </c>
      <c r="J1624" t="s">
        <v>19</v>
      </c>
      <c r="K1624">
        <v>1</v>
      </c>
      <c r="L1624" t="s">
        <v>19</v>
      </c>
      <c r="M1624">
        <v>0.88317100000000004</v>
      </c>
      <c r="N1624">
        <v>1.382995</v>
      </c>
      <c r="O1624" t="s">
        <v>19</v>
      </c>
      <c r="P1624" t="s">
        <v>21</v>
      </c>
      <c r="Q1624" t="s">
        <v>33</v>
      </c>
    </row>
    <row r="1625" spans="1:17" x14ac:dyDescent="0.2">
      <c r="A1625" t="s">
        <v>23</v>
      </c>
      <c r="B1625">
        <v>29.509150999999999</v>
      </c>
      <c r="C1625">
        <v>1.7706630000000001</v>
      </c>
      <c r="D1625">
        <v>112.471118</v>
      </c>
      <c r="E1625" t="s">
        <v>18</v>
      </c>
      <c r="F1625" t="s">
        <v>18</v>
      </c>
      <c r="G1625">
        <v>2.3030409999999999</v>
      </c>
      <c r="H1625">
        <v>3</v>
      </c>
      <c r="I1625" t="s">
        <v>20</v>
      </c>
      <c r="J1625" t="s">
        <v>19</v>
      </c>
      <c r="K1625">
        <v>2.065817</v>
      </c>
      <c r="L1625" t="s">
        <v>19</v>
      </c>
      <c r="M1625">
        <v>0</v>
      </c>
      <c r="N1625">
        <v>0.72522200000000003</v>
      </c>
      <c r="O1625" t="s">
        <v>20</v>
      </c>
      <c r="P1625" t="s">
        <v>28</v>
      </c>
      <c r="Q1625" t="s">
        <v>33</v>
      </c>
    </row>
    <row r="1626" spans="1:17" x14ac:dyDescent="0.2">
      <c r="A1626" t="s">
        <v>23</v>
      </c>
      <c r="B1626">
        <v>29.246269000000002</v>
      </c>
      <c r="C1626">
        <v>1.758038</v>
      </c>
      <c r="D1626">
        <v>112.395309</v>
      </c>
      <c r="E1626" t="s">
        <v>18</v>
      </c>
      <c r="F1626" t="s">
        <v>18</v>
      </c>
      <c r="G1626">
        <v>2.3230029999999999</v>
      </c>
      <c r="H1626">
        <v>3</v>
      </c>
      <c r="I1626" t="s">
        <v>20</v>
      </c>
      <c r="J1626" t="s">
        <v>19</v>
      </c>
      <c r="K1626">
        <v>2.1555580000000001</v>
      </c>
      <c r="L1626" t="s">
        <v>19</v>
      </c>
      <c r="M1626">
        <v>0</v>
      </c>
      <c r="N1626">
        <v>1.2515540000000001</v>
      </c>
      <c r="O1626" t="s">
        <v>20</v>
      </c>
      <c r="P1626" t="s">
        <v>28</v>
      </c>
      <c r="Q1626" t="s">
        <v>33</v>
      </c>
    </row>
    <row r="1627" spans="1:17" x14ac:dyDescent="0.2">
      <c r="A1627" t="s">
        <v>23</v>
      </c>
      <c r="B1627">
        <v>25.341398999999999</v>
      </c>
      <c r="C1627">
        <v>1.7869969999999999</v>
      </c>
      <c r="D1627">
        <v>115.025361</v>
      </c>
      <c r="E1627" t="s">
        <v>18</v>
      </c>
      <c r="F1627" t="s">
        <v>18</v>
      </c>
      <c r="G1627">
        <v>1.99953</v>
      </c>
      <c r="H1627">
        <v>3</v>
      </c>
      <c r="I1627" t="s">
        <v>20</v>
      </c>
      <c r="J1627" t="s">
        <v>19</v>
      </c>
      <c r="K1627">
        <v>2.1119080000000001</v>
      </c>
      <c r="L1627" t="s">
        <v>19</v>
      </c>
      <c r="M1627">
        <v>1.4530419999999999</v>
      </c>
      <c r="N1627">
        <v>0.84950300000000001</v>
      </c>
      <c r="O1627" t="s">
        <v>20</v>
      </c>
      <c r="P1627" t="s">
        <v>21</v>
      </c>
      <c r="Q1627" t="s">
        <v>33</v>
      </c>
    </row>
    <row r="1628" spans="1:17" x14ac:dyDescent="0.2">
      <c r="A1628" t="s">
        <v>23</v>
      </c>
      <c r="B1628">
        <v>25.314163000000001</v>
      </c>
      <c r="C1628">
        <v>1.7718370000000001</v>
      </c>
      <c r="D1628">
        <v>114.90609499999999</v>
      </c>
      <c r="E1628" t="s">
        <v>18</v>
      </c>
      <c r="F1628" t="s">
        <v>18</v>
      </c>
      <c r="G1628">
        <v>1.585183</v>
      </c>
      <c r="H1628">
        <v>3</v>
      </c>
      <c r="I1628" t="s">
        <v>20</v>
      </c>
      <c r="J1628" t="s">
        <v>19</v>
      </c>
      <c r="K1628">
        <v>2.1018409999999998</v>
      </c>
      <c r="L1628" t="s">
        <v>19</v>
      </c>
      <c r="M1628">
        <v>1.5439609999999999</v>
      </c>
      <c r="N1628">
        <v>7.2999999999999999E-5</v>
      </c>
      <c r="O1628" t="s">
        <v>20</v>
      </c>
      <c r="P1628" t="s">
        <v>21</v>
      </c>
      <c r="Q1628" t="s">
        <v>33</v>
      </c>
    </row>
    <row r="1629" spans="1:17" x14ac:dyDescent="0.2">
      <c r="A1629" t="s">
        <v>23</v>
      </c>
      <c r="B1629">
        <v>40.366238000000003</v>
      </c>
      <c r="C1629">
        <v>1.722396</v>
      </c>
      <c r="D1629">
        <v>109.349025</v>
      </c>
      <c r="E1629" t="s">
        <v>18</v>
      </c>
      <c r="F1629" t="s">
        <v>18</v>
      </c>
      <c r="G1629">
        <v>2.2819630000000002</v>
      </c>
      <c r="H1629">
        <v>3.7703790000000001</v>
      </c>
      <c r="I1629" t="s">
        <v>20</v>
      </c>
      <c r="J1629" t="s">
        <v>19</v>
      </c>
      <c r="K1629">
        <v>1</v>
      </c>
      <c r="L1629" t="s">
        <v>19</v>
      </c>
      <c r="M1629">
        <v>1.330519</v>
      </c>
      <c r="N1629">
        <v>0</v>
      </c>
      <c r="O1629" t="s">
        <v>19</v>
      </c>
      <c r="P1629" t="s">
        <v>28</v>
      </c>
      <c r="Q1629" t="s">
        <v>33</v>
      </c>
    </row>
    <row r="1630" spans="1:17" x14ac:dyDescent="0.2">
      <c r="A1630" t="s">
        <v>23</v>
      </c>
      <c r="B1630">
        <v>33.749594000000002</v>
      </c>
      <c r="C1630">
        <v>1.701387</v>
      </c>
      <c r="D1630">
        <v>107.025415</v>
      </c>
      <c r="E1630" t="s">
        <v>18</v>
      </c>
      <c r="F1630" t="s">
        <v>18</v>
      </c>
      <c r="G1630">
        <v>2.5616379999999999</v>
      </c>
      <c r="H1630">
        <v>2.8774700000000002</v>
      </c>
      <c r="I1630" t="s">
        <v>20</v>
      </c>
      <c r="J1630" t="s">
        <v>19</v>
      </c>
      <c r="K1630">
        <v>1</v>
      </c>
      <c r="L1630" t="s">
        <v>19</v>
      </c>
      <c r="M1630">
        <v>1.9804010000000001</v>
      </c>
      <c r="N1630">
        <v>0</v>
      </c>
      <c r="O1630" t="s">
        <v>19</v>
      </c>
      <c r="P1630" t="s">
        <v>28</v>
      </c>
      <c r="Q1630" t="s">
        <v>33</v>
      </c>
    </row>
    <row r="1631" spans="1:17" x14ac:dyDescent="0.2">
      <c r="A1631" t="s">
        <v>23</v>
      </c>
      <c r="B1631">
        <v>32.867331</v>
      </c>
      <c r="C1631">
        <v>1.6974210000000001</v>
      </c>
      <c r="D1631">
        <v>103.017623</v>
      </c>
      <c r="E1631" t="s">
        <v>18</v>
      </c>
      <c r="F1631" t="s">
        <v>18</v>
      </c>
      <c r="G1631">
        <v>2.6002169999999998</v>
      </c>
      <c r="H1631">
        <v>2.1751529999999999</v>
      </c>
      <c r="I1631" t="s">
        <v>20</v>
      </c>
      <c r="J1631" t="s">
        <v>19</v>
      </c>
      <c r="K1631">
        <v>1</v>
      </c>
      <c r="L1631" t="s">
        <v>19</v>
      </c>
      <c r="M1631">
        <v>1.985536</v>
      </c>
      <c r="N1631">
        <v>0</v>
      </c>
      <c r="O1631" t="s">
        <v>19</v>
      </c>
      <c r="P1631" t="s">
        <v>21</v>
      </c>
      <c r="Q1631" t="s">
        <v>33</v>
      </c>
    </row>
    <row r="1632" spans="1:17" x14ac:dyDescent="0.2">
      <c r="A1632" t="s">
        <v>23</v>
      </c>
      <c r="B1632">
        <v>30.403205</v>
      </c>
      <c r="C1632">
        <v>1.6963649999999999</v>
      </c>
      <c r="D1632">
        <v>102.815983</v>
      </c>
      <c r="E1632" t="s">
        <v>18</v>
      </c>
      <c r="F1632" t="s">
        <v>18</v>
      </c>
      <c r="G1632">
        <v>2.7916599999999998</v>
      </c>
      <c r="H1632">
        <v>2.1322899999999998</v>
      </c>
      <c r="I1632" t="s">
        <v>20</v>
      </c>
      <c r="J1632" t="s">
        <v>19</v>
      </c>
      <c r="K1632">
        <v>1.254589</v>
      </c>
      <c r="L1632" t="s">
        <v>19</v>
      </c>
      <c r="M1632">
        <v>0.65273599999999998</v>
      </c>
      <c r="N1632">
        <v>1.040713</v>
      </c>
      <c r="O1632" t="s">
        <v>19</v>
      </c>
      <c r="P1632" t="s">
        <v>21</v>
      </c>
      <c r="Q1632" t="s">
        <v>33</v>
      </c>
    </row>
    <row r="1633" spans="1:17" x14ac:dyDescent="0.2">
      <c r="A1633" t="s">
        <v>23</v>
      </c>
      <c r="B1633">
        <v>29.687487999999998</v>
      </c>
      <c r="C1633">
        <v>1.909198</v>
      </c>
      <c r="D1633">
        <v>129.67913100000001</v>
      </c>
      <c r="E1633" t="s">
        <v>18</v>
      </c>
      <c r="F1633" t="s">
        <v>18</v>
      </c>
      <c r="G1633">
        <v>2.0886800000000001</v>
      </c>
      <c r="H1633">
        <v>3</v>
      </c>
      <c r="I1633" t="s">
        <v>20</v>
      </c>
      <c r="J1633" t="s">
        <v>19</v>
      </c>
      <c r="K1633">
        <v>1.5202150000000001</v>
      </c>
      <c r="L1633" t="s">
        <v>19</v>
      </c>
      <c r="M1633">
        <v>1.857351</v>
      </c>
      <c r="N1633">
        <v>0</v>
      </c>
      <c r="O1633" t="s">
        <v>20</v>
      </c>
      <c r="P1633" t="s">
        <v>21</v>
      </c>
      <c r="Q1633" t="s">
        <v>33</v>
      </c>
    </row>
    <row r="1634" spans="1:17" x14ac:dyDescent="0.2">
      <c r="A1634" t="s">
        <v>23</v>
      </c>
      <c r="B1634">
        <v>28.992809000000001</v>
      </c>
      <c r="C1634">
        <v>1.9091050000000001</v>
      </c>
      <c r="D1634">
        <v>129.874864</v>
      </c>
      <c r="E1634" t="s">
        <v>18</v>
      </c>
      <c r="F1634" t="s">
        <v>18</v>
      </c>
      <c r="G1634">
        <v>2.2061190000000002</v>
      </c>
      <c r="H1634">
        <v>3</v>
      </c>
      <c r="I1634" t="s">
        <v>20</v>
      </c>
      <c r="J1634" t="s">
        <v>19</v>
      </c>
      <c r="K1634">
        <v>1.4838560000000001</v>
      </c>
      <c r="L1634" t="s">
        <v>19</v>
      </c>
      <c r="M1634">
        <v>1.1131690000000001</v>
      </c>
      <c r="N1634">
        <v>0</v>
      </c>
      <c r="O1634" t="s">
        <v>20</v>
      </c>
      <c r="P1634" t="s">
        <v>21</v>
      </c>
      <c r="Q1634" t="s">
        <v>33</v>
      </c>
    </row>
    <row r="1635" spans="1:17" x14ac:dyDescent="0.2">
      <c r="A1635" t="s">
        <v>23</v>
      </c>
      <c r="B1635">
        <v>30.475248000000001</v>
      </c>
      <c r="C1635">
        <v>1.8013680000000001</v>
      </c>
      <c r="D1635">
        <v>121.094257</v>
      </c>
      <c r="E1635" t="s">
        <v>18</v>
      </c>
      <c r="F1635" t="s">
        <v>18</v>
      </c>
      <c r="G1635">
        <v>2.3284690000000001</v>
      </c>
      <c r="H1635">
        <v>3</v>
      </c>
      <c r="I1635" t="s">
        <v>20</v>
      </c>
      <c r="J1635" t="s">
        <v>19</v>
      </c>
      <c r="K1635">
        <v>2.0012080000000001</v>
      </c>
      <c r="L1635" t="s">
        <v>19</v>
      </c>
      <c r="M1635">
        <v>0.80048699999999995</v>
      </c>
      <c r="N1635">
        <v>0.176678</v>
      </c>
      <c r="O1635" t="s">
        <v>20</v>
      </c>
      <c r="P1635" t="s">
        <v>28</v>
      </c>
      <c r="Q1635" t="s">
        <v>33</v>
      </c>
    </row>
    <row r="1636" spans="1:17" x14ac:dyDescent="0.2">
      <c r="A1636" t="s">
        <v>23</v>
      </c>
      <c r="B1636">
        <v>30.350515999999999</v>
      </c>
      <c r="C1636">
        <v>1.8602920000000001</v>
      </c>
      <c r="D1636">
        <v>123.721352</v>
      </c>
      <c r="E1636" t="s">
        <v>18</v>
      </c>
      <c r="F1636" t="s">
        <v>18</v>
      </c>
      <c r="G1636">
        <v>2.0027840000000001</v>
      </c>
      <c r="H1636">
        <v>3</v>
      </c>
      <c r="I1636" t="s">
        <v>20</v>
      </c>
      <c r="J1636" t="s">
        <v>19</v>
      </c>
      <c r="K1636">
        <v>2.2929059999999999</v>
      </c>
      <c r="L1636" t="s">
        <v>19</v>
      </c>
      <c r="M1636">
        <v>1.0340309999999999</v>
      </c>
      <c r="N1636">
        <v>0</v>
      </c>
      <c r="O1636" t="s">
        <v>20</v>
      </c>
      <c r="P1636" t="s">
        <v>28</v>
      </c>
      <c r="Q1636" t="s">
        <v>33</v>
      </c>
    </row>
    <row r="1637" spans="1:17" x14ac:dyDescent="0.2">
      <c r="A1637" t="s">
        <v>23</v>
      </c>
      <c r="B1637">
        <v>26.684353999999999</v>
      </c>
      <c r="C1637">
        <v>1.8195349999999999</v>
      </c>
      <c r="D1637">
        <v>118.332689</v>
      </c>
      <c r="E1637" t="s">
        <v>18</v>
      </c>
      <c r="F1637" t="s">
        <v>18</v>
      </c>
      <c r="G1637">
        <v>1.9756750000000001</v>
      </c>
      <c r="H1637">
        <v>3</v>
      </c>
      <c r="I1637" t="s">
        <v>20</v>
      </c>
      <c r="J1637" t="s">
        <v>19</v>
      </c>
      <c r="K1637">
        <v>2.3579690000000002</v>
      </c>
      <c r="L1637" t="s">
        <v>19</v>
      </c>
      <c r="M1637">
        <v>0.70423599999999997</v>
      </c>
      <c r="N1637">
        <v>1.0721E-2</v>
      </c>
      <c r="O1637" t="s">
        <v>20</v>
      </c>
      <c r="P1637" t="s">
        <v>21</v>
      </c>
      <c r="Q1637" t="s">
        <v>33</v>
      </c>
    </row>
    <row r="1638" spans="1:17" x14ac:dyDescent="0.2">
      <c r="A1638" t="s">
        <v>23</v>
      </c>
      <c r="B1638">
        <v>26.607478</v>
      </c>
      <c r="C1638">
        <v>1.793174</v>
      </c>
      <c r="D1638">
        <v>118.165082</v>
      </c>
      <c r="E1638" t="s">
        <v>18</v>
      </c>
      <c r="F1638" t="s">
        <v>18</v>
      </c>
      <c r="G1638">
        <v>2.0020760000000002</v>
      </c>
      <c r="H1638">
        <v>3</v>
      </c>
      <c r="I1638" t="s">
        <v>20</v>
      </c>
      <c r="J1638" t="s">
        <v>19</v>
      </c>
      <c r="K1638">
        <v>2.3383729999999998</v>
      </c>
      <c r="L1638" t="s">
        <v>19</v>
      </c>
      <c r="M1638">
        <v>0.89756199999999997</v>
      </c>
      <c r="N1638">
        <v>8.1156000000000006E-2</v>
      </c>
      <c r="O1638" t="s">
        <v>20</v>
      </c>
      <c r="P1638" t="s">
        <v>21</v>
      </c>
      <c r="Q1638" t="s">
        <v>33</v>
      </c>
    </row>
    <row r="1639" spans="1:17" x14ac:dyDescent="0.2">
      <c r="A1639" t="s">
        <v>23</v>
      </c>
      <c r="B1639">
        <v>33.174146999999998</v>
      </c>
      <c r="C1639">
        <v>1.7501500000000001</v>
      </c>
      <c r="D1639">
        <v>118.29958499999999</v>
      </c>
      <c r="E1639" t="s">
        <v>18</v>
      </c>
      <c r="F1639" t="s">
        <v>18</v>
      </c>
      <c r="G1639">
        <v>2.2185990000000002</v>
      </c>
      <c r="H1639">
        <v>3</v>
      </c>
      <c r="I1639" t="s">
        <v>20</v>
      </c>
      <c r="J1639" t="s">
        <v>19</v>
      </c>
      <c r="K1639">
        <v>2.1043370000000001</v>
      </c>
      <c r="L1639" t="s">
        <v>19</v>
      </c>
      <c r="M1639">
        <v>0.76600699999999999</v>
      </c>
      <c r="N1639">
        <v>0.26211800000000002</v>
      </c>
      <c r="O1639" t="s">
        <v>20</v>
      </c>
      <c r="P1639" t="s">
        <v>28</v>
      </c>
      <c r="Q1639" t="s">
        <v>33</v>
      </c>
    </row>
    <row r="1640" spans="1:17" x14ac:dyDescent="0.2">
      <c r="A1640" t="s">
        <v>23</v>
      </c>
      <c r="B1640">
        <v>32.29016</v>
      </c>
      <c r="C1640">
        <v>1.754956</v>
      </c>
      <c r="D1640">
        <v>120.098812</v>
      </c>
      <c r="E1640" t="s">
        <v>18</v>
      </c>
      <c r="F1640" t="s">
        <v>18</v>
      </c>
      <c r="G1640">
        <v>2.9672999999999998</v>
      </c>
      <c r="H1640">
        <v>3</v>
      </c>
      <c r="I1640" t="s">
        <v>20</v>
      </c>
      <c r="J1640" t="s">
        <v>19</v>
      </c>
      <c r="K1640">
        <v>2.5300349999999998</v>
      </c>
      <c r="L1640" t="s">
        <v>19</v>
      </c>
      <c r="M1640">
        <v>0.95531699999999997</v>
      </c>
      <c r="N1640">
        <v>1.339232</v>
      </c>
      <c r="O1640" t="s">
        <v>20</v>
      </c>
      <c r="P1640" t="s">
        <v>28</v>
      </c>
      <c r="Q1640" t="s">
        <v>33</v>
      </c>
    </row>
    <row r="1641" spans="1:17" x14ac:dyDescent="0.2">
      <c r="A1641" t="s">
        <v>23</v>
      </c>
      <c r="B1641">
        <v>26.050108999999999</v>
      </c>
      <c r="C1641">
        <v>1.773115</v>
      </c>
      <c r="D1641">
        <v>115.089316</v>
      </c>
      <c r="E1641" t="s">
        <v>18</v>
      </c>
      <c r="F1641" t="s">
        <v>18</v>
      </c>
      <c r="G1641">
        <v>2.3921790000000001</v>
      </c>
      <c r="H1641">
        <v>3</v>
      </c>
      <c r="I1641" t="s">
        <v>20</v>
      </c>
      <c r="J1641" t="s">
        <v>19</v>
      </c>
      <c r="K1641">
        <v>2.1646700000000001</v>
      </c>
      <c r="L1641" t="s">
        <v>19</v>
      </c>
      <c r="M1641">
        <v>1.0799339999999999</v>
      </c>
      <c r="N1641">
        <v>1.073026</v>
      </c>
      <c r="O1641" t="s">
        <v>20</v>
      </c>
      <c r="P1641" t="s">
        <v>21</v>
      </c>
      <c r="Q1641" t="s">
        <v>33</v>
      </c>
    </row>
    <row r="1642" spans="1:17" x14ac:dyDescent="0.2">
      <c r="A1642" t="s">
        <v>23</v>
      </c>
      <c r="B1642">
        <v>25.846278999999999</v>
      </c>
      <c r="C1642">
        <v>1.7727310000000001</v>
      </c>
      <c r="D1642">
        <v>115.82816699999999</v>
      </c>
      <c r="E1642" t="s">
        <v>18</v>
      </c>
      <c r="F1642" t="s">
        <v>18</v>
      </c>
      <c r="G1642">
        <v>2.3811640000000001</v>
      </c>
      <c r="H1642">
        <v>3</v>
      </c>
      <c r="I1642" t="s">
        <v>20</v>
      </c>
      <c r="J1642" t="s">
        <v>19</v>
      </c>
      <c r="K1642">
        <v>2.1702249999999998</v>
      </c>
      <c r="L1642" t="s">
        <v>19</v>
      </c>
      <c r="M1642">
        <v>1.2110479999999999</v>
      </c>
      <c r="N1642">
        <v>1.89933</v>
      </c>
      <c r="O1642" t="s">
        <v>20</v>
      </c>
      <c r="P1642" t="s">
        <v>21</v>
      </c>
      <c r="Q1642" t="s">
        <v>33</v>
      </c>
    </row>
    <row r="1643" spans="1:17" x14ac:dyDescent="0.2">
      <c r="A1643" t="s">
        <v>23</v>
      </c>
      <c r="B1643">
        <v>29.620094999999999</v>
      </c>
      <c r="C1643">
        <v>1.787933</v>
      </c>
      <c r="D1643">
        <v>112.536367</v>
      </c>
      <c r="E1643" t="s">
        <v>18</v>
      </c>
      <c r="F1643" t="s">
        <v>18</v>
      </c>
      <c r="G1643">
        <v>2.0082450000000001</v>
      </c>
      <c r="H1643">
        <v>3</v>
      </c>
      <c r="I1643" t="s">
        <v>20</v>
      </c>
      <c r="J1643" t="s">
        <v>19</v>
      </c>
      <c r="K1643">
        <v>2.0401370000000001</v>
      </c>
      <c r="L1643" t="s">
        <v>19</v>
      </c>
      <c r="M1643">
        <v>0</v>
      </c>
      <c r="N1643">
        <v>0.47421600000000003</v>
      </c>
      <c r="O1643" t="s">
        <v>20</v>
      </c>
      <c r="P1643" t="s">
        <v>28</v>
      </c>
      <c r="Q1643" t="s">
        <v>33</v>
      </c>
    </row>
    <row r="1644" spans="1:17" x14ac:dyDescent="0.2">
      <c r="A1644" t="s">
        <v>23</v>
      </c>
      <c r="B1644">
        <v>27.439056000000001</v>
      </c>
      <c r="C1644">
        <v>1.785277</v>
      </c>
      <c r="D1644">
        <v>112.740797</v>
      </c>
      <c r="E1644" t="s">
        <v>18</v>
      </c>
      <c r="F1644" t="s">
        <v>18</v>
      </c>
      <c r="G1644">
        <v>2.1551819999999999</v>
      </c>
      <c r="H1644">
        <v>3</v>
      </c>
      <c r="I1644" t="s">
        <v>20</v>
      </c>
      <c r="J1644" t="s">
        <v>19</v>
      </c>
      <c r="K1644">
        <v>2.0490789999999999</v>
      </c>
      <c r="L1644" t="s">
        <v>19</v>
      </c>
      <c r="M1644">
        <v>0</v>
      </c>
      <c r="N1644">
        <v>1.7499199999999999</v>
      </c>
      <c r="O1644" t="s">
        <v>20</v>
      </c>
      <c r="P1644" t="s">
        <v>28</v>
      </c>
      <c r="Q1644" t="s">
        <v>33</v>
      </c>
    </row>
    <row r="1645" spans="1:17" x14ac:dyDescent="0.2">
      <c r="A1645" t="s">
        <v>23</v>
      </c>
      <c r="B1645">
        <v>28.493397000000002</v>
      </c>
      <c r="C1645">
        <v>1.817572</v>
      </c>
      <c r="D1645">
        <v>120.8158</v>
      </c>
      <c r="E1645" t="s">
        <v>18</v>
      </c>
      <c r="F1645" t="s">
        <v>18</v>
      </c>
      <c r="G1645">
        <v>2.969233</v>
      </c>
      <c r="H1645">
        <v>3</v>
      </c>
      <c r="I1645" t="s">
        <v>20</v>
      </c>
      <c r="J1645" t="s">
        <v>19</v>
      </c>
      <c r="K1645">
        <v>2.8079839999999998</v>
      </c>
      <c r="L1645" t="s">
        <v>19</v>
      </c>
      <c r="M1645">
        <v>0.98213399999999995</v>
      </c>
      <c r="N1645">
        <v>1.1919979999999999</v>
      </c>
      <c r="O1645" t="s">
        <v>20</v>
      </c>
      <c r="P1645" t="s">
        <v>21</v>
      </c>
      <c r="Q1645" t="s">
        <v>33</v>
      </c>
    </row>
    <row r="1646" spans="1:17" x14ac:dyDescent="0.2">
      <c r="A1646" t="s">
        <v>23</v>
      </c>
      <c r="B1646">
        <v>27.474245</v>
      </c>
      <c r="C1646">
        <v>1.8434200000000001</v>
      </c>
      <c r="D1646">
        <v>120.420406</v>
      </c>
      <c r="E1646" t="s">
        <v>18</v>
      </c>
      <c r="F1646" t="s">
        <v>18</v>
      </c>
      <c r="G1646">
        <v>2.765063</v>
      </c>
      <c r="H1646">
        <v>3</v>
      </c>
      <c r="I1646" t="s">
        <v>20</v>
      </c>
      <c r="J1646" t="s">
        <v>19</v>
      </c>
      <c r="K1646">
        <v>2.8672059999999999</v>
      </c>
      <c r="L1646" t="s">
        <v>19</v>
      </c>
      <c r="M1646">
        <v>0.70677699999999999</v>
      </c>
      <c r="N1646">
        <v>0.67790899999999998</v>
      </c>
      <c r="O1646" t="s">
        <v>20</v>
      </c>
      <c r="P1646" t="s">
        <v>21</v>
      </c>
      <c r="Q1646" t="s">
        <v>33</v>
      </c>
    </row>
    <row r="1647" spans="1:17" x14ac:dyDescent="0.2">
      <c r="A1647" t="s">
        <v>23</v>
      </c>
      <c r="B1647">
        <v>25.036269000000001</v>
      </c>
      <c r="C1647">
        <v>1.874519</v>
      </c>
      <c r="D1647">
        <v>121.244969</v>
      </c>
      <c r="E1647" t="s">
        <v>18</v>
      </c>
      <c r="F1647" t="s">
        <v>18</v>
      </c>
      <c r="G1647">
        <v>2.6301369999999999</v>
      </c>
      <c r="H1647">
        <v>3</v>
      </c>
      <c r="I1647" t="s">
        <v>20</v>
      </c>
      <c r="J1647" t="s">
        <v>19</v>
      </c>
      <c r="K1647">
        <v>2.9600879999999998</v>
      </c>
      <c r="L1647" t="s">
        <v>19</v>
      </c>
      <c r="M1647">
        <v>1.356468</v>
      </c>
      <c r="N1647">
        <v>0</v>
      </c>
      <c r="O1647" t="s">
        <v>20</v>
      </c>
      <c r="P1647" t="s">
        <v>21</v>
      </c>
      <c r="Q1647" t="s">
        <v>33</v>
      </c>
    </row>
    <row r="1648" spans="1:17" x14ac:dyDescent="0.2">
      <c r="A1648" t="s">
        <v>23</v>
      </c>
      <c r="B1648">
        <v>24.825398</v>
      </c>
      <c r="C1648">
        <v>1.796332</v>
      </c>
      <c r="D1648">
        <v>120.901591</v>
      </c>
      <c r="E1648" t="s">
        <v>18</v>
      </c>
      <c r="F1648" t="s">
        <v>18</v>
      </c>
      <c r="G1648">
        <v>2.195964</v>
      </c>
      <c r="H1648">
        <v>3</v>
      </c>
      <c r="I1648" t="s">
        <v>20</v>
      </c>
      <c r="J1648" t="s">
        <v>19</v>
      </c>
      <c r="K1648">
        <v>2.514872</v>
      </c>
      <c r="L1648" t="s">
        <v>19</v>
      </c>
      <c r="M1648">
        <v>1.664722</v>
      </c>
      <c r="N1648">
        <v>0.12767300000000001</v>
      </c>
      <c r="O1648" t="s">
        <v>20</v>
      </c>
      <c r="P1648" t="s">
        <v>21</v>
      </c>
      <c r="Q1648" t="s">
        <v>33</v>
      </c>
    </row>
    <row r="1649" spans="1:17" x14ac:dyDescent="0.2">
      <c r="A1649" t="s">
        <v>23</v>
      </c>
      <c r="B1649">
        <v>30.493946000000001</v>
      </c>
      <c r="C1649">
        <v>1.756221</v>
      </c>
      <c r="D1649">
        <v>119.11712199999999</v>
      </c>
      <c r="E1649" t="s">
        <v>18</v>
      </c>
      <c r="F1649" t="s">
        <v>18</v>
      </c>
      <c r="G1649">
        <v>2.6199870000000001</v>
      </c>
      <c r="H1649">
        <v>3</v>
      </c>
      <c r="I1649" t="s">
        <v>20</v>
      </c>
      <c r="J1649" t="s">
        <v>19</v>
      </c>
      <c r="K1649">
        <v>2.1947459999999999</v>
      </c>
      <c r="L1649" t="s">
        <v>19</v>
      </c>
      <c r="M1649">
        <v>1.076926</v>
      </c>
      <c r="N1649">
        <v>1.0909949999999999</v>
      </c>
      <c r="O1649" t="s">
        <v>20</v>
      </c>
      <c r="P1649" t="s">
        <v>28</v>
      </c>
      <c r="Q1649" t="s">
        <v>33</v>
      </c>
    </row>
    <row r="1650" spans="1:17" x14ac:dyDescent="0.2">
      <c r="A1650" t="s">
        <v>23</v>
      </c>
      <c r="B1650">
        <v>30.607545999999999</v>
      </c>
      <c r="C1650">
        <v>1.7571319999999999</v>
      </c>
      <c r="D1650">
        <v>118.565568</v>
      </c>
      <c r="E1650" t="s">
        <v>18</v>
      </c>
      <c r="F1650" t="s">
        <v>18</v>
      </c>
      <c r="G1650">
        <v>2.918113</v>
      </c>
      <c r="H1650">
        <v>3</v>
      </c>
      <c r="I1650" t="s">
        <v>20</v>
      </c>
      <c r="J1650" t="s">
        <v>19</v>
      </c>
      <c r="K1650">
        <v>2.2404630000000001</v>
      </c>
      <c r="L1650" t="s">
        <v>19</v>
      </c>
      <c r="M1650">
        <v>1.0762480000000001</v>
      </c>
      <c r="N1650">
        <v>1.4808749999999999</v>
      </c>
      <c r="O1650" t="s">
        <v>20</v>
      </c>
      <c r="P1650" t="s">
        <v>28</v>
      </c>
      <c r="Q1650" t="s">
        <v>33</v>
      </c>
    </row>
    <row r="1651" spans="1:17" x14ac:dyDescent="0.2">
      <c r="A1651" t="s">
        <v>23</v>
      </c>
      <c r="B1651">
        <v>31.194323000000001</v>
      </c>
      <c r="C1651">
        <v>1.8891039999999999</v>
      </c>
      <c r="D1651">
        <v>129.15734599999999</v>
      </c>
      <c r="E1651" t="s">
        <v>18</v>
      </c>
      <c r="F1651" t="s">
        <v>18</v>
      </c>
      <c r="G1651">
        <v>2.8894850000000001</v>
      </c>
      <c r="H1651">
        <v>3</v>
      </c>
      <c r="I1651" t="s">
        <v>20</v>
      </c>
      <c r="J1651" t="s">
        <v>18</v>
      </c>
      <c r="K1651">
        <v>1.279771</v>
      </c>
      <c r="L1651" t="s">
        <v>19</v>
      </c>
      <c r="M1651">
        <v>0.94142400000000004</v>
      </c>
      <c r="N1651">
        <v>8.3429999999999997E-3</v>
      </c>
      <c r="O1651" t="s">
        <v>20</v>
      </c>
      <c r="P1651" t="s">
        <v>21</v>
      </c>
      <c r="Q1651" t="s">
        <v>33</v>
      </c>
    </row>
    <row r="1652" spans="1:17" x14ac:dyDescent="0.2">
      <c r="A1652" t="s">
        <v>23</v>
      </c>
      <c r="B1652">
        <v>31.36347</v>
      </c>
      <c r="C1652">
        <v>1.8693230000000001</v>
      </c>
      <c r="D1652">
        <v>127.507411</v>
      </c>
      <c r="E1652" t="s">
        <v>18</v>
      </c>
      <c r="F1652" t="s">
        <v>18</v>
      </c>
      <c r="G1652">
        <v>2.939727</v>
      </c>
      <c r="H1652">
        <v>3</v>
      </c>
      <c r="I1652" t="s">
        <v>20</v>
      </c>
      <c r="J1652" t="s">
        <v>18</v>
      </c>
      <c r="K1652">
        <v>1.344122</v>
      </c>
      <c r="L1652" t="s">
        <v>19</v>
      </c>
      <c r="M1652">
        <v>0.92342800000000003</v>
      </c>
      <c r="N1652">
        <v>1.4323360000000001</v>
      </c>
      <c r="O1652" t="s">
        <v>20</v>
      </c>
      <c r="P1652" t="s">
        <v>21</v>
      </c>
      <c r="Q1652" t="s">
        <v>33</v>
      </c>
    </row>
    <row r="1653" spans="1:17" x14ac:dyDescent="0.2">
      <c r="A1653" t="s">
        <v>23</v>
      </c>
      <c r="B1653">
        <v>25.027253999999999</v>
      </c>
      <c r="C1653">
        <v>1.7571540000000001</v>
      </c>
      <c r="D1653">
        <v>112.200812</v>
      </c>
      <c r="E1653" t="s">
        <v>18</v>
      </c>
      <c r="F1653" t="s">
        <v>18</v>
      </c>
      <c r="G1653">
        <v>1.2642340000000001</v>
      </c>
      <c r="H1653">
        <v>3</v>
      </c>
      <c r="I1653" t="s">
        <v>20</v>
      </c>
      <c r="J1653" t="s">
        <v>19</v>
      </c>
      <c r="K1653">
        <v>2</v>
      </c>
      <c r="L1653" t="s">
        <v>19</v>
      </c>
      <c r="M1653">
        <v>1.3334349999999999</v>
      </c>
      <c r="N1653">
        <v>2.1679999999999998E-3</v>
      </c>
      <c r="O1653" t="s">
        <v>20</v>
      </c>
      <c r="P1653" t="s">
        <v>21</v>
      </c>
      <c r="Q1653" t="s">
        <v>33</v>
      </c>
    </row>
    <row r="1654" spans="1:17" x14ac:dyDescent="0.2">
      <c r="A1654" t="s">
        <v>23</v>
      </c>
      <c r="B1654">
        <v>25.058565999999999</v>
      </c>
      <c r="C1654">
        <v>1.7644839999999999</v>
      </c>
      <c r="D1654">
        <v>113.23434899999999</v>
      </c>
      <c r="E1654" t="s">
        <v>18</v>
      </c>
      <c r="F1654" t="s">
        <v>18</v>
      </c>
      <c r="G1654">
        <v>1.5179119999999999</v>
      </c>
      <c r="H1654">
        <v>3</v>
      </c>
      <c r="I1654" t="s">
        <v>20</v>
      </c>
      <c r="J1654" t="s">
        <v>19</v>
      </c>
      <c r="K1654">
        <v>2.038958</v>
      </c>
      <c r="L1654" t="s">
        <v>19</v>
      </c>
      <c r="M1654">
        <v>1.590255</v>
      </c>
      <c r="N1654">
        <v>1.64E-3</v>
      </c>
      <c r="O1654" t="s">
        <v>20</v>
      </c>
      <c r="P1654" t="s">
        <v>21</v>
      </c>
      <c r="Q1654" t="s">
        <v>33</v>
      </c>
    </row>
    <row r="1655" spans="1:17" x14ac:dyDescent="0.2">
      <c r="A1655" t="s">
        <v>23</v>
      </c>
      <c r="B1655">
        <v>24.417552000000001</v>
      </c>
      <c r="C1655">
        <v>1.774775</v>
      </c>
      <c r="D1655">
        <v>117.398976</v>
      </c>
      <c r="E1655" t="s">
        <v>18</v>
      </c>
      <c r="F1655" t="s">
        <v>18</v>
      </c>
      <c r="G1655">
        <v>2.2337199999999999</v>
      </c>
      <c r="H1655">
        <v>2.9936340000000001</v>
      </c>
      <c r="I1655" t="s">
        <v>20</v>
      </c>
      <c r="J1655" t="s">
        <v>19</v>
      </c>
      <c r="K1655">
        <v>2.0283679999999999</v>
      </c>
      <c r="L1655" t="s">
        <v>19</v>
      </c>
      <c r="M1655">
        <v>0.86315799999999998</v>
      </c>
      <c r="N1655">
        <v>0.44988600000000001</v>
      </c>
      <c r="O1655" t="s">
        <v>20</v>
      </c>
      <c r="P1655" t="s">
        <v>21</v>
      </c>
      <c r="Q1655" t="s">
        <v>33</v>
      </c>
    </row>
    <row r="1656" spans="1:17" x14ac:dyDescent="0.2">
      <c r="A1656" t="s">
        <v>23</v>
      </c>
      <c r="B1656">
        <v>24.5822</v>
      </c>
      <c r="C1656">
        <v>1.769933</v>
      </c>
      <c r="D1656">
        <v>117.70870499999999</v>
      </c>
      <c r="E1656" t="s">
        <v>18</v>
      </c>
      <c r="F1656" t="s">
        <v>18</v>
      </c>
      <c r="G1656">
        <v>1.4759059999999999</v>
      </c>
      <c r="H1656">
        <v>2.9993460000000001</v>
      </c>
      <c r="I1656" t="s">
        <v>20</v>
      </c>
      <c r="J1656" t="s">
        <v>19</v>
      </c>
      <c r="K1656">
        <v>2.0194299999999998</v>
      </c>
      <c r="L1656" t="s">
        <v>19</v>
      </c>
      <c r="M1656">
        <v>1.046878</v>
      </c>
      <c r="N1656">
        <v>0.460866</v>
      </c>
      <c r="O1656" t="s">
        <v>20</v>
      </c>
      <c r="P1656" t="s">
        <v>21</v>
      </c>
      <c r="Q1656" t="s">
        <v>33</v>
      </c>
    </row>
    <row r="1657" spans="1:17" x14ac:dyDescent="0.2">
      <c r="A1657" t="s">
        <v>23</v>
      </c>
      <c r="B1657">
        <v>40.106144999999998</v>
      </c>
      <c r="C1657">
        <v>1.760175</v>
      </c>
      <c r="D1657">
        <v>117.65104599999999</v>
      </c>
      <c r="E1657" t="s">
        <v>18</v>
      </c>
      <c r="F1657" t="s">
        <v>18</v>
      </c>
      <c r="G1657">
        <v>2.032883</v>
      </c>
      <c r="H1657">
        <v>2.9762110000000002</v>
      </c>
      <c r="I1657" t="s">
        <v>20</v>
      </c>
      <c r="J1657" t="s">
        <v>19</v>
      </c>
      <c r="K1657">
        <v>1.7261089999999999</v>
      </c>
      <c r="L1657" t="s">
        <v>19</v>
      </c>
      <c r="M1657">
        <v>0.47785499999999997</v>
      </c>
      <c r="N1657">
        <v>0</v>
      </c>
      <c r="O1657" t="s">
        <v>20</v>
      </c>
      <c r="P1657" t="s">
        <v>28</v>
      </c>
      <c r="Q1657" t="s">
        <v>33</v>
      </c>
    </row>
    <row r="1658" spans="1:17" x14ac:dyDescent="0.2">
      <c r="A1658" t="s">
        <v>23</v>
      </c>
      <c r="B1658">
        <v>40.174191</v>
      </c>
      <c r="C1658">
        <v>1.763029</v>
      </c>
      <c r="D1658">
        <v>116.974504</v>
      </c>
      <c r="E1658" t="s">
        <v>18</v>
      </c>
      <c r="F1658" t="s">
        <v>18</v>
      </c>
      <c r="G1658">
        <v>2.0466510000000002</v>
      </c>
      <c r="H1658">
        <v>2.8420350000000001</v>
      </c>
      <c r="I1658" t="s">
        <v>20</v>
      </c>
      <c r="J1658" t="s">
        <v>19</v>
      </c>
      <c r="K1658">
        <v>1.7320720000000001</v>
      </c>
      <c r="L1658" t="s">
        <v>19</v>
      </c>
      <c r="M1658">
        <v>0.58427200000000001</v>
      </c>
      <c r="N1658">
        <v>0</v>
      </c>
      <c r="O1658" t="s">
        <v>20</v>
      </c>
      <c r="P1658" t="s">
        <v>28</v>
      </c>
      <c r="Q1658" t="s">
        <v>33</v>
      </c>
    </row>
    <row r="1659" spans="1:17" x14ac:dyDescent="0.2">
      <c r="A1659" t="s">
        <v>23</v>
      </c>
      <c r="B1659">
        <v>27.186872999999999</v>
      </c>
      <c r="C1659">
        <v>1.6795150000000001</v>
      </c>
      <c r="D1659">
        <v>102.87280199999999</v>
      </c>
      <c r="E1659" t="s">
        <v>18</v>
      </c>
      <c r="F1659" t="s">
        <v>18</v>
      </c>
      <c r="G1659">
        <v>2.6672289999999998</v>
      </c>
      <c r="H1659">
        <v>1.0974900000000001</v>
      </c>
      <c r="I1659" t="s">
        <v>20</v>
      </c>
      <c r="J1659" t="s">
        <v>19</v>
      </c>
      <c r="K1659">
        <v>1.2259580000000001</v>
      </c>
      <c r="L1659" t="s">
        <v>19</v>
      </c>
      <c r="M1659">
        <v>0.206954</v>
      </c>
      <c r="N1659">
        <v>1.0030110000000001</v>
      </c>
      <c r="O1659" t="s">
        <v>19</v>
      </c>
      <c r="P1659" t="s">
        <v>21</v>
      </c>
      <c r="Q1659" t="s">
        <v>33</v>
      </c>
    </row>
    <row r="1660" spans="1:17" x14ac:dyDescent="0.2">
      <c r="A1660" t="s">
        <v>23</v>
      </c>
      <c r="B1660">
        <v>30.424368999999999</v>
      </c>
      <c r="C1660">
        <v>1.699354</v>
      </c>
      <c r="D1660">
        <v>100.176866</v>
      </c>
      <c r="E1660" t="s">
        <v>18</v>
      </c>
      <c r="F1660" t="s">
        <v>18</v>
      </c>
      <c r="G1660">
        <v>2.8199339999999999</v>
      </c>
      <c r="H1660">
        <v>1.9186300000000001</v>
      </c>
      <c r="I1660" t="s">
        <v>20</v>
      </c>
      <c r="J1660" t="s">
        <v>19</v>
      </c>
      <c r="K1660">
        <v>1</v>
      </c>
      <c r="L1660" t="s">
        <v>19</v>
      </c>
      <c r="M1660">
        <v>1.3930199999999999</v>
      </c>
      <c r="N1660">
        <v>0.553311</v>
      </c>
      <c r="O1660" t="s">
        <v>19</v>
      </c>
      <c r="P1660" t="s">
        <v>21</v>
      </c>
      <c r="Q1660" t="s">
        <v>33</v>
      </c>
    </row>
    <row r="1661" spans="1:17" x14ac:dyDescent="0.2">
      <c r="A1661" t="s">
        <v>23</v>
      </c>
      <c r="B1661">
        <v>23.141401999999999</v>
      </c>
      <c r="C1661">
        <v>1.849307</v>
      </c>
      <c r="D1661">
        <v>121.65872899999999</v>
      </c>
      <c r="E1661" t="s">
        <v>18</v>
      </c>
      <c r="F1661" t="s">
        <v>18</v>
      </c>
      <c r="G1661">
        <v>3</v>
      </c>
      <c r="H1661">
        <v>2.510135</v>
      </c>
      <c r="I1661" t="s">
        <v>20</v>
      </c>
      <c r="J1661" t="s">
        <v>19</v>
      </c>
      <c r="K1661">
        <v>1.693362</v>
      </c>
      <c r="L1661" t="s">
        <v>19</v>
      </c>
      <c r="M1661">
        <v>0.76970899999999998</v>
      </c>
      <c r="N1661">
        <v>0</v>
      </c>
      <c r="O1661" t="s">
        <v>20</v>
      </c>
      <c r="P1661" t="s">
        <v>21</v>
      </c>
      <c r="Q1661" t="s">
        <v>33</v>
      </c>
    </row>
    <row r="1662" spans="1:17" x14ac:dyDescent="0.2">
      <c r="A1662" t="s">
        <v>23</v>
      </c>
      <c r="B1662">
        <v>24.178637999999999</v>
      </c>
      <c r="C1662">
        <v>1.86741</v>
      </c>
      <c r="D1662">
        <v>121.68431099999999</v>
      </c>
      <c r="E1662" t="s">
        <v>18</v>
      </c>
      <c r="F1662" t="s">
        <v>18</v>
      </c>
      <c r="G1662">
        <v>2.9544169999999998</v>
      </c>
      <c r="H1662">
        <v>2.6577199999999999</v>
      </c>
      <c r="I1662" t="s">
        <v>20</v>
      </c>
      <c r="J1662" t="s">
        <v>19</v>
      </c>
      <c r="K1662">
        <v>2.1046960000000001</v>
      </c>
      <c r="L1662" t="s">
        <v>19</v>
      </c>
      <c r="M1662">
        <v>0.87005600000000005</v>
      </c>
      <c r="N1662">
        <v>0</v>
      </c>
      <c r="O1662" t="s">
        <v>20</v>
      </c>
      <c r="P1662" t="s">
        <v>21</v>
      </c>
      <c r="Q1662" t="s">
        <v>33</v>
      </c>
    </row>
    <row r="1663" spans="1:17" x14ac:dyDescent="0.2">
      <c r="A1663" t="s">
        <v>23</v>
      </c>
      <c r="B1663">
        <v>22.832104999999999</v>
      </c>
      <c r="C1663">
        <v>1.86714</v>
      </c>
      <c r="D1663">
        <v>121.835883</v>
      </c>
      <c r="E1663" t="s">
        <v>18</v>
      </c>
      <c r="F1663" t="s">
        <v>18</v>
      </c>
      <c r="G1663">
        <v>2.8262510000000001</v>
      </c>
      <c r="H1663">
        <v>2.6049980000000001</v>
      </c>
      <c r="I1663" t="s">
        <v>20</v>
      </c>
      <c r="J1663" t="s">
        <v>19</v>
      </c>
      <c r="K1663">
        <v>1.8421730000000001</v>
      </c>
      <c r="L1663" t="s">
        <v>19</v>
      </c>
      <c r="M1663">
        <v>1.2847980000000001</v>
      </c>
      <c r="N1663">
        <v>0</v>
      </c>
      <c r="O1663" t="s">
        <v>20</v>
      </c>
      <c r="P1663" t="s">
        <v>21</v>
      </c>
      <c r="Q1663" t="s">
        <v>33</v>
      </c>
    </row>
    <row r="1664" spans="1:17" x14ac:dyDescent="0.2">
      <c r="A1664" t="s">
        <v>23</v>
      </c>
      <c r="B1664">
        <v>23.083621000000001</v>
      </c>
      <c r="C1664">
        <v>1.8485529999999999</v>
      </c>
      <c r="D1664">
        <v>121.421121</v>
      </c>
      <c r="E1664" t="s">
        <v>18</v>
      </c>
      <c r="F1664" t="s">
        <v>18</v>
      </c>
      <c r="G1664">
        <v>3</v>
      </c>
      <c r="H1664">
        <v>2.5675669999999999</v>
      </c>
      <c r="I1664" t="s">
        <v>20</v>
      </c>
      <c r="J1664" t="s">
        <v>19</v>
      </c>
      <c r="K1664">
        <v>2.0110229999999998</v>
      </c>
      <c r="L1664" t="s">
        <v>19</v>
      </c>
      <c r="M1664">
        <v>0.91647800000000001</v>
      </c>
      <c r="N1664">
        <v>0</v>
      </c>
      <c r="O1664" t="s">
        <v>20</v>
      </c>
      <c r="P1664" t="s">
        <v>21</v>
      </c>
      <c r="Q1664" t="s">
        <v>33</v>
      </c>
    </row>
    <row r="1665" spans="1:17" x14ac:dyDescent="0.2">
      <c r="A1665" t="s">
        <v>23</v>
      </c>
      <c r="B1665">
        <v>24.079971</v>
      </c>
      <c r="C1665">
        <v>1.61981</v>
      </c>
      <c r="D1665">
        <v>98.543019999999999</v>
      </c>
      <c r="E1665" t="s">
        <v>18</v>
      </c>
      <c r="F1665" t="s">
        <v>18</v>
      </c>
      <c r="G1665">
        <v>2.9584100000000002</v>
      </c>
      <c r="H1665">
        <v>2.4343469999999998</v>
      </c>
      <c r="I1665" t="s">
        <v>20</v>
      </c>
      <c r="J1665" t="s">
        <v>19</v>
      </c>
      <c r="K1665">
        <v>1</v>
      </c>
      <c r="L1665" t="s">
        <v>19</v>
      </c>
      <c r="M1665">
        <v>1.9300330000000001</v>
      </c>
      <c r="N1665">
        <v>0.754023</v>
      </c>
      <c r="O1665" t="s">
        <v>19</v>
      </c>
      <c r="P1665" t="s">
        <v>21</v>
      </c>
      <c r="Q1665" t="s">
        <v>33</v>
      </c>
    </row>
    <row r="1666" spans="1:17" x14ac:dyDescent="0.2">
      <c r="A1666" t="s">
        <v>23</v>
      </c>
      <c r="B1666">
        <v>26.947786000000001</v>
      </c>
      <c r="C1666">
        <v>1.647807</v>
      </c>
      <c r="D1666">
        <v>99.592224999999999</v>
      </c>
      <c r="E1666" t="s">
        <v>18</v>
      </c>
      <c r="F1666" t="s">
        <v>18</v>
      </c>
      <c r="G1666">
        <v>2.9351569999999998</v>
      </c>
      <c r="H1666">
        <v>1.845858</v>
      </c>
      <c r="I1666" t="s">
        <v>20</v>
      </c>
      <c r="J1666" t="s">
        <v>19</v>
      </c>
      <c r="K1666">
        <v>1</v>
      </c>
      <c r="L1666" t="s">
        <v>19</v>
      </c>
      <c r="M1666">
        <v>1.0898909999999999</v>
      </c>
      <c r="N1666">
        <v>0.71599299999999999</v>
      </c>
      <c r="O1666" t="s">
        <v>19</v>
      </c>
      <c r="P1666" t="s">
        <v>21</v>
      </c>
      <c r="Q1666" t="s">
        <v>33</v>
      </c>
    </row>
    <row r="1667" spans="1:17" x14ac:dyDescent="0.2">
      <c r="A1667" t="s">
        <v>23</v>
      </c>
      <c r="B1667">
        <v>20.101026000000001</v>
      </c>
      <c r="C1667">
        <v>1.6191279999999999</v>
      </c>
      <c r="D1667">
        <v>104.30371100000001</v>
      </c>
      <c r="E1667" t="s">
        <v>18</v>
      </c>
      <c r="F1667" t="s">
        <v>18</v>
      </c>
      <c r="G1667">
        <v>2.870895</v>
      </c>
      <c r="H1667">
        <v>1.6275550000000001</v>
      </c>
      <c r="I1667" t="s">
        <v>20</v>
      </c>
      <c r="J1667" t="s">
        <v>19</v>
      </c>
      <c r="K1667">
        <v>1.3757280000000001</v>
      </c>
      <c r="L1667" t="s">
        <v>19</v>
      </c>
      <c r="M1667">
        <v>0.21018100000000001</v>
      </c>
      <c r="N1667">
        <v>1.163117</v>
      </c>
      <c r="O1667" t="s">
        <v>19</v>
      </c>
      <c r="P1667" t="s">
        <v>21</v>
      </c>
      <c r="Q1667" t="s">
        <v>33</v>
      </c>
    </row>
    <row r="1668" spans="1:17" x14ac:dyDescent="0.2">
      <c r="A1668" t="s">
        <v>23</v>
      </c>
      <c r="B1668">
        <v>22.789401999999999</v>
      </c>
      <c r="C1668">
        <v>1.6418699999999999</v>
      </c>
      <c r="D1668">
        <v>104.270062</v>
      </c>
      <c r="E1668" t="s">
        <v>18</v>
      </c>
      <c r="F1668" t="s">
        <v>18</v>
      </c>
      <c r="G1668">
        <v>2.8698329999999999</v>
      </c>
      <c r="H1668">
        <v>1.5691759999999999</v>
      </c>
      <c r="I1668" t="s">
        <v>20</v>
      </c>
      <c r="J1668" t="s">
        <v>19</v>
      </c>
      <c r="K1668">
        <v>1.533682</v>
      </c>
      <c r="L1668" t="s">
        <v>19</v>
      </c>
      <c r="M1668">
        <v>0.16794300000000001</v>
      </c>
      <c r="N1668">
        <v>1.3682620000000001</v>
      </c>
      <c r="O1668" t="s">
        <v>19</v>
      </c>
      <c r="P1668" t="s">
        <v>21</v>
      </c>
      <c r="Q1668" t="s">
        <v>33</v>
      </c>
    </row>
    <row r="1669" spans="1:17" x14ac:dyDescent="0.2">
      <c r="A1669" t="s">
        <v>23</v>
      </c>
      <c r="B1669">
        <v>28.404332</v>
      </c>
      <c r="C1669">
        <v>1.7873790000000001</v>
      </c>
      <c r="D1669">
        <v>112.173731</v>
      </c>
      <c r="E1669" t="s">
        <v>18</v>
      </c>
      <c r="F1669" t="s">
        <v>18</v>
      </c>
      <c r="G1669">
        <v>1.8782509999999999</v>
      </c>
      <c r="H1669">
        <v>3</v>
      </c>
      <c r="I1669" t="s">
        <v>20</v>
      </c>
      <c r="J1669" t="s">
        <v>19</v>
      </c>
      <c r="K1669">
        <v>2.0229330000000001</v>
      </c>
      <c r="L1669" t="s">
        <v>19</v>
      </c>
      <c r="M1669">
        <v>0</v>
      </c>
      <c r="N1669">
        <v>0.32544499999999998</v>
      </c>
      <c r="O1669" t="s">
        <v>20</v>
      </c>
      <c r="P1669" t="s">
        <v>28</v>
      </c>
      <c r="Q1669" t="s">
        <v>33</v>
      </c>
    </row>
    <row r="1670" spans="1:17" x14ac:dyDescent="0.2">
      <c r="A1670" t="s">
        <v>23</v>
      </c>
      <c r="B1670">
        <v>30.003357999999999</v>
      </c>
      <c r="C1670">
        <v>1.7583549999999999</v>
      </c>
      <c r="D1670">
        <v>112.00710100000001</v>
      </c>
      <c r="E1670" t="s">
        <v>18</v>
      </c>
      <c r="F1670" t="s">
        <v>18</v>
      </c>
      <c r="G1670">
        <v>1.7508090000000001</v>
      </c>
      <c r="H1670">
        <v>3</v>
      </c>
      <c r="I1670" t="s">
        <v>20</v>
      </c>
      <c r="J1670" t="s">
        <v>19</v>
      </c>
      <c r="K1670">
        <v>2.0028709999999998</v>
      </c>
      <c r="L1670" t="s">
        <v>19</v>
      </c>
      <c r="M1670">
        <v>0</v>
      </c>
      <c r="N1670">
        <v>0.114457</v>
      </c>
      <c r="O1670" t="s">
        <v>20</v>
      </c>
      <c r="P1670" t="s">
        <v>28</v>
      </c>
      <c r="Q1670" t="s">
        <v>33</v>
      </c>
    </row>
    <row r="1671" spans="1:17" x14ac:dyDescent="0.2">
      <c r="A1671" t="s">
        <v>23</v>
      </c>
      <c r="B1671">
        <v>25.136116000000001</v>
      </c>
      <c r="C1671">
        <v>1.76414</v>
      </c>
      <c r="D1671">
        <v>113.089716</v>
      </c>
      <c r="E1671" t="s">
        <v>18</v>
      </c>
      <c r="F1671" t="s">
        <v>18</v>
      </c>
      <c r="G1671">
        <v>1.1688559999999999</v>
      </c>
      <c r="H1671">
        <v>3</v>
      </c>
      <c r="I1671" t="s">
        <v>20</v>
      </c>
      <c r="J1671" t="s">
        <v>19</v>
      </c>
      <c r="K1671">
        <v>2.0132050000000001</v>
      </c>
      <c r="L1671" t="s">
        <v>19</v>
      </c>
      <c r="M1671">
        <v>1.2462230000000001</v>
      </c>
      <c r="N1671">
        <v>1.5900000000000001E-3</v>
      </c>
      <c r="O1671" t="s">
        <v>20</v>
      </c>
      <c r="P1671" t="s">
        <v>21</v>
      </c>
      <c r="Q1671" t="s">
        <v>33</v>
      </c>
    </row>
    <row r="1672" spans="1:17" x14ac:dyDescent="0.2">
      <c r="A1672" t="s">
        <v>23</v>
      </c>
      <c r="B1672">
        <v>25.139465999999999</v>
      </c>
      <c r="C1672">
        <v>1.7671859999999999</v>
      </c>
      <c r="D1672">
        <v>112.226032</v>
      </c>
      <c r="E1672" t="s">
        <v>18</v>
      </c>
      <c r="F1672" t="s">
        <v>18</v>
      </c>
      <c r="G1672">
        <v>1.4436739999999999</v>
      </c>
      <c r="H1672">
        <v>3</v>
      </c>
      <c r="I1672" t="s">
        <v>20</v>
      </c>
      <c r="J1672" t="s">
        <v>19</v>
      </c>
      <c r="K1672">
        <v>2.0021939999999998</v>
      </c>
      <c r="L1672" t="s">
        <v>19</v>
      </c>
      <c r="M1672">
        <v>1.3861509999999999</v>
      </c>
      <c r="N1672">
        <v>1.3370000000000001E-3</v>
      </c>
      <c r="O1672" t="s">
        <v>20</v>
      </c>
      <c r="P1672" t="s">
        <v>21</v>
      </c>
      <c r="Q1672" t="s">
        <v>33</v>
      </c>
    </row>
    <row r="1673" spans="1:17" x14ac:dyDescent="0.2">
      <c r="A1673" t="s">
        <v>23</v>
      </c>
      <c r="B1673">
        <v>31.743821000000001</v>
      </c>
      <c r="C1673">
        <v>1.6778200000000001</v>
      </c>
      <c r="D1673">
        <v>102.022057</v>
      </c>
      <c r="E1673" t="s">
        <v>18</v>
      </c>
      <c r="F1673" t="s">
        <v>18</v>
      </c>
      <c r="G1673">
        <v>2.8260360000000002</v>
      </c>
      <c r="H1673">
        <v>2.371658</v>
      </c>
      <c r="I1673" t="s">
        <v>20</v>
      </c>
      <c r="J1673" t="s">
        <v>19</v>
      </c>
      <c r="K1673">
        <v>1</v>
      </c>
      <c r="L1673" t="s">
        <v>19</v>
      </c>
      <c r="M1673">
        <v>1.9964869999999999</v>
      </c>
      <c r="N1673">
        <v>0</v>
      </c>
      <c r="O1673" t="s">
        <v>19</v>
      </c>
      <c r="P1673" t="s">
        <v>21</v>
      </c>
      <c r="Q1673" t="s">
        <v>33</v>
      </c>
    </row>
    <row r="1674" spans="1:17" x14ac:dyDescent="0.2">
      <c r="A1674" t="s">
        <v>23</v>
      </c>
      <c r="B1674">
        <v>30.796261999999999</v>
      </c>
      <c r="C1674">
        <v>1.6684779999999999</v>
      </c>
      <c r="D1674">
        <v>100.543983</v>
      </c>
      <c r="E1674" t="s">
        <v>18</v>
      </c>
      <c r="F1674" t="s">
        <v>18</v>
      </c>
      <c r="G1674">
        <v>2.9552999999999998</v>
      </c>
      <c r="H1674">
        <v>2.3782109999999999</v>
      </c>
      <c r="I1674" t="s">
        <v>20</v>
      </c>
      <c r="J1674" t="s">
        <v>19</v>
      </c>
      <c r="K1674">
        <v>1</v>
      </c>
      <c r="L1674" t="s">
        <v>19</v>
      </c>
      <c r="M1674">
        <v>1.738267</v>
      </c>
      <c r="N1674">
        <v>0.39453300000000002</v>
      </c>
      <c r="O1674" t="s">
        <v>19</v>
      </c>
      <c r="P1674" t="s">
        <v>21</v>
      </c>
      <c r="Q1674" t="s">
        <v>33</v>
      </c>
    </row>
    <row r="1675" spans="1:17" x14ac:dyDescent="0.2">
      <c r="A1675" t="s">
        <v>23</v>
      </c>
      <c r="B1675">
        <v>28.393111000000001</v>
      </c>
      <c r="C1675">
        <v>1.685462</v>
      </c>
      <c r="D1675">
        <v>99.540121999999997</v>
      </c>
      <c r="E1675" t="s">
        <v>18</v>
      </c>
      <c r="F1675" t="s">
        <v>18</v>
      </c>
      <c r="G1675">
        <v>2.774562</v>
      </c>
      <c r="H1675">
        <v>2.301129</v>
      </c>
      <c r="I1675" t="s">
        <v>20</v>
      </c>
      <c r="J1675" t="s">
        <v>19</v>
      </c>
      <c r="K1675">
        <v>1</v>
      </c>
      <c r="L1675" t="s">
        <v>19</v>
      </c>
      <c r="M1675">
        <v>1.6217330000000001</v>
      </c>
      <c r="N1675">
        <v>0.13831399999999999</v>
      </c>
      <c r="O1675" t="s">
        <v>19</v>
      </c>
      <c r="P1675" t="s">
        <v>21</v>
      </c>
      <c r="Q1675" t="s">
        <v>33</v>
      </c>
    </row>
    <row r="1676" spans="1:17" x14ac:dyDescent="0.2">
      <c r="A1676" t="s">
        <v>23</v>
      </c>
      <c r="B1676">
        <v>27.939820000000001</v>
      </c>
      <c r="C1676">
        <v>1.694642</v>
      </c>
      <c r="D1676">
        <v>99.709328999999997</v>
      </c>
      <c r="E1676" t="s">
        <v>18</v>
      </c>
      <c r="F1676" t="s">
        <v>18</v>
      </c>
      <c r="G1676">
        <v>2.772027</v>
      </c>
      <c r="H1676">
        <v>2.4544320000000002</v>
      </c>
      <c r="I1676" t="s">
        <v>20</v>
      </c>
      <c r="J1676" t="s">
        <v>19</v>
      </c>
      <c r="K1676">
        <v>1</v>
      </c>
      <c r="L1676" t="s">
        <v>19</v>
      </c>
      <c r="M1676">
        <v>0.85855400000000004</v>
      </c>
      <c r="N1676">
        <v>5.1268000000000001E-2</v>
      </c>
      <c r="O1676" t="s">
        <v>19</v>
      </c>
      <c r="P1676" t="s">
        <v>21</v>
      </c>
      <c r="Q1676" t="s">
        <v>33</v>
      </c>
    </row>
    <row r="1677" spans="1:17" x14ac:dyDescent="0.2">
      <c r="A1677" t="s">
        <v>23</v>
      </c>
      <c r="B1677">
        <v>31.034092000000001</v>
      </c>
      <c r="C1677">
        <v>1.886109</v>
      </c>
      <c r="D1677">
        <v>129.34947099999999</v>
      </c>
      <c r="E1677" t="s">
        <v>18</v>
      </c>
      <c r="F1677" t="s">
        <v>18</v>
      </c>
      <c r="G1677">
        <v>2.4996260000000001</v>
      </c>
      <c r="H1677">
        <v>3</v>
      </c>
      <c r="I1677" t="s">
        <v>20</v>
      </c>
      <c r="J1677" t="s">
        <v>18</v>
      </c>
      <c r="K1677">
        <v>1.1253379999999999</v>
      </c>
      <c r="L1677" t="s">
        <v>19</v>
      </c>
      <c r="M1677">
        <v>0.94521999999999995</v>
      </c>
      <c r="N1677">
        <v>1.022505</v>
      </c>
      <c r="O1677" t="s">
        <v>20</v>
      </c>
      <c r="P1677" t="s">
        <v>21</v>
      </c>
      <c r="Q1677" t="s">
        <v>33</v>
      </c>
    </row>
    <row r="1678" spans="1:17" x14ac:dyDescent="0.2">
      <c r="A1678" t="s">
        <v>23</v>
      </c>
      <c r="B1678">
        <v>30.684346999999999</v>
      </c>
      <c r="C1678">
        <v>1.915</v>
      </c>
      <c r="D1678">
        <v>129.96642800000001</v>
      </c>
      <c r="E1678" t="s">
        <v>18</v>
      </c>
      <c r="F1678" t="s">
        <v>18</v>
      </c>
      <c r="G1678">
        <v>2.108638</v>
      </c>
      <c r="H1678">
        <v>3</v>
      </c>
      <c r="I1678" t="s">
        <v>20</v>
      </c>
      <c r="J1678" t="s">
        <v>18</v>
      </c>
      <c r="K1678">
        <v>1.0148759999999999</v>
      </c>
      <c r="L1678" t="s">
        <v>19</v>
      </c>
      <c r="M1678">
        <v>0.98752099999999998</v>
      </c>
      <c r="N1678">
        <v>4.7473000000000001E-2</v>
      </c>
      <c r="O1678" t="s">
        <v>20</v>
      </c>
      <c r="P1678" t="s">
        <v>21</v>
      </c>
      <c r="Q1678" t="s">
        <v>33</v>
      </c>
    </row>
    <row r="1679" spans="1:17" x14ac:dyDescent="0.2">
      <c r="A1679" t="s">
        <v>23</v>
      </c>
      <c r="B1679">
        <v>30.108215999999999</v>
      </c>
      <c r="C1679">
        <v>1.8419080000000001</v>
      </c>
      <c r="D1679">
        <v>124.070717</v>
      </c>
      <c r="E1679" t="s">
        <v>18</v>
      </c>
      <c r="F1679" t="s">
        <v>18</v>
      </c>
      <c r="G1679">
        <v>2.4675479999999999</v>
      </c>
      <c r="H1679">
        <v>3</v>
      </c>
      <c r="I1679" t="s">
        <v>20</v>
      </c>
      <c r="J1679" t="s">
        <v>19</v>
      </c>
      <c r="K1679">
        <v>2.6602899999999998</v>
      </c>
      <c r="L1679" t="s">
        <v>19</v>
      </c>
      <c r="M1679">
        <v>0.99442200000000003</v>
      </c>
      <c r="N1679">
        <v>0.310394</v>
      </c>
      <c r="O1679" t="s">
        <v>20</v>
      </c>
      <c r="P1679" t="s">
        <v>21</v>
      </c>
      <c r="Q1679" t="s">
        <v>33</v>
      </c>
    </row>
    <row r="1680" spans="1:17" x14ac:dyDescent="0.2">
      <c r="A1680" t="s">
        <v>23</v>
      </c>
      <c r="B1680">
        <v>31.347497000000001</v>
      </c>
      <c r="C1680">
        <v>1.8681270000000001</v>
      </c>
      <c r="D1680">
        <v>123.172214</v>
      </c>
      <c r="E1680" t="s">
        <v>18</v>
      </c>
      <c r="F1680" t="s">
        <v>18</v>
      </c>
      <c r="G1680">
        <v>2.5859420000000002</v>
      </c>
      <c r="H1680">
        <v>3</v>
      </c>
      <c r="I1680" t="s">
        <v>20</v>
      </c>
      <c r="J1680" t="s">
        <v>19</v>
      </c>
      <c r="K1680">
        <v>2.3025060000000002</v>
      </c>
      <c r="L1680" t="s">
        <v>19</v>
      </c>
      <c r="M1680">
        <v>0.59786300000000003</v>
      </c>
      <c r="N1680">
        <v>0.111925</v>
      </c>
      <c r="O1680" t="s">
        <v>20</v>
      </c>
      <c r="P1680" t="s">
        <v>21</v>
      </c>
      <c r="Q1680" t="s">
        <v>33</v>
      </c>
    </row>
    <row r="1681" spans="1:17" x14ac:dyDescent="0.2">
      <c r="A1681" t="s">
        <v>23</v>
      </c>
      <c r="B1681">
        <v>31.761799</v>
      </c>
      <c r="C1681">
        <v>1.7516879999999999</v>
      </c>
      <c r="D1681">
        <v>119.205308</v>
      </c>
      <c r="E1681" t="s">
        <v>18</v>
      </c>
      <c r="F1681" t="s">
        <v>18</v>
      </c>
      <c r="G1681">
        <v>2.14961</v>
      </c>
      <c r="H1681">
        <v>3</v>
      </c>
      <c r="I1681" t="s">
        <v>20</v>
      </c>
      <c r="J1681" t="s">
        <v>19</v>
      </c>
      <c r="K1681">
        <v>2.1338759999999999</v>
      </c>
      <c r="L1681" t="s">
        <v>19</v>
      </c>
      <c r="M1681">
        <v>0.39345200000000002</v>
      </c>
      <c r="N1681">
        <v>0.345887</v>
      </c>
      <c r="O1681" t="s">
        <v>20</v>
      </c>
      <c r="P1681" t="s">
        <v>28</v>
      </c>
      <c r="Q1681" t="s">
        <v>33</v>
      </c>
    </row>
    <row r="1682" spans="1:17" x14ac:dyDescent="0.2">
      <c r="A1682" t="s">
        <v>23</v>
      </c>
      <c r="B1682">
        <v>30.976932000000001</v>
      </c>
      <c r="C1682">
        <v>1.755333</v>
      </c>
      <c r="D1682">
        <v>118.237782</v>
      </c>
      <c r="E1682" t="s">
        <v>18</v>
      </c>
      <c r="F1682" t="s">
        <v>18</v>
      </c>
      <c r="G1682">
        <v>2.9386160000000001</v>
      </c>
      <c r="H1682">
        <v>3</v>
      </c>
      <c r="I1682" t="s">
        <v>20</v>
      </c>
      <c r="J1682" t="s">
        <v>19</v>
      </c>
      <c r="K1682">
        <v>2.0603899999999999</v>
      </c>
      <c r="L1682" t="s">
        <v>19</v>
      </c>
      <c r="M1682">
        <v>0.371508</v>
      </c>
      <c r="N1682">
        <v>1.3335589999999999</v>
      </c>
      <c r="O1682" t="s">
        <v>20</v>
      </c>
      <c r="P1682" t="s">
        <v>28</v>
      </c>
      <c r="Q1682" t="s">
        <v>33</v>
      </c>
    </row>
    <row r="1683" spans="1:17" x14ac:dyDescent="0.2">
      <c r="A1683" t="s">
        <v>23</v>
      </c>
      <c r="B1683">
        <v>37.588628</v>
      </c>
      <c r="C1683">
        <v>1.7542169999999999</v>
      </c>
      <c r="D1683">
        <v>117.8972</v>
      </c>
      <c r="E1683" t="s">
        <v>18</v>
      </c>
      <c r="F1683" t="s">
        <v>18</v>
      </c>
      <c r="G1683">
        <v>2.5351539999999999</v>
      </c>
      <c r="H1683">
        <v>2.915921</v>
      </c>
      <c r="I1683" t="s">
        <v>20</v>
      </c>
      <c r="J1683" t="s">
        <v>19</v>
      </c>
      <c r="K1683">
        <v>1.8924000000000001</v>
      </c>
      <c r="L1683" t="s">
        <v>19</v>
      </c>
      <c r="M1683">
        <v>0.69373200000000002</v>
      </c>
      <c r="N1683">
        <v>6.7409999999999998E-2</v>
      </c>
      <c r="O1683" t="s">
        <v>20</v>
      </c>
      <c r="P1683" t="s">
        <v>28</v>
      </c>
      <c r="Q1683" t="s">
        <v>33</v>
      </c>
    </row>
    <row r="1684" spans="1:17" x14ac:dyDescent="0.2">
      <c r="A1684" t="s">
        <v>23</v>
      </c>
      <c r="B1684">
        <v>37.997911999999999</v>
      </c>
      <c r="C1684">
        <v>1.76071</v>
      </c>
      <c r="D1684">
        <v>118.66833200000001</v>
      </c>
      <c r="E1684" t="s">
        <v>18</v>
      </c>
      <c r="F1684" t="s">
        <v>18</v>
      </c>
      <c r="G1684">
        <v>2.6112220000000002</v>
      </c>
      <c r="H1684">
        <v>2.992083</v>
      </c>
      <c r="I1684" t="s">
        <v>20</v>
      </c>
      <c r="J1684" t="s">
        <v>19</v>
      </c>
      <c r="K1684">
        <v>1.796376</v>
      </c>
      <c r="L1684" t="s">
        <v>19</v>
      </c>
      <c r="M1684">
        <v>0.64195400000000002</v>
      </c>
      <c r="N1684">
        <v>0.20280999999999999</v>
      </c>
      <c r="O1684" t="s">
        <v>20</v>
      </c>
      <c r="P1684" t="s">
        <v>28</v>
      </c>
      <c r="Q1684" t="s">
        <v>33</v>
      </c>
    </row>
    <row r="1685" spans="1:17" x14ac:dyDescent="0.2">
      <c r="A1685" t="s">
        <v>23</v>
      </c>
      <c r="B1685">
        <v>21.654800000000002</v>
      </c>
      <c r="C1685">
        <v>1.755938</v>
      </c>
      <c r="D1685">
        <v>116.31196199999999</v>
      </c>
      <c r="E1685" t="s">
        <v>18</v>
      </c>
      <c r="F1685" t="s">
        <v>18</v>
      </c>
      <c r="G1685">
        <v>1.800122</v>
      </c>
      <c r="H1685">
        <v>3</v>
      </c>
      <c r="I1685" t="s">
        <v>20</v>
      </c>
      <c r="J1685" t="s">
        <v>19</v>
      </c>
      <c r="K1685">
        <v>2</v>
      </c>
      <c r="L1685" t="s">
        <v>19</v>
      </c>
      <c r="M1685">
        <v>1.6895249999999999</v>
      </c>
      <c r="N1685">
        <v>0.76445200000000002</v>
      </c>
      <c r="O1685" t="s">
        <v>20</v>
      </c>
      <c r="P1685" t="s">
        <v>21</v>
      </c>
      <c r="Q1685" t="s">
        <v>33</v>
      </c>
    </row>
    <row r="1686" spans="1:17" x14ac:dyDescent="0.2">
      <c r="A1686" t="s">
        <v>23</v>
      </c>
      <c r="B1686">
        <v>22.829753</v>
      </c>
      <c r="C1686">
        <v>1.765137</v>
      </c>
      <c r="D1686">
        <v>116.669906</v>
      </c>
      <c r="E1686" t="s">
        <v>18</v>
      </c>
      <c r="F1686" t="s">
        <v>18</v>
      </c>
      <c r="G1686">
        <v>1.4827220000000001</v>
      </c>
      <c r="H1686">
        <v>3</v>
      </c>
      <c r="I1686" t="s">
        <v>20</v>
      </c>
      <c r="J1686" t="s">
        <v>19</v>
      </c>
      <c r="K1686">
        <v>2</v>
      </c>
      <c r="L1686" t="s">
        <v>19</v>
      </c>
      <c r="M1686">
        <v>1.1125039999999999</v>
      </c>
      <c r="N1686">
        <v>0.69035299999999999</v>
      </c>
      <c r="O1686" t="s">
        <v>20</v>
      </c>
      <c r="P1686" t="s">
        <v>21</v>
      </c>
      <c r="Q1686" t="s">
        <v>33</v>
      </c>
    </row>
    <row r="1687" spans="1:17" x14ac:dyDescent="0.2">
      <c r="A1687" t="s">
        <v>23</v>
      </c>
      <c r="B1687">
        <v>25.015173000000001</v>
      </c>
      <c r="C1687">
        <v>1.7882389999999999</v>
      </c>
      <c r="D1687">
        <v>115.382519</v>
      </c>
      <c r="E1687" t="s">
        <v>18</v>
      </c>
      <c r="F1687" t="s">
        <v>18</v>
      </c>
      <c r="G1687">
        <v>1.7356640000000001</v>
      </c>
      <c r="H1687">
        <v>3</v>
      </c>
      <c r="I1687" t="s">
        <v>20</v>
      </c>
      <c r="J1687" t="s">
        <v>19</v>
      </c>
      <c r="K1687">
        <v>2.0415359999999998</v>
      </c>
      <c r="L1687" t="s">
        <v>19</v>
      </c>
      <c r="M1687">
        <v>1.392406</v>
      </c>
      <c r="N1687">
        <v>0.39173999999999998</v>
      </c>
      <c r="O1687" t="s">
        <v>20</v>
      </c>
      <c r="P1687" t="s">
        <v>21</v>
      </c>
      <c r="Q1687" t="s">
        <v>33</v>
      </c>
    </row>
    <row r="1688" spans="1:17" x14ac:dyDescent="0.2">
      <c r="A1688" t="s">
        <v>23</v>
      </c>
      <c r="B1688">
        <v>23.812795000000001</v>
      </c>
      <c r="C1688">
        <v>1.7671209999999999</v>
      </c>
      <c r="D1688">
        <v>116.164351</v>
      </c>
      <c r="E1688" t="s">
        <v>18</v>
      </c>
      <c r="F1688" t="s">
        <v>18</v>
      </c>
      <c r="G1688">
        <v>1.6556839999999999</v>
      </c>
      <c r="H1688">
        <v>3</v>
      </c>
      <c r="I1688" t="s">
        <v>20</v>
      </c>
      <c r="J1688" t="s">
        <v>19</v>
      </c>
      <c r="K1688">
        <v>2</v>
      </c>
      <c r="L1688" t="s">
        <v>19</v>
      </c>
      <c r="M1688">
        <v>0.97642499999999999</v>
      </c>
      <c r="N1688">
        <v>0.69008199999999997</v>
      </c>
      <c r="O1688" t="s">
        <v>20</v>
      </c>
      <c r="P1688" t="s">
        <v>21</v>
      </c>
      <c r="Q1688" t="s">
        <v>33</v>
      </c>
    </row>
    <row r="1689" spans="1:17" x14ac:dyDescent="0.2">
      <c r="A1689" t="s">
        <v>23</v>
      </c>
      <c r="B1689">
        <v>23.975684999999999</v>
      </c>
      <c r="C1689">
        <v>1.840039</v>
      </c>
      <c r="D1689">
        <v>120.975489</v>
      </c>
      <c r="E1689" t="s">
        <v>18</v>
      </c>
      <c r="F1689" t="s">
        <v>18</v>
      </c>
      <c r="G1689">
        <v>2.5982069999999999</v>
      </c>
      <c r="H1689">
        <v>2.8493469999999999</v>
      </c>
      <c r="I1689" t="s">
        <v>20</v>
      </c>
      <c r="J1689" t="s">
        <v>19</v>
      </c>
      <c r="K1689">
        <v>2.006167</v>
      </c>
      <c r="L1689" t="s">
        <v>19</v>
      </c>
      <c r="M1689">
        <v>1.5200100000000001</v>
      </c>
      <c r="N1689">
        <v>0.29568499999999998</v>
      </c>
      <c r="O1689" t="s">
        <v>20</v>
      </c>
      <c r="P1689" t="s">
        <v>21</v>
      </c>
      <c r="Q1689" t="s">
        <v>33</v>
      </c>
    </row>
    <row r="1690" spans="1:17" x14ac:dyDescent="0.2">
      <c r="A1690" t="s">
        <v>23</v>
      </c>
      <c r="B1690">
        <v>24.149035999999999</v>
      </c>
      <c r="C1690">
        <v>1.8249010000000001</v>
      </c>
      <c r="D1690">
        <v>120.80571500000001</v>
      </c>
      <c r="E1690" t="s">
        <v>18</v>
      </c>
      <c r="F1690" t="s">
        <v>18</v>
      </c>
      <c r="G1690">
        <v>2.225149</v>
      </c>
      <c r="H1690">
        <v>3</v>
      </c>
      <c r="I1690" t="s">
        <v>20</v>
      </c>
      <c r="J1690" t="s">
        <v>19</v>
      </c>
      <c r="K1690">
        <v>2.3579780000000001</v>
      </c>
      <c r="L1690" t="s">
        <v>19</v>
      </c>
      <c r="M1690">
        <v>1.943743</v>
      </c>
      <c r="N1690">
        <v>0.68212799999999996</v>
      </c>
      <c r="O1690" t="s">
        <v>20</v>
      </c>
      <c r="P1690" t="s">
        <v>21</v>
      </c>
      <c r="Q1690" t="s">
        <v>33</v>
      </c>
    </row>
    <row r="1691" spans="1:17" x14ac:dyDescent="0.2">
      <c r="A1691" t="s">
        <v>23</v>
      </c>
      <c r="B1691">
        <v>25.062942</v>
      </c>
      <c r="C1691">
        <v>1.8283910000000001</v>
      </c>
      <c r="D1691">
        <v>120.998266</v>
      </c>
      <c r="E1691" t="s">
        <v>18</v>
      </c>
      <c r="F1691" t="s">
        <v>18</v>
      </c>
      <c r="G1691">
        <v>3</v>
      </c>
      <c r="H1691">
        <v>3</v>
      </c>
      <c r="I1691" t="s">
        <v>20</v>
      </c>
      <c r="J1691" t="s">
        <v>19</v>
      </c>
      <c r="K1691">
        <v>3</v>
      </c>
      <c r="L1691" t="s">
        <v>19</v>
      </c>
      <c r="M1691">
        <v>1.6853689999999999</v>
      </c>
      <c r="N1691">
        <v>0.26496900000000001</v>
      </c>
      <c r="O1691" t="s">
        <v>20</v>
      </c>
      <c r="P1691" t="s">
        <v>21</v>
      </c>
      <c r="Q1691" t="s">
        <v>33</v>
      </c>
    </row>
    <row r="1692" spans="1:17" x14ac:dyDescent="0.2">
      <c r="A1692" t="s">
        <v>23</v>
      </c>
      <c r="B1692">
        <v>25.140073999999998</v>
      </c>
      <c r="C1692">
        <v>1.829529</v>
      </c>
      <c r="D1692">
        <v>120.99658100000001</v>
      </c>
      <c r="E1692" t="s">
        <v>18</v>
      </c>
      <c r="F1692" t="s">
        <v>18</v>
      </c>
      <c r="G1692">
        <v>3</v>
      </c>
      <c r="H1692">
        <v>3</v>
      </c>
      <c r="I1692" t="s">
        <v>20</v>
      </c>
      <c r="J1692" t="s">
        <v>19</v>
      </c>
      <c r="K1692">
        <v>3</v>
      </c>
      <c r="L1692" t="s">
        <v>19</v>
      </c>
      <c r="M1692">
        <v>1.4678629999999999</v>
      </c>
      <c r="N1692">
        <v>0.34363500000000002</v>
      </c>
      <c r="O1692" t="s">
        <v>20</v>
      </c>
      <c r="P1692" t="s">
        <v>21</v>
      </c>
      <c r="Q1692" t="s">
        <v>33</v>
      </c>
    </row>
    <row r="1693" spans="1:17" x14ac:dyDescent="0.2">
      <c r="A1693" t="s">
        <v>23</v>
      </c>
      <c r="B1693">
        <v>30.722801</v>
      </c>
      <c r="C1693">
        <v>1.779325</v>
      </c>
      <c r="D1693">
        <v>120.751656</v>
      </c>
      <c r="E1693" t="s">
        <v>18</v>
      </c>
      <c r="F1693" t="s">
        <v>18</v>
      </c>
      <c r="G1693">
        <v>2.5195919999999998</v>
      </c>
      <c r="H1693">
        <v>3</v>
      </c>
      <c r="I1693" t="s">
        <v>20</v>
      </c>
      <c r="J1693" t="s">
        <v>19</v>
      </c>
      <c r="K1693">
        <v>2.2291449999999999</v>
      </c>
      <c r="L1693" t="s">
        <v>19</v>
      </c>
      <c r="M1693">
        <v>0.350717</v>
      </c>
      <c r="N1693">
        <v>1.1403479999999999</v>
      </c>
      <c r="O1693" t="s">
        <v>20</v>
      </c>
      <c r="P1693" t="s">
        <v>28</v>
      </c>
      <c r="Q1693" t="s">
        <v>33</v>
      </c>
    </row>
    <row r="1694" spans="1:17" x14ac:dyDescent="0.2">
      <c r="A1694" t="s">
        <v>23</v>
      </c>
      <c r="B1694">
        <v>30.916426000000001</v>
      </c>
      <c r="C1694">
        <v>1.781139</v>
      </c>
      <c r="D1694">
        <v>120.794535</v>
      </c>
      <c r="E1694" t="s">
        <v>18</v>
      </c>
      <c r="F1694" t="s">
        <v>18</v>
      </c>
      <c r="G1694">
        <v>2.1118869999999998</v>
      </c>
      <c r="H1694">
        <v>3</v>
      </c>
      <c r="I1694" t="s">
        <v>20</v>
      </c>
      <c r="J1694" t="s">
        <v>19</v>
      </c>
      <c r="K1694">
        <v>2.3573729999999999</v>
      </c>
      <c r="L1694" t="s">
        <v>19</v>
      </c>
      <c r="M1694">
        <v>0.42562100000000003</v>
      </c>
      <c r="N1694">
        <v>1.416353</v>
      </c>
      <c r="O1694" t="s">
        <v>20</v>
      </c>
      <c r="P1694" t="s">
        <v>28</v>
      </c>
      <c r="Q1694" t="s">
        <v>33</v>
      </c>
    </row>
    <row r="1695" spans="1:17" x14ac:dyDescent="0.2">
      <c r="A1695" t="s">
        <v>23</v>
      </c>
      <c r="B1695">
        <v>31.010301999999999</v>
      </c>
      <c r="C1695">
        <v>1.7641659999999999</v>
      </c>
      <c r="D1695">
        <v>119.373019</v>
      </c>
      <c r="E1695" t="s">
        <v>18</v>
      </c>
      <c r="F1695" t="s">
        <v>18</v>
      </c>
      <c r="G1695">
        <v>2.9709829999999999</v>
      </c>
      <c r="H1695">
        <v>3</v>
      </c>
      <c r="I1695" t="s">
        <v>20</v>
      </c>
      <c r="J1695" t="s">
        <v>19</v>
      </c>
      <c r="K1695">
        <v>2.8288609999999998</v>
      </c>
      <c r="L1695" t="s">
        <v>19</v>
      </c>
      <c r="M1695">
        <v>0.45494400000000002</v>
      </c>
      <c r="N1695">
        <v>1.915818</v>
      </c>
      <c r="O1695" t="s">
        <v>20</v>
      </c>
      <c r="P1695" t="s">
        <v>28</v>
      </c>
      <c r="Q1695" t="s">
        <v>33</v>
      </c>
    </row>
    <row r="1696" spans="1:17" x14ac:dyDescent="0.2">
      <c r="A1696" t="s">
        <v>23</v>
      </c>
      <c r="B1696">
        <v>30.605464000000001</v>
      </c>
      <c r="C1696">
        <v>1.754796</v>
      </c>
      <c r="D1696">
        <v>118.805937</v>
      </c>
      <c r="E1696" t="s">
        <v>18</v>
      </c>
      <c r="F1696" t="s">
        <v>18</v>
      </c>
      <c r="G1696">
        <v>2.9075419999999998</v>
      </c>
      <c r="H1696">
        <v>3</v>
      </c>
      <c r="I1696" t="s">
        <v>20</v>
      </c>
      <c r="J1696" t="s">
        <v>19</v>
      </c>
      <c r="K1696">
        <v>2.284494</v>
      </c>
      <c r="L1696" t="s">
        <v>19</v>
      </c>
      <c r="M1696">
        <v>0.64763199999999999</v>
      </c>
      <c r="N1696">
        <v>1.668318</v>
      </c>
      <c r="O1696" t="s">
        <v>20</v>
      </c>
      <c r="P1696" t="s">
        <v>28</v>
      </c>
      <c r="Q1696" t="s">
        <v>33</v>
      </c>
    </row>
    <row r="1697" spans="1:17" x14ac:dyDescent="0.2">
      <c r="A1697" t="s">
        <v>23</v>
      </c>
      <c r="B1697">
        <v>24.622053999999999</v>
      </c>
      <c r="C1697">
        <v>1.7565090000000001</v>
      </c>
      <c r="D1697">
        <v>117.36871600000001</v>
      </c>
      <c r="E1697" t="s">
        <v>18</v>
      </c>
      <c r="F1697" t="s">
        <v>18</v>
      </c>
      <c r="G1697">
        <v>1.4513370000000001</v>
      </c>
      <c r="H1697">
        <v>3</v>
      </c>
      <c r="I1697" t="s">
        <v>20</v>
      </c>
      <c r="J1697" t="s">
        <v>19</v>
      </c>
      <c r="K1697">
        <v>2</v>
      </c>
      <c r="L1697" t="s">
        <v>19</v>
      </c>
      <c r="M1697">
        <v>1.3846069999999999</v>
      </c>
      <c r="N1697">
        <v>0.63121700000000003</v>
      </c>
      <c r="O1697" t="s">
        <v>20</v>
      </c>
      <c r="P1697" t="s">
        <v>21</v>
      </c>
      <c r="Q1697" t="s">
        <v>33</v>
      </c>
    </row>
    <row r="1698" spans="1:17" x14ac:dyDescent="0.2">
      <c r="A1698" t="s">
        <v>23</v>
      </c>
      <c r="B1698">
        <v>23.745833000000001</v>
      </c>
      <c r="C1698">
        <v>1.756772</v>
      </c>
      <c r="D1698">
        <v>117.32652299999999</v>
      </c>
      <c r="E1698" t="s">
        <v>18</v>
      </c>
      <c r="F1698" t="s">
        <v>18</v>
      </c>
      <c r="G1698">
        <v>1.5375049999999999</v>
      </c>
      <c r="H1698">
        <v>3</v>
      </c>
      <c r="I1698" t="s">
        <v>20</v>
      </c>
      <c r="J1698" t="s">
        <v>19</v>
      </c>
      <c r="K1698">
        <v>2</v>
      </c>
      <c r="L1698" t="s">
        <v>19</v>
      </c>
      <c r="M1698">
        <v>1.631912</v>
      </c>
      <c r="N1698">
        <v>0.63142200000000004</v>
      </c>
      <c r="O1698" t="s">
        <v>20</v>
      </c>
      <c r="P1698" t="s">
        <v>21</v>
      </c>
      <c r="Q1698" t="s">
        <v>33</v>
      </c>
    </row>
    <row r="1699" spans="1:17" x14ac:dyDescent="0.2">
      <c r="A1699" t="s">
        <v>23</v>
      </c>
      <c r="B1699">
        <v>23.327836000000001</v>
      </c>
      <c r="C1699">
        <v>1.7544390000000001</v>
      </c>
      <c r="D1699">
        <v>119.44120700000001</v>
      </c>
      <c r="E1699" t="s">
        <v>18</v>
      </c>
      <c r="F1699" t="s">
        <v>18</v>
      </c>
      <c r="G1699">
        <v>1.8934280000000001</v>
      </c>
      <c r="H1699">
        <v>3</v>
      </c>
      <c r="I1699" t="s">
        <v>20</v>
      </c>
      <c r="J1699" t="s">
        <v>19</v>
      </c>
      <c r="K1699">
        <v>2</v>
      </c>
      <c r="L1699" t="s">
        <v>19</v>
      </c>
      <c r="M1699">
        <v>1.9173830000000001</v>
      </c>
      <c r="N1699">
        <v>0.93647999999999998</v>
      </c>
      <c r="O1699" t="s">
        <v>20</v>
      </c>
      <c r="P1699" t="s">
        <v>21</v>
      </c>
      <c r="Q1699" t="s">
        <v>33</v>
      </c>
    </row>
    <row r="1700" spans="1:17" x14ac:dyDescent="0.2">
      <c r="A1700" t="s">
        <v>23</v>
      </c>
      <c r="B1700">
        <v>23.411141000000001</v>
      </c>
      <c r="C1700">
        <v>1.755142</v>
      </c>
      <c r="D1700">
        <v>119.192922</v>
      </c>
      <c r="E1700" t="s">
        <v>18</v>
      </c>
      <c r="F1700" t="s">
        <v>18</v>
      </c>
      <c r="G1700">
        <v>2.0078450000000001</v>
      </c>
      <c r="H1700">
        <v>2.9544459999999999</v>
      </c>
      <c r="I1700" t="s">
        <v>20</v>
      </c>
      <c r="J1700" t="s">
        <v>19</v>
      </c>
      <c r="K1700">
        <v>1.968796</v>
      </c>
      <c r="L1700" t="s">
        <v>19</v>
      </c>
      <c r="M1700">
        <v>1.5874060000000001</v>
      </c>
      <c r="N1700">
        <v>0.838947</v>
      </c>
      <c r="O1700" t="s">
        <v>20</v>
      </c>
      <c r="P1700" t="s">
        <v>21</v>
      </c>
      <c r="Q1700" t="s">
        <v>33</v>
      </c>
    </row>
    <row r="1701" spans="1:17" x14ac:dyDescent="0.2">
      <c r="A1701" t="s">
        <v>23</v>
      </c>
      <c r="B1701">
        <v>39.825592</v>
      </c>
      <c r="C1701">
        <v>1.7067410000000001</v>
      </c>
      <c r="D1701">
        <v>108.012603</v>
      </c>
      <c r="E1701" t="s">
        <v>18</v>
      </c>
      <c r="F1701" t="s">
        <v>18</v>
      </c>
      <c r="G1701">
        <v>2.487781</v>
      </c>
      <c r="H1701">
        <v>3.755976</v>
      </c>
      <c r="I1701" t="s">
        <v>20</v>
      </c>
      <c r="J1701" t="s">
        <v>19</v>
      </c>
      <c r="K1701">
        <v>1</v>
      </c>
      <c r="L1701" t="s">
        <v>19</v>
      </c>
      <c r="M1701">
        <v>1.860765</v>
      </c>
      <c r="N1701">
        <v>0</v>
      </c>
      <c r="O1701" t="s">
        <v>19</v>
      </c>
      <c r="P1701" t="s">
        <v>28</v>
      </c>
      <c r="Q1701" t="s">
        <v>33</v>
      </c>
    </row>
    <row r="1702" spans="1:17" x14ac:dyDescent="0.2">
      <c r="A1702" t="s">
        <v>23</v>
      </c>
      <c r="B1702">
        <v>36.839761000000003</v>
      </c>
      <c r="C1702">
        <v>1.74285</v>
      </c>
      <c r="D1702">
        <v>106.421042</v>
      </c>
      <c r="E1702" t="s">
        <v>18</v>
      </c>
      <c r="F1702" t="s">
        <v>18</v>
      </c>
      <c r="G1702">
        <v>2.541785</v>
      </c>
      <c r="H1702">
        <v>2.9026390000000002</v>
      </c>
      <c r="I1702" t="s">
        <v>20</v>
      </c>
      <c r="J1702" t="s">
        <v>19</v>
      </c>
      <c r="K1702">
        <v>1</v>
      </c>
      <c r="L1702" t="s">
        <v>19</v>
      </c>
      <c r="M1702">
        <v>1.6689609999999999</v>
      </c>
      <c r="N1702">
        <v>0</v>
      </c>
      <c r="O1702" t="s">
        <v>19</v>
      </c>
      <c r="P1702" t="s">
        <v>28</v>
      </c>
      <c r="Q1702" t="s">
        <v>33</v>
      </c>
    </row>
    <row r="1703" spans="1:17" x14ac:dyDescent="0.2">
      <c r="A1703" t="s">
        <v>23</v>
      </c>
      <c r="B1703">
        <v>33.789301000000002</v>
      </c>
      <c r="C1703">
        <v>1.6811</v>
      </c>
      <c r="D1703">
        <v>102.523111</v>
      </c>
      <c r="E1703" t="s">
        <v>18</v>
      </c>
      <c r="F1703" t="s">
        <v>18</v>
      </c>
      <c r="G1703">
        <v>2.8137750000000001</v>
      </c>
      <c r="H1703">
        <v>2.3727049999999998</v>
      </c>
      <c r="I1703" t="s">
        <v>20</v>
      </c>
      <c r="J1703" t="s">
        <v>19</v>
      </c>
      <c r="K1703">
        <v>1</v>
      </c>
      <c r="L1703" t="s">
        <v>19</v>
      </c>
      <c r="M1703">
        <v>1.979355</v>
      </c>
      <c r="N1703">
        <v>0</v>
      </c>
      <c r="O1703" t="s">
        <v>19</v>
      </c>
      <c r="P1703" t="s">
        <v>21</v>
      </c>
      <c r="Q1703" t="s">
        <v>33</v>
      </c>
    </row>
    <row r="1704" spans="1:17" x14ac:dyDescent="0.2">
      <c r="A1704" t="s">
        <v>23</v>
      </c>
      <c r="B1704">
        <v>34.161997999999997</v>
      </c>
      <c r="C1704">
        <v>1.7056819999999999</v>
      </c>
      <c r="D1704">
        <v>103.06776600000001</v>
      </c>
      <c r="E1704" t="s">
        <v>18</v>
      </c>
      <c r="F1704" t="s">
        <v>18</v>
      </c>
      <c r="G1704">
        <v>2.5626869999999999</v>
      </c>
      <c r="H1704">
        <v>2.1009180000000001</v>
      </c>
      <c r="I1704" t="s">
        <v>20</v>
      </c>
      <c r="J1704" t="s">
        <v>19</v>
      </c>
      <c r="K1704">
        <v>1.458545</v>
      </c>
      <c r="L1704" t="s">
        <v>19</v>
      </c>
      <c r="M1704">
        <v>1.167856</v>
      </c>
      <c r="N1704">
        <v>0.412329</v>
      </c>
      <c r="O1704" t="s">
        <v>19</v>
      </c>
      <c r="P1704" t="s">
        <v>21</v>
      </c>
      <c r="Q1704" t="s">
        <v>33</v>
      </c>
    </row>
    <row r="1705" spans="1:17" x14ac:dyDescent="0.2">
      <c r="A1705" t="s">
        <v>23</v>
      </c>
      <c r="B1705">
        <v>22.580037999999998</v>
      </c>
      <c r="C1705">
        <v>1.849507</v>
      </c>
      <c r="D1705">
        <v>121.56093799999999</v>
      </c>
      <c r="E1705" t="s">
        <v>18</v>
      </c>
      <c r="F1705" t="s">
        <v>18</v>
      </c>
      <c r="G1705">
        <v>3</v>
      </c>
      <c r="H1705">
        <v>2.2728009999999998</v>
      </c>
      <c r="I1705" t="s">
        <v>20</v>
      </c>
      <c r="J1705" t="s">
        <v>19</v>
      </c>
      <c r="K1705">
        <v>1.5600639999999999</v>
      </c>
      <c r="L1705" t="s">
        <v>19</v>
      </c>
      <c r="M1705">
        <v>0.79676999999999998</v>
      </c>
      <c r="N1705">
        <v>0</v>
      </c>
      <c r="O1705" t="s">
        <v>20</v>
      </c>
      <c r="P1705" t="s">
        <v>21</v>
      </c>
      <c r="Q1705" t="s">
        <v>33</v>
      </c>
    </row>
    <row r="1706" spans="1:17" x14ac:dyDescent="0.2">
      <c r="A1706" t="s">
        <v>23</v>
      </c>
      <c r="B1706">
        <v>22.851721000000001</v>
      </c>
      <c r="C1706">
        <v>1.8533729999999999</v>
      </c>
      <c r="D1706">
        <v>121.737836</v>
      </c>
      <c r="E1706" t="s">
        <v>18</v>
      </c>
      <c r="F1706" t="s">
        <v>18</v>
      </c>
      <c r="G1706">
        <v>2.9225110000000001</v>
      </c>
      <c r="H1706">
        <v>2.6928890000000001</v>
      </c>
      <c r="I1706" t="s">
        <v>20</v>
      </c>
      <c r="J1706" t="s">
        <v>19</v>
      </c>
      <c r="K1706">
        <v>1.809531</v>
      </c>
      <c r="L1706" t="s">
        <v>19</v>
      </c>
      <c r="M1706">
        <v>0.47859499999999999</v>
      </c>
      <c r="N1706">
        <v>0</v>
      </c>
      <c r="O1706" t="s">
        <v>20</v>
      </c>
      <c r="P1706" t="s">
        <v>21</v>
      </c>
      <c r="Q1706" t="s">
        <v>33</v>
      </c>
    </row>
    <row r="1707" spans="1:17" x14ac:dyDescent="0.2">
      <c r="A1707" t="s">
        <v>23</v>
      </c>
      <c r="B1707">
        <v>23.254933999999999</v>
      </c>
      <c r="C1707">
        <v>1.8475299999999999</v>
      </c>
      <c r="D1707">
        <v>122.06261000000001</v>
      </c>
      <c r="E1707" t="s">
        <v>18</v>
      </c>
      <c r="F1707" t="s">
        <v>18</v>
      </c>
      <c r="G1707">
        <v>3</v>
      </c>
      <c r="H1707">
        <v>2.280545</v>
      </c>
      <c r="I1707" t="s">
        <v>20</v>
      </c>
      <c r="J1707" t="s">
        <v>19</v>
      </c>
      <c r="K1707">
        <v>1.5915969999999999</v>
      </c>
      <c r="L1707" t="s">
        <v>19</v>
      </c>
      <c r="M1707">
        <v>0.93278300000000003</v>
      </c>
      <c r="N1707">
        <v>0</v>
      </c>
      <c r="O1707" t="s">
        <v>20</v>
      </c>
      <c r="P1707" t="s">
        <v>21</v>
      </c>
      <c r="Q1707" t="s">
        <v>33</v>
      </c>
    </row>
    <row r="1708" spans="1:17" x14ac:dyDescent="0.2">
      <c r="A1708" t="s">
        <v>23</v>
      </c>
      <c r="B1708">
        <v>22.343204</v>
      </c>
      <c r="C1708">
        <v>1.8703399999999999</v>
      </c>
      <c r="D1708">
        <v>121.458232</v>
      </c>
      <c r="E1708" t="s">
        <v>18</v>
      </c>
      <c r="F1708" t="s">
        <v>18</v>
      </c>
      <c r="G1708">
        <v>2.836055</v>
      </c>
      <c r="H1708">
        <v>2.675411</v>
      </c>
      <c r="I1708" t="s">
        <v>20</v>
      </c>
      <c r="J1708" t="s">
        <v>19</v>
      </c>
      <c r="K1708">
        <v>1.7116659999999999</v>
      </c>
      <c r="L1708" t="s">
        <v>19</v>
      </c>
      <c r="M1708">
        <v>0.93732000000000004</v>
      </c>
      <c r="N1708">
        <v>0</v>
      </c>
      <c r="O1708" t="s">
        <v>20</v>
      </c>
      <c r="P1708" t="s">
        <v>21</v>
      </c>
      <c r="Q1708" t="s">
        <v>33</v>
      </c>
    </row>
    <row r="1709" spans="1:17" x14ac:dyDescent="0.2">
      <c r="A1709" t="s">
        <v>23</v>
      </c>
      <c r="B1709">
        <v>24.006271000000002</v>
      </c>
      <c r="C1709">
        <v>1.6077870000000001</v>
      </c>
      <c r="D1709">
        <v>100.783434</v>
      </c>
      <c r="E1709" t="s">
        <v>18</v>
      </c>
      <c r="F1709" t="s">
        <v>18</v>
      </c>
      <c r="G1709">
        <v>2.8807589999999998</v>
      </c>
      <c r="H1709">
        <v>1.4876739999999999</v>
      </c>
      <c r="I1709" t="s">
        <v>20</v>
      </c>
      <c r="J1709" t="s">
        <v>19</v>
      </c>
      <c r="K1709">
        <v>1.0137799999999999</v>
      </c>
      <c r="L1709" t="s">
        <v>19</v>
      </c>
      <c r="M1709">
        <v>1.00109</v>
      </c>
      <c r="N1709">
        <v>1.0983799999999999</v>
      </c>
      <c r="O1709" t="s">
        <v>19</v>
      </c>
      <c r="P1709" t="s">
        <v>21</v>
      </c>
      <c r="Q1709" t="s">
        <v>33</v>
      </c>
    </row>
    <row r="1710" spans="1:17" x14ac:dyDescent="0.2">
      <c r="A1710" t="s">
        <v>23</v>
      </c>
      <c r="B1710">
        <v>24.001196</v>
      </c>
      <c r="C1710">
        <v>1.603091</v>
      </c>
      <c r="D1710">
        <v>100.209405</v>
      </c>
      <c r="E1710" t="s">
        <v>18</v>
      </c>
      <c r="F1710" t="s">
        <v>18</v>
      </c>
      <c r="G1710">
        <v>3</v>
      </c>
      <c r="H1710">
        <v>1.02075</v>
      </c>
      <c r="I1710" t="s">
        <v>20</v>
      </c>
      <c r="J1710" t="s">
        <v>19</v>
      </c>
      <c r="K1710">
        <v>1</v>
      </c>
      <c r="L1710" t="s">
        <v>19</v>
      </c>
      <c r="M1710">
        <v>0.23305600000000001</v>
      </c>
      <c r="N1710">
        <v>1.7074210000000001</v>
      </c>
      <c r="O1710" t="s">
        <v>19</v>
      </c>
      <c r="P1710" t="s">
        <v>21</v>
      </c>
      <c r="Q1710" t="s">
        <v>33</v>
      </c>
    </row>
    <row r="1711" spans="1:17" x14ac:dyDescent="0.2">
      <c r="A1711" t="s">
        <v>23</v>
      </c>
      <c r="B1711">
        <v>20.156663999999999</v>
      </c>
      <c r="C1711">
        <v>1.620109</v>
      </c>
      <c r="D1711">
        <v>103.393354</v>
      </c>
      <c r="E1711" t="s">
        <v>18</v>
      </c>
      <c r="F1711" t="s">
        <v>18</v>
      </c>
      <c r="G1711">
        <v>2.7664409999999999</v>
      </c>
      <c r="H1711">
        <v>1.240424</v>
      </c>
      <c r="I1711" t="s">
        <v>20</v>
      </c>
      <c r="J1711" t="s">
        <v>19</v>
      </c>
      <c r="K1711">
        <v>1.4132180000000001</v>
      </c>
      <c r="L1711" t="s">
        <v>19</v>
      </c>
      <c r="M1711">
        <v>0.165269</v>
      </c>
      <c r="N1711">
        <v>0.86258699999999999</v>
      </c>
      <c r="O1711" t="s">
        <v>19</v>
      </c>
      <c r="P1711" t="s">
        <v>21</v>
      </c>
      <c r="Q1711" t="s">
        <v>33</v>
      </c>
    </row>
    <row r="1712" spans="1:17" x14ac:dyDescent="0.2">
      <c r="A1712" t="s">
        <v>23</v>
      </c>
      <c r="B1712">
        <v>23.360306999999999</v>
      </c>
      <c r="C1712">
        <v>1.6106469999999999</v>
      </c>
      <c r="D1712">
        <v>100.642257</v>
      </c>
      <c r="E1712" t="s">
        <v>18</v>
      </c>
      <c r="F1712" t="s">
        <v>18</v>
      </c>
      <c r="G1712">
        <v>2.9975239999999999</v>
      </c>
      <c r="H1712">
        <v>1.154318</v>
      </c>
      <c r="I1712" t="s">
        <v>20</v>
      </c>
      <c r="J1712" t="s">
        <v>19</v>
      </c>
      <c r="K1712">
        <v>1.238057</v>
      </c>
      <c r="L1712" t="s">
        <v>19</v>
      </c>
      <c r="M1712">
        <v>1.1293</v>
      </c>
      <c r="N1712">
        <v>1.665621</v>
      </c>
      <c r="O1712" t="s">
        <v>19</v>
      </c>
      <c r="P1712" t="s">
        <v>21</v>
      </c>
      <c r="Q1712" t="s">
        <v>33</v>
      </c>
    </row>
    <row r="1713" spans="1:17" x14ac:dyDescent="0.2">
      <c r="A1713" t="s">
        <v>23</v>
      </c>
      <c r="B1713">
        <v>28.986236999999999</v>
      </c>
      <c r="C1713">
        <v>1.758618</v>
      </c>
      <c r="D1713">
        <v>113.501549</v>
      </c>
      <c r="E1713" t="s">
        <v>18</v>
      </c>
      <c r="F1713" t="s">
        <v>18</v>
      </c>
      <c r="G1713">
        <v>2.320201</v>
      </c>
      <c r="H1713">
        <v>3</v>
      </c>
      <c r="I1713" t="s">
        <v>20</v>
      </c>
      <c r="J1713" t="s">
        <v>19</v>
      </c>
      <c r="K1713">
        <v>2.164784</v>
      </c>
      <c r="L1713" t="s">
        <v>19</v>
      </c>
      <c r="M1713">
        <v>0</v>
      </c>
      <c r="N1713">
        <v>1.465479</v>
      </c>
      <c r="O1713" t="s">
        <v>20</v>
      </c>
      <c r="P1713" t="s">
        <v>28</v>
      </c>
      <c r="Q1713" t="s">
        <v>33</v>
      </c>
    </row>
    <row r="1714" spans="1:17" x14ac:dyDescent="0.2">
      <c r="A1714" t="s">
        <v>23</v>
      </c>
      <c r="B1714">
        <v>29.713169000000001</v>
      </c>
      <c r="C1714">
        <v>1.7632589999999999</v>
      </c>
      <c r="D1714">
        <v>113.21581399999999</v>
      </c>
      <c r="E1714" t="s">
        <v>18</v>
      </c>
      <c r="F1714" t="s">
        <v>18</v>
      </c>
      <c r="G1714">
        <v>2.181057</v>
      </c>
      <c r="H1714">
        <v>3</v>
      </c>
      <c r="I1714" t="s">
        <v>20</v>
      </c>
      <c r="J1714" t="s">
        <v>19</v>
      </c>
      <c r="K1714">
        <v>2.0855399999999999</v>
      </c>
      <c r="L1714" t="s">
        <v>19</v>
      </c>
      <c r="M1714">
        <v>0</v>
      </c>
      <c r="N1714">
        <v>1.4390039999999999</v>
      </c>
      <c r="O1714" t="s">
        <v>20</v>
      </c>
      <c r="P1714" t="s">
        <v>28</v>
      </c>
      <c r="Q1714" t="s">
        <v>33</v>
      </c>
    </row>
    <row r="1715" spans="1:17" x14ac:dyDescent="0.2">
      <c r="A1715" t="s">
        <v>23</v>
      </c>
      <c r="B1715">
        <v>27.394123</v>
      </c>
      <c r="C1715">
        <v>1.764138</v>
      </c>
      <c r="D1715">
        <v>112.323213</v>
      </c>
      <c r="E1715" t="s">
        <v>18</v>
      </c>
      <c r="F1715" t="s">
        <v>18</v>
      </c>
      <c r="G1715">
        <v>1.9246319999999999</v>
      </c>
      <c r="H1715">
        <v>3</v>
      </c>
      <c r="I1715" t="s">
        <v>20</v>
      </c>
      <c r="J1715" t="s">
        <v>19</v>
      </c>
      <c r="K1715">
        <v>2.0065949999999999</v>
      </c>
      <c r="L1715" t="s">
        <v>19</v>
      </c>
      <c r="M1715">
        <v>0.17680000000000001</v>
      </c>
      <c r="N1715">
        <v>0.51169399999999998</v>
      </c>
      <c r="O1715" t="s">
        <v>20</v>
      </c>
      <c r="P1715" t="s">
        <v>28</v>
      </c>
      <c r="Q1715" t="s">
        <v>33</v>
      </c>
    </row>
    <row r="1716" spans="1:17" x14ac:dyDescent="0.2">
      <c r="A1716" t="s">
        <v>23</v>
      </c>
      <c r="B1716">
        <v>24.912254000000001</v>
      </c>
      <c r="C1716">
        <v>1.75596</v>
      </c>
      <c r="D1716">
        <v>112.277567</v>
      </c>
      <c r="E1716" t="s">
        <v>18</v>
      </c>
      <c r="F1716" t="s">
        <v>18</v>
      </c>
      <c r="G1716">
        <v>1.3974679999999999</v>
      </c>
      <c r="H1716">
        <v>3</v>
      </c>
      <c r="I1716" t="s">
        <v>20</v>
      </c>
      <c r="J1716" t="s">
        <v>19</v>
      </c>
      <c r="K1716">
        <v>2.0189699999999999</v>
      </c>
      <c r="L1716" t="s">
        <v>19</v>
      </c>
      <c r="M1716">
        <v>0.665439</v>
      </c>
      <c r="N1716">
        <v>6.2167E-2</v>
      </c>
      <c r="O1716" t="s">
        <v>20</v>
      </c>
      <c r="P1716" t="s">
        <v>28</v>
      </c>
      <c r="Q1716" t="s">
        <v>33</v>
      </c>
    </row>
    <row r="1717" spans="1:17" x14ac:dyDescent="0.2">
      <c r="A1717" t="s">
        <v>23</v>
      </c>
      <c r="B1717">
        <v>25.526745999999999</v>
      </c>
      <c r="C1717">
        <v>1.7833810000000001</v>
      </c>
      <c r="D1717">
        <v>115.347176</v>
      </c>
      <c r="E1717" t="s">
        <v>18</v>
      </c>
      <c r="F1717" t="s">
        <v>18</v>
      </c>
      <c r="G1717">
        <v>2.1914289999999998</v>
      </c>
      <c r="H1717">
        <v>3</v>
      </c>
      <c r="I1717" t="s">
        <v>20</v>
      </c>
      <c r="J1717" t="s">
        <v>19</v>
      </c>
      <c r="K1717">
        <v>2.1027089999999999</v>
      </c>
      <c r="L1717" t="s">
        <v>19</v>
      </c>
      <c r="M1717">
        <v>1.32534</v>
      </c>
      <c r="N1717">
        <v>0.38097900000000001</v>
      </c>
      <c r="O1717" t="s">
        <v>20</v>
      </c>
      <c r="P1717" t="s">
        <v>21</v>
      </c>
      <c r="Q1717" t="s">
        <v>33</v>
      </c>
    </row>
    <row r="1718" spans="1:17" x14ac:dyDescent="0.2">
      <c r="A1718" t="s">
        <v>23</v>
      </c>
      <c r="B1718">
        <v>25.523126999999999</v>
      </c>
      <c r="C1718">
        <v>1.786532</v>
      </c>
      <c r="D1718">
        <v>114.534678</v>
      </c>
      <c r="E1718" t="s">
        <v>18</v>
      </c>
      <c r="F1718" t="s">
        <v>18</v>
      </c>
      <c r="G1718">
        <v>2.100177</v>
      </c>
      <c r="H1718">
        <v>3</v>
      </c>
      <c r="I1718" t="s">
        <v>20</v>
      </c>
      <c r="J1718" t="s">
        <v>19</v>
      </c>
      <c r="K1718">
        <v>2.0996869999999999</v>
      </c>
      <c r="L1718" t="s">
        <v>19</v>
      </c>
      <c r="M1718">
        <v>1.2811650000000001</v>
      </c>
      <c r="N1718">
        <v>0.247332</v>
      </c>
      <c r="O1718" t="s">
        <v>20</v>
      </c>
      <c r="P1718" t="s">
        <v>21</v>
      </c>
      <c r="Q1718" t="s">
        <v>33</v>
      </c>
    </row>
    <row r="1719" spans="1:17" x14ac:dyDescent="0.2">
      <c r="A1719" t="s">
        <v>23</v>
      </c>
      <c r="B1719">
        <v>25.822348000000002</v>
      </c>
      <c r="C1719">
        <v>1.766626</v>
      </c>
      <c r="D1719">
        <v>114.187096</v>
      </c>
      <c r="E1719" t="s">
        <v>18</v>
      </c>
      <c r="F1719" t="s">
        <v>18</v>
      </c>
      <c r="G1719">
        <v>2.0753210000000002</v>
      </c>
      <c r="H1719">
        <v>3</v>
      </c>
      <c r="I1719" t="s">
        <v>20</v>
      </c>
      <c r="J1719" t="s">
        <v>19</v>
      </c>
      <c r="K1719">
        <v>2.144838</v>
      </c>
      <c r="L1719" t="s">
        <v>19</v>
      </c>
      <c r="M1719">
        <v>1.501754</v>
      </c>
      <c r="N1719">
        <v>0.27631899999999998</v>
      </c>
      <c r="O1719" t="s">
        <v>20</v>
      </c>
      <c r="P1719" t="s">
        <v>21</v>
      </c>
      <c r="Q1719" t="s">
        <v>33</v>
      </c>
    </row>
    <row r="1720" spans="1:17" x14ac:dyDescent="0.2">
      <c r="A1720" t="s">
        <v>23</v>
      </c>
      <c r="B1720">
        <v>25.879411000000001</v>
      </c>
      <c r="C1720">
        <v>1.7654639999999999</v>
      </c>
      <c r="D1720">
        <v>114.144378</v>
      </c>
      <c r="E1720" t="s">
        <v>18</v>
      </c>
      <c r="F1720" t="s">
        <v>18</v>
      </c>
      <c r="G1720">
        <v>1.626369</v>
      </c>
      <c r="H1720">
        <v>3</v>
      </c>
      <c r="I1720" t="s">
        <v>20</v>
      </c>
      <c r="J1720" t="s">
        <v>19</v>
      </c>
      <c r="K1720">
        <v>2.1096970000000002</v>
      </c>
      <c r="L1720" t="s">
        <v>19</v>
      </c>
      <c r="M1720">
        <v>1.352973</v>
      </c>
      <c r="N1720">
        <v>7.6692999999999997E-2</v>
      </c>
      <c r="O1720" t="s">
        <v>20</v>
      </c>
      <c r="P1720" t="s">
        <v>21</v>
      </c>
      <c r="Q1720" t="s">
        <v>33</v>
      </c>
    </row>
    <row r="1721" spans="1:17" x14ac:dyDescent="0.2">
      <c r="A1721" t="s">
        <v>23</v>
      </c>
      <c r="B1721">
        <v>30.361364999999999</v>
      </c>
      <c r="C1721">
        <v>1.7585299999999999</v>
      </c>
      <c r="D1721">
        <v>111.635463</v>
      </c>
      <c r="E1721" t="s">
        <v>18</v>
      </c>
      <c r="F1721" t="s">
        <v>18</v>
      </c>
      <c r="G1721">
        <v>1.2632159999999999</v>
      </c>
      <c r="H1721">
        <v>3.219347</v>
      </c>
      <c r="I1721" t="s">
        <v>20</v>
      </c>
      <c r="J1721" t="s">
        <v>19</v>
      </c>
      <c r="K1721">
        <v>1.9817819999999999</v>
      </c>
      <c r="L1721" t="s">
        <v>19</v>
      </c>
      <c r="M1721">
        <v>0.48262500000000003</v>
      </c>
      <c r="N1721">
        <v>0</v>
      </c>
      <c r="O1721" t="s">
        <v>20</v>
      </c>
      <c r="P1721" t="s">
        <v>28</v>
      </c>
      <c r="Q1721" t="s">
        <v>33</v>
      </c>
    </row>
    <row r="1722" spans="1:17" x14ac:dyDescent="0.2">
      <c r="A1722" t="s">
        <v>23</v>
      </c>
      <c r="B1722">
        <v>30.451174000000002</v>
      </c>
      <c r="C1722">
        <v>1.7585390000000001</v>
      </c>
      <c r="D1722">
        <v>111.950413</v>
      </c>
      <c r="E1722" t="s">
        <v>18</v>
      </c>
      <c r="F1722" t="s">
        <v>18</v>
      </c>
      <c r="G1722">
        <v>1.067909</v>
      </c>
      <c r="H1722">
        <v>3.6564009999999998</v>
      </c>
      <c r="I1722" t="s">
        <v>20</v>
      </c>
      <c r="J1722" t="s">
        <v>19</v>
      </c>
      <c r="K1722">
        <v>1.9845900000000001</v>
      </c>
      <c r="L1722" t="s">
        <v>19</v>
      </c>
      <c r="M1722">
        <v>5.4238000000000001E-2</v>
      </c>
      <c r="N1722">
        <v>0</v>
      </c>
      <c r="O1722" t="s">
        <v>20</v>
      </c>
      <c r="P1722" t="s">
        <v>28</v>
      </c>
      <c r="Q1722" t="s">
        <v>33</v>
      </c>
    </row>
    <row r="1723" spans="1:17" x14ac:dyDescent="0.2">
      <c r="A1723" t="s">
        <v>23</v>
      </c>
      <c r="B1723">
        <v>40.564512999999998</v>
      </c>
      <c r="C1723">
        <v>1.7480150000000001</v>
      </c>
      <c r="D1723">
        <v>109.758736</v>
      </c>
      <c r="E1723" t="s">
        <v>18</v>
      </c>
      <c r="F1723" t="s">
        <v>18</v>
      </c>
      <c r="G1723">
        <v>2.3107510000000002</v>
      </c>
      <c r="H1723">
        <v>3.2201810000000002</v>
      </c>
      <c r="I1723" t="s">
        <v>20</v>
      </c>
      <c r="J1723" t="s">
        <v>19</v>
      </c>
      <c r="K1723">
        <v>1.006643</v>
      </c>
      <c r="L1723" t="s">
        <v>19</v>
      </c>
      <c r="M1723">
        <v>1.15804</v>
      </c>
      <c r="N1723">
        <v>0</v>
      </c>
      <c r="O1723" t="s">
        <v>19</v>
      </c>
      <c r="P1723" t="s">
        <v>28</v>
      </c>
      <c r="Q1723" t="s">
        <v>33</v>
      </c>
    </row>
    <row r="1724" spans="1:17" x14ac:dyDescent="0.2">
      <c r="A1724" t="s">
        <v>23</v>
      </c>
      <c r="B1724">
        <v>40.501722000000001</v>
      </c>
      <c r="C1724">
        <v>1.744974</v>
      </c>
      <c r="D1724">
        <v>111.169678</v>
      </c>
      <c r="E1724" t="s">
        <v>18</v>
      </c>
      <c r="F1724" t="s">
        <v>18</v>
      </c>
      <c r="G1724">
        <v>2.2942589999999998</v>
      </c>
      <c r="H1724">
        <v>2.8509479999999998</v>
      </c>
      <c r="I1724" t="s">
        <v>20</v>
      </c>
      <c r="J1724" t="s">
        <v>19</v>
      </c>
      <c r="K1724">
        <v>1.87029</v>
      </c>
      <c r="L1724" t="s">
        <v>19</v>
      </c>
      <c r="M1724">
        <v>0.917014</v>
      </c>
      <c r="N1724">
        <v>0</v>
      </c>
      <c r="O1724" t="s">
        <v>19</v>
      </c>
      <c r="P1724" t="s">
        <v>28</v>
      </c>
      <c r="Q1724" t="s">
        <v>33</v>
      </c>
    </row>
    <row r="1725" spans="1:17" x14ac:dyDescent="0.2">
      <c r="A1725" t="s">
        <v>23</v>
      </c>
      <c r="B1725">
        <v>30.315784000000001</v>
      </c>
      <c r="C1725">
        <v>1.7015659999999999</v>
      </c>
      <c r="D1725">
        <v>103.743534</v>
      </c>
      <c r="E1725" t="s">
        <v>18</v>
      </c>
      <c r="F1725" t="s">
        <v>18</v>
      </c>
      <c r="G1725">
        <v>2.5764900000000002</v>
      </c>
      <c r="H1725">
        <v>2.1871450000000001</v>
      </c>
      <c r="I1725" t="s">
        <v>20</v>
      </c>
      <c r="J1725" t="s">
        <v>19</v>
      </c>
      <c r="K1725">
        <v>1.38107</v>
      </c>
      <c r="L1725" t="s">
        <v>19</v>
      </c>
      <c r="M1725">
        <v>1.928275</v>
      </c>
      <c r="N1725">
        <v>0.413663</v>
      </c>
      <c r="O1725" t="s">
        <v>19</v>
      </c>
      <c r="P1725" t="s">
        <v>21</v>
      </c>
      <c r="Q1725" t="s">
        <v>33</v>
      </c>
    </row>
    <row r="1726" spans="1:17" x14ac:dyDescent="0.2">
      <c r="A1726" t="s">
        <v>23</v>
      </c>
      <c r="B1726">
        <v>33.293165999999999</v>
      </c>
      <c r="C1726">
        <v>1.696412</v>
      </c>
      <c r="D1726">
        <v>103.250355</v>
      </c>
      <c r="E1726" t="s">
        <v>18</v>
      </c>
      <c r="F1726" t="s">
        <v>18</v>
      </c>
      <c r="G1726">
        <v>2.6796639999999998</v>
      </c>
      <c r="H1726">
        <v>2.4155220000000002</v>
      </c>
      <c r="I1726" t="s">
        <v>20</v>
      </c>
      <c r="J1726" t="s">
        <v>19</v>
      </c>
      <c r="K1726">
        <v>1</v>
      </c>
      <c r="L1726" t="s">
        <v>19</v>
      </c>
      <c r="M1726">
        <v>1.987296</v>
      </c>
      <c r="N1726">
        <v>0</v>
      </c>
      <c r="O1726" t="s">
        <v>19</v>
      </c>
      <c r="P1726" t="s">
        <v>21</v>
      </c>
      <c r="Q1726" t="s">
        <v>33</v>
      </c>
    </row>
    <row r="1727" spans="1:17" x14ac:dyDescent="0.2">
      <c r="A1727" t="s">
        <v>23</v>
      </c>
      <c r="B1727">
        <v>30.638943999999999</v>
      </c>
      <c r="C1727">
        <v>1.6804889999999999</v>
      </c>
      <c r="D1727">
        <v>102.004554</v>
      </c>
      <c r="E1727" t="s">
        <v>18</v>
      </c>
      <c r="F1727" t="s">
        <v>18</v>
      </c>
      <c r="G1727">
        <v>2.9386869999999998</v>
      </c>
      <c r="H1727">
        <v>2.1383749999999999</v>
      </c>
      <c r="I1727" t="s">
        <v>20</v>
      </c>
      <c r="J1727" t="s">
        <v>19</v>
      </c>
      <c r="K1727">
        <v>1.2517149999999999</v>
      </c>
      <c r="L1727" t="s">
        <v>19</v>
      </c>
      <c r="M1727">
        <v>1.1818109999999999</v>
      </c>
      <c r="N1727">
        <v>0.77837500000000004</v>
      </c>
      <c r="O1727" t="s">
        <v>19</v>
      </c>
      <c r="P1727" t="s">
        <v>21</v>
      </c>
      <c r="Q1727" t="s">
        <v>33</v>
      </c>
    </row>
    <row r="1728" spans="1:17" x14ac:dyDescent="0.2">
      <c r="A1728" t="s">
        <v>23</v>
      </c>
      <c r="B1728">
        <v>29.791101000000001</v>
      </c>
      <c r="C1728">
        <v>1.703317</v>
      </c>
      <c r="D1728">
        <v>102.59217099999999</v>
      </c>
      <c r="E1728" t="s">
        <v>18</v>
      </c>
      <c r="F1728" t="s">
        <v>18</v>
      </c>
      <c r="G1728">
        <v>2.654792</v>
      </c>
      <c r="H1728">
        <v>1.077331</v>
      </c>
      <c r="I1728" t="s">
        <v>20</v>
      </c>
      <c r="J1728" t="s">
        <v>19</v>
      </c>
      <c r="K1728">
        <v>1.345407</v>
      </c>
      <c r="L1728" t="s">
        <v>19</v>
      </c>
      <c r="M1728">
        <v>0.32741799999999999</v>
      </c>
      <c r="N1728">
        <v>0.38686100000000001</v>
      </c>
      <c r="O1728" t="s">
        <v>19</v>
      </c>
      <c r="P1728" t="s">
        <v>21</v>
      </c>
      <c r="Q1728" t="s">
        <v>33</v>
      </c>
    </row>
    <row r="1729" spans="1:17" x14ac:dyDescent="0.2">
      <c r="A1729" t="s">
        <v>23</v>
      </c>
      <c r="B1729">
        <v>31.205667999999999</v>
      </c>
      <c r="C1729">
        <v>1.877732</v>
      </c>
      <c r="D1729">
        <v>127.16138100000001</v>
      </c>
      <c r="E1729" t="s">
        <v>18</v>
      </c>
      <c r="F1729" t="s">
        <v>18</v>
      </c>
      <c r="G1729">
        <v>2.7313679999999998</v>
      </c>
      <c r="H1729">
        <v>3</v>
      </c>
      <c r="I1729" t="s">
        <v>20</v>
      </c>
      <c r="J1729" t="s">
        <v>18</v>
      </c>
      <c r="K1729">
        <v>1.4868239999999999</v>
      </c>
      <c r="L1729" t="s">
        <v>19</v>
      </c>
      <c r="M1729">
        <v>1.485978</v>
      </c>
      <c r="N1729">
        <v>1.150439</v>
      </c>
      <c r="O1729" t="s">
        <v>20</v>
      </c>
      <c r="P1729" t="s">
        <v>21</v>
      </c>
      <c r="Q1729" t="s">
        <v>33</v>
      </c>
    </row>
    <row r="1730" spans="1:17" x14ac:dyDescent="0.2">
      <c r="A1730" t="s">
        <v>23</v>
      </c>
      <c r="B1730">
        <v>30.899218999999999</v>
      </c>
      <c r="C1730">
        <v>1.9096390000000001</v>
      </c>
      <c r="D1730">
        <v>129.01317800000001</v>
      </c>
      <c r="E1730" t="s">
        <v>18</v>
      </c>
      <c r="F1730" t="s">
        <v>18</v>
      </c>
      <c r="G1730">
        <v>2.2225899999999998</v>
      </c>
      <c r="H1730">
        <v>3</v>
      </c>
      <c r="I1730" t="s">
        <v>20</v>
      </c>
      <c r="J1730" t="s">
        <v>18</v>
      </c>
      <c r="K1730">
        <v>1.591909</v>
      </c>
      <c r="L1730" t="s">
        <v>19</v>
      </c>
      <c r="M1730">
        <v>1.392026</v>
      </c>
      <c r="N1730">
        <v>0.91772699999999996</v>
      </c>
      <c r="O1730" t="s">
        <v>20</v>
      </c>
      <c r="P1730" t="s">
        <v>21</v>
      </c>
      <c r="Q1730" t="s">
        <v>33</v>
      </c>
    </row>
    <row r="1731" spans="1:17" x14ac:dyDescent="0.2">
      <c r="A1731" t="s">
        <v>23</v>
      </c>
      <c r="B1731">
        <v>29.669218999999998</v>
      </c>
      <c r="C1731">
        <v>1.9091880000000001</v>
      </c>
      <c r="D1731">
        <v>129.19449</v>
      </c>
      <c r="E1731" t="s">
        <v>18</v>
      </c>
      <c r="F1731" t="s">
        <v>18</v>
      </c>
      <c r="G1731">
        <v>2.4323549999999998</v>
      </c>
      <c r="H1731">
        <v>3</v>
      </c>
      <c r="I1731" t="s">
        <v>20</v>
      </c>
      <c r="J1731" t="s">
        <v>19</v>
      </c>
      <c r="K1731">
        <v>1.3365260000000001</v>
      </c>
      <c r="L1731" t="s">
        <v>19</v>
      </c>
      <c r="M1731">
        <v>1.63812</v>
      </c>
      <c r="N1731">
        <v>9.0341000000000005E-2</v>
      </c>
      <c r="O1731" t="s">
        <v>20</v>
      </c>
      <c r="P1731" t="s">
        <v>21</v>
      </c>
      <c r="Q1731" t="s">
        <v>33</v>
      </c>
    </row>
    <row r="1732" spans="1:17" x14ac:dyDescent="0.2">
      <c r="A1732" t="s">
        <v>23</v>
      </c>
      <c r="B1732">
        <v>30.595631999999998</v>
      </c>
      <c r="C1732">
        <v>1.9106719999999999</v>
      </c>
      <c r="D1732">
        <v>129.232708</v>
      </c>
      <c r="E1732" t="s">
        <v>18</v>
      </c>
      <c r="F1732" t="s">
        <v>18</v>
      </c>
      <c r="G1732">
        <v>2.4975480000000001</v>
      </c>
      <c r="H1732">
        <v>3</v>
      </c>
      <c r="I1732" t="s">
        <v>20</v>
      </c>
      <c r="J1732" t="s">
        <v>19</v>
      </c>
      <c r="K1732">
        <v>1.3625830000000001</v>
      </c>
      <c r="L1732" t="s">
        <v>19</v>
      </c>
      <c r="M1732">
        <v>1.1440760000000001</v>
      </c>
      <c r="N1732">
        <v>0.173232</v>
      </c>
      <c r="O1732" t="s">
        <v>20</v>
      </c>
      <c r="P1732" t="s">
        <v>21</v>
      </c>
      <c r="Q1732" t="s">
        <v>33</v>
      </c>
    </row>
    <row r="1733" spans="1:17" x14ac:dyDescent="0.2">
      <c r="A1733" t="s">
        <v>23</v>
      </c>
      <c r="B1733">
        <v>30.554956000000001</v>
      </c>
      <c r="C1733">
        <v>1.7791360000000001</v>
      </c>
      <c r="D1733">
        <v>120.60093999999999</v>
      </c>
      <c r="E1733" t="s">
        <v>18</v>
      </c>
      <c r="F1733" t="s">
        <v>18</v>
      </c>
      <c r="G1733">
        <v>2.6712379999999998</v>
      </c>
      <c r="H1733">
        <v>3</v>
      </c>
      <c r="I1733" t="s">
        <v>20</v>
      </c>
      <c r="J1733" t="s">
        <v>19</v>
      </c>
      <c r="K1733">
        <v>2.1453679999999999</v>
      </c>
      <c r="L1733" t="s">
        <v>19</v>
      </c>
      <c r="M1733">
        <v>0.88270899999999997</v>
      </c>
      <c r="N1733">
        <v>0.59391700000000003</v>
      </c>
      <c r="O1733" t="s">
        <v>20</v>
      </c>
      <c r="P1733" t="s">
        <v>28</v>
      </c>
      <c r="Q1733" t="s">
        <v>33</v>
      </c>
    </row>
    <row r="1734" spans="1:17" x14ac:dyDescent="0.2">
      <c r="A1734" t="s">
        <v>23</v>
      </c>
      <c r="B1734">
        <v>31.571391999999999</v>
      </c>
      <c r="C1734">
        <v>1.767485</v>
      </c>
      <c r="D1734">
        <v>120.15804900000001</v>
      </c>
      <c r="E1734" t="s">
        <v>18</v>
      </c>
      <c r="F1734" t="s">
        <v>18</v>
      </c>
      <c r="G1734">
        <v>2.5769099999999998</v>
      </c>
      <c r="H1734">
        <v>3</v>
      </c>
      <c r="I1734" t="s">
        <v>20</v>
      </c>
      <c r="J1734" t="s">
        <v>19</v>
      </c>
      <c r="K1734">
        <v>2.080187</v>
      </c>
      <c r="L1734" t="s">
        <v>19</v>
      </c>
      <c r="M1734">
        <v>1.0426800000000001</v>
      </c>
      <c r="N1734">
        <v>0.37668299999999999</v>
      </c>
      <c r="O1734" t="s">
        <v>20</v>
      </c>
      <c r="P1734" t="s">
        <v>28</v>
      </c>
      <c r="Q1734" t="s">
        <v>33</v>
      </c>
    </row>
    <row r="1735" spans="1:17" x14ac:dyDescent="0.2">
      <c r="A1735" t="s">
        <v>23</v>
      </c>
      <c r="B1735">
        <v>30.577943999999999</v>
      </c>
      <c r="C1735">
        <v>1.7839529999999999</v>
      </c>
      <c r="D1735">
        <v>120.613561</v>
      </c>
      <c r="E1735" t="s">
        <v>18</v>
      </c>
      <c r="F1735" t="s">
        <v>18</v>
      </c>
      <c r="G1735">
        <v>2.3419989999999999</v>
      </c>
      <c r="H1735">
        <v>3</v>
      </c>
      <c r="I1735" t="s">
        <v>20</v>
      </c>
      <c r="J1735" t="s">
        <v>19</v>
      </c>
      <c r="K1735">
        <v>2.2998780000000001</v>
      </c>
      <c r="L1735" t="s">
        <v>19</v>
      </c>
      <c r="M1735">
        <v>0.56524200000000002</v>
      </c>
      <c r="N1735">
        <v>0.921991</v>
      </c>
      <c r="O1735" t="s">
        <v>20</v>
      </c>
      <c r="P1735" t="s">
        <v>28</v>
      </c>
      <c r="Q1735" t="s">
        <v>33</v>
      </c>
    </row>
    <row r="1736" spans="1:17" x14ac:dyDescent="0.2">
      <c r="A1736" t="s">
        <v>23</v>
      </c>
      <c r="B1736">
        <v>30.717727</v>
      </c>
      <c r="C1736">
        <v>1.7671399999999999</v>
      </c>
      <c r="D1736">
        <v>120.344402</v>
      </c>
      <c r="E1736" t="s">
        <v>18</v>
      </c>
      <c r="F1736" t="s">
        <v>18</v>
      </c>
      <c r="G1736">
        <v>2.117121</v>
      </c>
      <c r="H1736">
        <v>3</v>
      </c>
      <c r="I1736" t="s">
        <v>20</v>
      </c>
      <c r="J1736" t="s">
        <v>19</v>
      </c>
      <c r="K1736">
        <v>2.1930079999999998</v>
      </c>
      <c r="L1736" t="s">
        <v>19</v>
      </c>
      <c r="M1736">
        <v>0.99282899999999996</v>
      </c>
      <c r="N1736">
        <v>1.556052</v>
      </c>
      <c r="O1736" t="s">
        <v>20</v>
      </c>
      <c r="P1736" t="s">
        <v>28</v>
      </c>
      <c r="Q1736" t="s">
        <v>33</v>
      </c>
    </row>
    <row r="1737" spans="1:17" x14ac:dyDescent="0.2">
      <c r="A1737" t="s">
        <v>23</v>
      </c>
      <c r="B1737">
        <v>26.734476000000001</v>
      </c>
      <c r="C1737">
        <v>1.8161970000000001</v>
      </c>
      <c r="D1737">
        <v>119.622764</v>
      </c>
      <c r="E1737" t="s">
        <v>18</v>
      </c>
      <c r="F1737" t="s">
        <v>18</v>
      </c>
      <c r="G1737">
        <v>2.2470370000000002</v>
      </c>
      <c r="H1737">
        <v>3</v>
      </c>
      <c r="I1737" t="s">
        <v>20</v>
      </c>
      <c r="J1737" t="s">
        <v>19</v>
      </c>
      <c r="K1737">
        <v>2.7184080000000002</v>
      </c>
      <c r="L1737" t="s">
        <v>19</v>
      </c>
      <c r="M1737">
        <v>0.76359500000000002</v>
      </c>
      <c r="N1737">
        <v>0</v>
      </c>
      <c r="O1737" t="s">
        <v>20</v>
      </c>
      <c r="P1737" t="s">
        <v>21</v>
      </c>
      <c r="Q1737" t="s">
        <v>33</v>
      </c>
    </row>
    <row r="1738" spans="1:17" x14ac:dyDescent="0.2">
      <c r="A1738" t="s">
        <v>23</v>
      </c>
      <c r="B1738">
        <v>26.699317000000001</v>
      </c>
      <c r="C1738">
        <v>1.839941</v>
      </c>
      <c r="D1738">
        <v>119.95665099999999</v>
      </c>
      <c r="E1738" t="s">
        <v>18</v>
      </c>
      <c r="F1738" t="s">
        <v>18</v>
      </c>
      <c r="G1738">
        <v>2.2446540000000001</v>
      </c>
      <c r="H1738">
        <v>3</v>
      </c>
      <c r="I1738" t="s">
        <v>20</v>
      </c>
      <c r="J1738" t="s">
        <v>19</v>
      </c>
      <c r="K1738">
        <v>2.7957519999999998</v>
      </c>
      <c r="L1738" t="s">
        <v>19</v>
      </c>
      <c r="M1738">
        <v>0.83948100000000003</v>
      </c>
      <c r="N1738">
        <v>0</v>
      </c>
      <c r="O1738" t="s">
        <v>20</v>
      </c>
      <c r="P1738" t="s">
        <v>21</v>
      </c>
      <c r="Q1738" t="s">
        <v>33</v>
      </c>
    </row>
    <row r="1739" spans="1:17" x14ac:dyDescent="0.2">
      <c r="A1739" t="s">
        <v>23</v>
      </c>
      <c r="B1739">
        <v>25.659092000000001</v>
      </c>
      <c r="C1739">
        <v>1.84842</v>
      </c>
      <c r="D1739">
        <v>117.63170700000001</v>
      </c>
      <c r="E1739" t="s">
        <v>18</v>
      </c>
      <c r="F1739" t="s">
        <v>18</v>
      </c>
      <c r="G1739">
        <v>2.128574</v>
      </c>
      <c r="H1739">
        <v>3</v>
      </c>
      <c r="I1739" t="s">
        <v>20</v>
      </c>
      <c r="J1739" t="s">
        <v>19</v>
      </c>
      <c r="K1739">
        <v>2.531984</v>
      </c>
      <c r="L1739" t="s">
        <v>19</v>
      </c>
      <c r="M1739">
        <v>1.0032939999999999</v>
      </c>
      <c r="N1739">
        <v>2.6575000000000001E-2</v>
      </c>
      <c r="O1739" t="s">
        <v>20</v>
      </c>
      <c r="P1739" t="s">
        <v>21</v>
      </c>
      <c r="Q1739" t="s">
        <v>33</v>
      </c>
    </row>
    <row r="1740" spans="1:17" x14ac:dyDescent="0.2">
      <c r="A1740" t="s">
        <v>23</v>
      </c>
      <c r="B1740">
        <v>26.348155999999999</v>
      </c>
      <c r="C1740">
        <v>1.830317</v>
      </c>
      <c r="D1740">
        <v>117.75700999999999</v>
      </c>
      <c r="E1740" t="s">
        <v>18</v>
      </c>
      <c r="F1740" t="s">
        <v>18</v>
      </c>
      <c r="G1740">
        <v>2.0688339999999998</v>
      </c>
      <c r="H1740">
        <v>3</v>
      </c>
      <c r="I1740" t="s">
        <v>20</v>
      </c>
      <c r="J1740" t="s">
        <v>19</v>
      </c>
      <c r="K1740">
        <v>2.543841</v>
      </c>
      <c r="L1740" t="s">
        <v>19</v>
      </c>
      <c r="M1740">
        <v>1.2179930000000001</v>
      </c>
      <c r="N1740">
        <v>3.8253000000000002E-2</v>
      </c>
      <c r="O1740" t="s">
        <v>20</v>
      </c>
      <c r="P1740" t="s">
        <v>21</v>
      </c>
      <c r="Q1740" t="s">
        <v>33</v>
      </c>
    </row>
    <row r="1741" spans="1:17" x14ac:dyDescent="0.2">
      <c r="A1741" t="s">
        <v>23</v>
      </c>
      <c r="B1741">
        <v>37.638102000000003</v>
      </c>
      <c r="C1741">
        <v>1.7500849999999999</v>
      </c>
      <c r="D1741">
        <v>118.11418399999999</v>
      </c>
      <c r="E1741" t="s">
        <v>18</v>
      </c>
      <c r="F1741" t="s">
        <v>18</v>
      </c>
      <c r="G1741">
        <v>2.0732240000000002</v>
      </c>
      <c r="H1741">
        <v>3</v>
      </c>
      <c r="I1741" t="s">
        <v>20</v>
      </c>
      <c r="J1741" t="s">
        <v>19</v>
      </c>
      <c r="K1741">
        <v>2.024035</v>
      </c>
      <c r="L1741" t="s">
        <v>19</v>
      </c>
      <c r="M1741">
        <v>0.13137099999999999</v>
      </c>
      <c r="N1741">
        <v>0</v>
      </c>
      <c r="O1741" t="s">
        <v>20</v>
      </c>
      <c r="P1741" t="s">
        <v>28</v>
      </c>
      <c r="Q1741" t="s">
        <v>33</v>
      </c>
    </row>
    <row r="1742" spans="1:17" x14ac:dyDescent="0.2">
      <c r="A1742" t="s">
        <v>23</v>
      </c>
      <c r="B1742">
        <v>37.765355999999997</v>
      </c>
      <c r="C1742">
        <v>1.763582</v>
      </c>
      <c r="D1742">
        <v>117.86159000000001</v>
      </c>
      <c r="E1742" t="s">
        <v>18</v>
      </c>
      <c r="F1742" t="s">
        <v>18</v>
      </c>
      <c r="G1742">
        <v>2.145114</v>
      </c>
      <c r="H1742">
        <v>2.8881929999999998</v>
      </c>
      <c r="I1742" t="s">
        <v>20</v>
      </c>
      <c r="J1742" t="s">
        <v>19</v>
      </c>
      <c r="K1742">
        <v>2.0381279999999999</v>
      </c>
      <c r="L1742" t="s">
        <v>19</v>
      </c>
      <c r="M1742">
        <v>0.85234399999999999</v>
      </c>
      <c r="N1742">
        <v>0</v>
      </c>
      <c r="O1742" t="s">
        <v>20</v>
      </c>
      <c r="P1742" t="s">
        <v>28</v>
      </c>
      <c r="Q1742" t="s">
        <v>33</v>
      </c>
    </row>
    <row r="1743" spans="1:17" x14ac:dyDescent="0.2">
      <c r="A1743" t="s">
        <v>23</v>
      </c>
      <c r="B1743">
        <v>28.255199000000001</v>
      </c>
      <c r="C1743">
        <v>1.8165469999999999</v>
      </c>
      <c r="D1743">
        <v>120.699119</v>
      </c>
      <c r="E1743" t="s">
        <v>18</v>
      </c>
      <c r="F1743" t="s">
        <v>18</v>
      </c>
      <c r="G1743">
        <v>2.997951</v>
      </c>
      <c r="H1743">
        <v>3</v>
      </c>
      <c r="I1743" t="s">
        <v>20</v>
      </c>
      <c r="J1743" t="s">
        <v>19</v>
      </c>
      <c r="K1743">
        <v>2.715856</v>
      </c>
      <c r="L1743" t="s">
        <v>19</v>
      </c>
      <c r="M1743">
        <v>0.73988100000000001</v>
      </c>
      <c r="N1743">
        <v>0.97205399999999997</v>
      </c>
      <c r="O1743" t="s">
        <v>20</v>
      </c>
      <c r="P1743" t="s">
        <v>28</v>
      </c>
      <c r="Q1743" t="s">
        <v>33</v>
      </c>
    </row>
    <row r="1744" spans="1:17" x14ac:dyDescent="0.2">
      <c r="A1744" t="s">
        <v>23</v>
      </c>
      <c r="B1744">
        <v>27.931432000000001</v>
      </c>
      <c r="C1744">
        <v>1.805445</v>
      </c>
      <c r="D1744">
        <v>119.48461399999999</v>
      </c>
      <c r="E1744" t="s">
        <v>18</v>
      </c>
      <c r="F1744" t="s">
        <v>18</v>
      </c>
      <c r="G1744">
        <v>2.9113120000000001</v>
      </c>
      <c r="H1744">
        <v>3</v>
      </c>
      <c r="I1744" t="s">
        <v>20</v>
      </c>
      <c r="J1744" t="s">
        <v>19</v>
      </c>
      <c r="K1744">
        <v>2.501808</v>
      </c>
      <c r="L1744" t="s">
        <v>19</v>
      </c>
      <c r="M1744">
        <v>0.94676000000000005</v>
      </c>
      <c r="N1744">
        <v>0.78570099999999998</v>
      </c>
      <c r="O1744" t="s">
        <v>20</v>
      </c>
      <c r="P1744" t="s">
        <v>28</v>
      </c>
      <c r="Q1744" t="s">
        <v>33</v>
      </c>
    </row>
    <row r="1745" spans="1:17" x14ac:dyDescent="0.2">
      <c r="A1745" t="s">
        <v>23</v>
      </c>
      <c r="B1745">
        <v>25.492854999999999</v>
      </c>
      <c r="C1745">
        <v>1.770124</v>
      </c>
      <c r="D1745">
        <v>114.163921</v>
      </c>
      <c r="E1745" t="s">
        <v>18</v>
      </c>
      <c r="F1745" t="s">
        <v>18</v>
      </c>
      <c r="G1745">
        <v>2.159033</v>
      </c>
      <c r="H1745">
        <v>3</v>
      </c>
      <c r="I1745" t="s">
        <v>20</v>
      </c>
      <c r="J1745" t="s">
        <v>19</v>
      </c>
      <c r="K1745">
        <v>2.1163989999999999</v>
      </c>
      <c r="L1745" t="s">
        <v>19</v>
      </c>
      <c r="M1745">
        <v>1.331526</v>
      </c>
      <c r="N1745">
        <v>5.2942000000000003E-2</v>
      </c>
      <c r="O1745" t="s">
        <v>20</v>
      </c>
      <c r="P1745" t="s">
        <v>21</v>
      </c>
      <c r="Q1745" t="s">
        <v>33</v>
      </c>
    </row>
    <row r="1746" spans="1:17" x14ac:dyDescent="0.2">
      <c r="A1746" t="s">
        <v>23</v>
      </c>
      <c r="B1746">
        <v>25.550505999999999</v>
      </c>
      <c r="C1746">
        <v>1.77274</v>
      </c>
      <c r="D1746">
        <v>114.254278</v>
      </c>
      <c r="E1746" t="s">
        <v>18</v>
      </c>
      <c r="F1746" t="s">
        <v>18</v>
      </c>
      <c r="G1746">
        <v>2.1752760000000002</v>
      </c>
      <c r="H1746">
        <v>3</v>
      </c>
      <c r="I1746" t="s">
        <v>20</v>
      </c>
      <c r="J1746" t="s">
        <v>19</v>
      </c>
      <c r="K1746">
        <v>2.1281759999999998</v>
      </c>
      <c r="L1746" t="s">
        <v>19</v>
      </c>
      <c r="M1746">
        <v>1.306476</v>
      </c>
      <c r="N1746">
        <v>7.9334000000000002E-2</v>
      </c>
      <c r="O1746" t="s">
        <v>20</v>
      </c>
      <c r="P1746" t="s">
        <v>21</v>
      </c>
      <c r="Q1746" t="s">
        <v>33</v>
      </c>
    </row>
    <row r="1747" spans="1:17" x14ac:dyDescent="0.2">
      <c r="A1747" t="s">
        <v>23</v>
      </c>
      <c r="B1747">
        <v>25.542453999999999</v>
      </c>
      <c r="C1747">
        <v>1.763215</v>
      </c>
      <c r="D1747">
        <v>115.10813</v>
      </c>
      <c r="E1747" t="s">
        <v>18</v>
      </c>
      <c r="F1747" t="s">
        <v>18</v>
      </c>
      <c r="G1747">
        <v>2.2196500000000001</v>
      </c>
      <c r="H1747">
        <v>3</v>
      </c>
      <c r="I1747" t="s">
        <v>20</v>
      </c>
      <c r="J1747" t="s">
        <v>19</v>
      </c>
      <c r="K1747">
        <v>2.1654080000000002</v>
      </c>
      <c r="L1747" t="s">
        <v>19</v>
      </c>
      <c r="M1747">
        <v>1.315045</v>
      </c>
      <c r="N1747">
        <v>0.68898499999999996</v>
      </c>
      <c r="O1747" t="s">
        <v>20</v>
      </c>
      <c r="P1747" t="s">
        <v>21</v>
      </c>
      <c r="Q1747" t="s">
        <v>33</v>
      </c>
    </row>
    <row r="1748" spans="1:17" x14ac:dyDescent="0.2">
      <c r="A1748" t="s">
        <v>23</v>
      </c>
      <c r="B1748">
        <v>25.758306999999999</v>
      </c>
      <c r="C1748">
        <v>1.7665470000000001</v>
      </c>
      <c r="D1748">
        <v>115.45845</v>
      </c>
      <c r="E1748" t="s">
        <v>18</v>
      </c>
      <c r="F1748" t="s">
        <v>18</v>
      </c>
      <c r="G1748">
        <v>2.2039620000000002</v>
      </c>
      <c r="H1748">
        <v>3</v>
      </c>
      <c r="I1748" t="s">
        <v>20</v>
      </c>
      <c r="J1748" t="s">
        <v>19</v>
      </c>
      <c r="K1748">
        <v>2.1568700000000001</v>
      </c>
      <c r="L1748" t="s">
        <v>19</v>
      </c>
      <c r="M1748">
        <v>1.2894209999999999</v>
      </c>
      <c r="N1748">
        <v>1.2207669999999999</v>
      </c>
      <c r="O1748" t="s">
        <v>20</v>
      </c>
      <c r="P1748" t="s">
        <v>21</v>
      </c>
      <c r="Q1748" t="s">
        <v>33</v>
      </c>
    </row>
    <row r="1749" spans="1:17" x14ac:dyDescent="0.2">
      <c r="A1749" t="s">
        <v>23</v>
      </c>
      <c r="B1749">
        <v>29.981494000000001</v>
      </c>
      <c r="C1749">
        <v>1.7731809999999999</v>
      </c>
      <c r="D1749">
        <v>112.348722</v>
      </c>
      <c r="E1749" t="s">
        <v>18</v>
      </c>
      <c r="F1749" t="s">
        <v>18</v>
      </c>
      <c r="G1749">
        <v>1.947495</v>
      </c>
      <c r="H1749">
        <v>3</v>
      </c>
      <c r="I1749" t="s">
        <v>20</v>
      </c>
      <c r="J1749" t="s">
        <v>19</v>
      </c>
      <c r="K1749">
        <v>2.0420729999999998</v>
      </c>
      <c r="L1749" t="s">
        <v>19</v>
      </c>
      <c r="M1749">
        <v>0</v>
      </c>
      <c r="N1749">
        <v>0.61808700000000005</v>
      </c>
      <c r="O1749" t="s">
        <v>20</v>
      </c>
      <c r="P1749" t="s">
        <v>28</v>
      </c>
      <c r="Q1749" t="s">
        <v>33</v>
      </c>
    </row>
    <row r="1750" spans="1:17" x14ac:dyDescent="0.2">
      <c r="A1750" t="s">
        <v>23</v>
      </c>
      <c r="B1750">
        <v>29.891473000000001</v>
      </c>
      <c r="C1750">
        <v>1.76003</v>
      </c>
      <c r="D1750">
        <v>112.40919100000001</v>
      </c>
      <c r="E1750" t="s">
        <v>18</v>
      </c>
      <c r="F1750" t="s">
        <v>18</v>
      </c>
      <c r="G1750">
        <v>2.262292</v>
      </c>
      <c r="H1750">
        <v>3</v>
      </c>
      <c r="I1750" t="s">
        <v>20</v>
      </c>
      <c r="J1750" t="s">
        <v>19</v>
      </c>
      <c r="K1750">
        <v>2.115354</v>
      </c>
      <c r="L1750" t="s">
        <v>19</v>
      </c>
      <c r="M1750">
        <v>0</v>
      </c>
      <c r="N1750">
        <v>0.84758699999999998</v>
      </c>
      <c r="O1750" t="s">
        <v>20</v>
      </c>
      <c r="P1750" t="s">
        <v>28</v>
      </c>
      <c r="Q1750" t="s">
        <v>33</v>
      </c>
    </row>
    <row r="1751" spans="1:17" x14ac:dyDescent="0.2">
      <c r="A1751" t="s">
        <v>23</v>
      </c>
      <c r="B1751">
        <v>26.778683999999998</v>
      </c>
      <c r="C1751">
        <v>1.780089</v>
      </c>
      <c r="D1751">
        <v>113.15464</v>
      </c>
      <c r="E1751" t="s">
        <v>18</v>
      </c>
      <c r="F1751" t="s">
        <v>18</v>
      </c>
      <c r="G1751">
        <v>2.2191860000000001</v>
      </c>
      <c r="H1751">
        <v>3</v>
      </c>
      <c r="I1751" t="s">
        <v>20</v>
      </c>
      <c r="J1751" t="s">
        <v>19</v>
      </c>
      <c r="K1751">
        <v>2.0923259999999999</v>
      </c>
      <c r="L1751" t="s">
        <v>19</v>
      </c>
      <c r="M1751">
        <v>0.54591900000000004</v>
      </c>
      <c r="N1751">
        <v>1.74288</v>
      </c>
      <c r="O1751" t="s">
        <v>20</v>
      </c>
      <c r="P1751" t="s">
        <v>28</v>
      </c>
      <c r="Q1751" t="s">
        <v>33</v>
      </c>
    </row>
    <row r="1752" spans="1:17" x14ac:dyDescent="0.2">
      <c r="A1752" t="s">
        <v>23</v>
      </c>
      <c r="B1752">
        <v>28.377958</v>
      </c>
      <c r="C1752">
        <v>1.7669459999999999</v>
      </c>
      <c r="D1752">
        <v>113.23553800000001</v>
      </c>
      <c r="E1752" t="s">
        <v>18</v>
      </c>
      <c r="F1752" t="s">
        <v>18</v>
      </c>
      <c r="G1752">
        <v>2.3141750000000001</v>
      </c>
      <c r="H1752">
        <v>3</v>
      </c>
      <c r="I1752" t="s">
        <v>20</v>
      </c>
      <c r="J1752" t="s">
        <v>19</v>
      </c>
      <c r="K1752">
        <v>2.1518090000000001</v>
      </c>
      <c r="L1752" t="s">
        <v>19</v>
      </c>
      <c r="M1752">
        <v>0</v>
      </c>
      <c r="N1752">
        <v>1.5785169999999999</v>
      </c>
      <c r="O1752" t="s">
        <v>20</v>
      </c>
      <c r="P1752" t="s">
        <v>28</v>
      </c>
      <c r="Q1752" t="s">
        <v>33</v>
      </c>
    </row>
    <row r="1753" spans="1:17" x14ac:dyDescent="0.2">
      <c r="A1753" t="s">
        <v>23</v>
      </c>
      <c r="B1753">
        <v>26.199321000000001</v>
      </c>
      <c r="C1753">
        <v>1.885119</v>
      </c>
      <c r="D1753">
        <v>121.06505199999999</v>
      </c>
      <c r="E1753" t="s">
        <v>18</v>
      </c>
      <c r="F1753" t="s">
        <v>18</v>
      </c>
      <c r="G1753">
        <v>2.4232909999999999</v>
      </c>
      <c r="H1753">
        <v>3</v>
      </c>
      <c r="I1753" t="s">
        <v>20</v>
      </c>
      <c r="J1753" t="s">
        <v>19</v>
      </c>
      <c r="K1753">
        <v>2.902682</v>
      </c>
      <c r="L1753" t="s">
        <v>19</v>
      </c>
      <c r="M1753">
        <v>1.2435670000000001</v>
      </c>
      <c r="N1753">
        <v>0.55559099999999995</v>
      </c>
      <c r="O1753" t="s">
        <v>20</v>
      </c>
      <c r="P1753" t="s">
        <v>21</v>
      </c>
      <c r="Q1753" t="s">
        <v>33</v>
      </c>
    </row>
    <row r="1754" spans="1:17" x14ac:dyDescent="0.2">
      <c r="A1754" t="s">
        <v>23</v>
      </c>
      <c r="B1754">
        <v>27.266286999999998</v>
      </c>
      <c r="C1754">
        <v>1.828276</v>
      </c>
      <c r="D1754">
        <v>120.872294</v>
      </c>
      <c r="E1754" t="s">
        <v>18</v>
      </c>
      <c r="F1754" t="s">
        <v>18</v>
      </c>
      <c r="G1754">
        <v>2.6372019999999998</v>
      </c>
      <c r="H1754">
        <v>3</v>
      </c>
      <c r="I1754" t="s">
        <v>20</v>
      </c>
      <c r="J1754" t="s">
        <v>19</v>
      </c>
      <c r="K1754">
        <v>2.966647</v>
      </c>
      <c r="L1754" t="s">
        <v>19</v>
      </c>
      <c r="M1754">
        <v>1.1595979999999999</v>
      </c>
      <c r="N1754">
        <v>0.75889700000000004</v>
      </c>
      <c r="O1754" t="s">
        <v>20</v>
      </c>
      <c r="P1754" t="s">
        <v>21</v>
      </c>
      <c r="Q1754" t="s">
        <v>33</v>
      </c>
    </row>
    <row r="1755" spans="1:17" x14ac:dyDescent="0.2">
      <c r="A1755" t="s">
        <v>23</v>
      </c>
      <c r="B1755">
        <v>27.635028999999999</v>
      </c>
      <c r="C1755">
        <v>1.806227</v>
      </c>
      <c r="D1755">
        <v>120.42356700000001</v>
      </c>
      <c r="E1755" t="s">
        <v>18</v>
      </c>
      <c r="F1755" t="s">
        <v>18</v>
      </c>
      <c r="G1755">
        <v>2.9740060000000001</v>
      </c>
      <c r="H1755">
        <v>3</v>
      </c>
      <c r="I1755" t="s">
        <v>20</v>
      </c>
      <c r="J1755" t="s">
        <v>19</v>
      </c>
      <c r="K1755">
        <v>2.5658280000000002</v>
      </c>
      <c r="L1755" t="s">
        <v>19</v>
      </c>
      <c r="M1755">
        <v>0.69026900000000002</v>
      </c>
      <c r="N1755">
        <v>1.339691</v>
      </c>
      <c r="O1755" t="s">
        <v>20</v>
      </c>
      <c r="P1755" t="s">
        <v>21</v>
      </c>
      <c r="Q1755" t="s">
        <v>33</v>
      </c>
    </row>
    <row r="1756" spans="1:17" x14ac:dyDescent="0.2">
      <c r="A1756" t="s">
        <v>23</v>
      </c>
      <c r="B1756">
        <v>26.899885999999999</v>
      </c>
      <c r="C1756">
        <v>1.8129189999999999</v>
      </c>
      <c r="D1756">
        <v>119.841446</v>
      </c>
      <c r="E1756" t="s">
        <v>18</v>
      </c>
      <c r="F1756" t="s">
        <v>18</v>
      </c>
      <c r="G1756">
        <v>2.3479420000000002</v>
      </c>
      <c r="H1756">
        <v>3</v>
      </c>
      <c r="I1756" t="s">
        <v>20</v>
      </c>
      <c r="J1756" t="s">
        <v>19</v>
      </c>
      <c r="K1756">
        <v>2.7306629999999998</v>
      </c>
      <c r="L1756" t="s">
        <v>19</v>
      </c>
      <c r="M1756">
        <v>0.68937099999999996</v>
      </c>
      <c r="N1756">
        <v>0.188693</v>
      </c>
      <c r="O1756" t="s">
        <v>20</v>
      </c>
      <c r="P1756" t="s">
        <v>21</v>
      </c>
      <c r="Q1756" t="s">
        <v>33</v>
      </c>
    </row>
    <row r="1757" spans="1:17" x14ac:dyDescent="0.2">
      <c r="A1757" t="s">
        <v>23</v>
      </c>
      <c r="B1757">
        <v>22.758997999999998</v>
      </c>
      <c r="C1757">
        <v>1.8597170000000001</v>
      </c>
      <c r="D1757">
        <v>121.284533</v>
      </c>
      <c r="E1757" t="s">
        <v>18</v>
      </c>
      <c r="F1757" t="s">
        <v>18</v>
      </c>
      <c r="G1757">
        <v>2.6540759999999999</v>
      </c>
      <c r="H1757">
        <v>2.5741079999999998</v>
      </c>
      <c r="I1757" t="s">
        <v>20</v>
      </c>
      <c r="J1757" t="s">
        <v>19</v>
      </c>
      <c r="K1757">
        <v>1.78471</v>
      </c>
      <c r="L1757" t="s">
        <v>19</v>
      </c>
      <c r="M1757">
        <v>1.1705369999999999</v>
      </c>
      <c r="N1757">
        <v>0</v>
      </c>
      <c r="O1757" t="s">
        <v>20</v>
      </c>
      <c r="P1757" t="s">
        <v>21</v>
      </c>
      <c r="Q1757" t="s">
        <v>33</v>
      </c>
    </row>
    <row r="1758" spans="1:17" x14ac:dyDescent="0.2">
      <c r="A1758" t="s">
        <v>23</v>
      </c>
      <c r="B1758">
        <v>22.771000999999998</v>
      </c>
      <c r="C1758">
        <v>1.8651599999999999</v>
      </c>
      <c r="D1758">
        <v>121.52736899999999</v>
      </c>
      <c r="E1758" t="s">
        <v>18</v>
      </c>
      <c r="F1758" t="s">
        <v>18</v>
      </c>
      <c r="G1758">
        <v>2.7389999999999999</v>
      </c>
      <c r="H1758">
        <v>2.7404920000000002</v>
      </c>
      <c r="I1758" t="s">
        <v>20</v>
      </c>
      <c r="J1758" t="s">
        <v>19</v>
      </c>
      <c r="K1758">
        <v>1.8245610000000001</v>
      </c>
      <c r="L1758" t="s">
        <v>19</v>
      </c>
      <c r="M1758">
        <v>1.0948389999999999</v>
      </c>
      <c r="N1758">
        <v>0</v>
      </c>
      <c r="O1758" t="s">
        <v>20</v>
      </c>
      <c r="P1758" t="s">
        <v>21</v>
      </c>
      <c r="Q1758" t="s">
        <v>33</v>
      </c>
    </row>
    <row r="1759" spans="1:17" x14ac:dyDescent="0.2">
      <c r="A1759" t="s">
        <v>23</v>
      </c>
      <c r="B1759">
        <v>23.826684</v>
      </c>
      <c r="C1759">
        <v>1.783609</v>
      </c>
      <c r="D1759">
        <v>120.92153500000001</v>
      </c>
      <c r="E1759" t="s">
        <v>18</v>
      </c>
      <c r="F1759" t="s">
        <v>18</v>
      </c>
      <c r="G1759">
        <v>2.5912920000000002</v>
      </c>
      <c r="H1759">
        <v>2.9564219999999999</v>
      </c>
      <c r="I1759" t="s">
        <v>20</v>
      </c>
      <c r="J1759" t="s">
        <v>19</v>
      </c>
      <c r="K1759">
        <v>2.3108300000000002</v>
      </c>
      <c r="L1759" t="s">
        <v>19</v>
      </c>
      <c r="M1759">
        <v>1.4852399999999999</v>
      </c>
      <c r="N1759">
        <v>0.28181499999999998</v>
      </c>
      <c r="O1759" t="s">
        <v>20</v>
      </c>
      <c r="P1759" t="s">
        <v>21</v>
      </c>
      <c r="Q1759" t="s">
        <v>33</v>
      </c>
    </row>
    <row r="1760" spans="1:17" x14ac:dyDescent="0.2">
      <c r="A1760" t="s">
        <v>23</v>
      </c>
      <c r="B1760">
        <v>24.186273</v>
      </c>
      <c r="C1760">
        <v>1.794827</v>
      </c>
      <c r="D1760">
        <v>120.919703</v>
      </c>
      <c r="E1760" t="s">
        <v>18</v>
      </c>
      <c r="F1760" t="s">
        <v>18</v>
      </c>
      <c r="G1760">
        <v>2.611847</v>
      </c>
      <c r="H1760">
        <v>2.7493340000000002</v>
      </c>
      <c r="I1760" t="s">
        <v>20</v>
      </c>
      <c r="J1760" t="s">
        <v>19</v>
      </c>
      <c r="K1760">
        <v>2.364849</v>
      </c>
      <c r="L1760" t="s">
        <v>19</v>
      </c>
      <c r="M1760">
        <v>1.1417079999999999</v>
      </c>
      <c r="N1760">
        <v>6.3005000000000005E-2</v>
      </c>
      <c r="O1760" t="s">
        <v>20</v>
      </c>
      <c r="P1760" t="s">
        <v>21</v>
      </c>
      <c r="Q1760" t="s">
        <v>33</v>
      </c>
    </row>
    <row r="1761" spans="1:17" x14ac:dyDescent="0.2">
      <c r="A1761" t="s">
        <v>23</v>
      </c>
      <c r="B1761">
        <v>30.945368999999999</v>
      </c>
      <c r="C1761">
        <v>1.759647</v>
      </c>
      <c r="D1761">
        <v>120.00939200000001</v>
      </c>
      <c r="E1761" t="s">
        <v>18</v>
      </c>
      <c r="F1761" t="s">
        <v>18</v>
      </c>
      <c r="G1761">
        <v>2.7666119999999998</v>
      </c>
      <c r="H1761">
        <v>3</v>
      </c>
      <c r="I1761" t="s">
        <v>20</v>
      </c>
      <c r="J1761" t="s">
        <v>19</v>
      </c>
      <c r="K1761">
        <v>2.1734170000000002</v>
      </c>
      <c r="L1761" t="s">
        <v>19</v>
      </c>
      <c r="M1761">
        <v>1.0893440000000001</v>
      </c>
      <c r="N1761">
        <v>1.198439</v>
      </c>
      <c r="O1761" t="s">
        <v>20</v>
      </c>
      <c r="P1761" t="s">
        <v>28</v>
      </c>
      <c r="Q1761" t="s">
        <v>33</v>
      </c>
    </row>
    <row r="1762" spans="1:17" x14ac:dyDescent="0.2">
      <c r="A1762" t="s">
        <v>23</v>
      </c>
      <c r="B1762">
        <v>31.490698999999999</v>
      </c>
      <c r="C1762">
        <v>1.7735209999999999</v>
      </c>
      <c r="D1762">
        <v>120.209711</v>
      </c>
      <c r="E1762" t="s">
        <v>18</v>
      </c>
      <c r="F1762" t="s">
        <v>18</v>
      </c>
      <c r="G1762">
        <v>2.7771650000000001</v>
      </c>
      <c r="H1762">
        <v>3</v>
      </c>
      <c r="I1762" t="s">
        <v>20</v>
      </c>
      <c r="J1762" t="s">
        <v>19</v>
      </c>
      <c r="K1762">
        <v>2.1068609999999999</v>
      </c>
      <c r="L1762" t="s">
        <v>19</v>
      </c>
      <c r="M1762">
        <v>0.92594100000000001</v>
      </c>
      <c r="N1762">
        <v>0.29160000000000003</v>
      </c>
      <c r="O1762" t="s">
        <v>20</v>
      </c>
      <c r="P1762" t="s">
        <v>28</v>
      </c>
      <c r="Q1762" t="s">
        <v>33</v>
      </c>
    </row>
    <row r="1763" spans="1:17" x14ac:dyDescent="0.2">
      <c r="A1763" t="s">
        <v>23</v>
      </c>
      <c r="B1763">
        <v>31.567240000000002</v>
      </c>
      <c r="C1763">
        <v>1.7533270000000001</v>
      </c>
      <c r="D1763">
        <v>118.26569000000001</v>
      </c>
      <c r="E1763" t="s">
        <v>18</v>
      </c>
      <c r="F1763" t="s">
        <v>18</v>
      </c>
      <c r="G1763">
        <v>2.2328359999999998</v>
      </c>
      <c r="H1763">
        <v>3</v>
      </c>
      <c r="I1763" t="s">
        <v>20</v>
      </c>
      <c r="J1763" t="s">
        <v>19</v>
      </c>
      <c r="K1763">
        <v>2.146398</v>
      </c>
      <c r="L1763" t="s">
        <v>19</v>
      </c>
      <c r="M1763">
        <v>0.88681699999999997</v>
      </c>
      <c r="N1763">
        <v>0.47787000000000002</v>
      </c>
      <c r="O1763" t="s">
        <v>20</v>
      </c>
      <c r="P1763" t="s">
        <v>28</v>
      </c>
      <c r="Q1763" t="s">
        <v>33</v>
      </c>
    </row>
    <row r="1764" spans="1:17" x14ac:dyDescent="0.2">
      <c r="A1764" t="s">
        <v>23</v>
      </c>
      <c r="B1764">
        <v>30.444081000000001</v>
      </c>
      <c r="C1764">
        <v>1.7610680000000001</v>
      </c>
      <c r="D1764">
        <v>118.370628</v>
      </c>
      <c r="E1764" t="s">
        <v>18</v>
      </c>
      <c r="F1764" t="s">
        <v>18</v>
      </c>
      <c r="G1764">
        <v>2.5712739999999998</v>
      </c>
      <c r="H1764">
        <v>3</v>
      </c>
      <c r="I1764" t="s">
        <v>20</v>
      </c>
      <c r="J1764" t="s">
        <v>19</v>
      </c>
      <c r="K1764">
        <v>2.224164</v>
      </c>
      <c r="L1764" t="s">
        <v>19</v>
      </c>
      <c r="M1764">
        <v>1.0181579999999999</v>
      </c>
      <c r="N1764">
        <v>1.1528989999999999</v>
      </c>
      <c r="O1764" t="s">
        <v>20</v>
      </c>
      <c r="P1764" t="s">
        <v>28</v>
      </c>
      <c r="Q1764" t="s">
        <v>33</v>
      </c>
    </row>
    <row r="1765" spans="1:17" x14ac:dyDescent="0.2">
      <c r="A1765" t="s">
        <v>23</v>
      </c>
      <c r="B1765">
        <v>31.199261</v>
      </c>
      <c r="C1765">
        <v>1.8488450000000001</v>
      </c>
      <c r="D1765">
        <v>125.07786299999999</v>
      </c>
      <c r="E1765" t="s">
        <v>18</v>
      </c>
      <c r="F1765" t="s">
        <v>18</v>
      </c>
      <c r="G1765">
        <v>2.4961899999999999</v>
      </c>
      <c r="H1765">
        <v>3</v>
      </c>
      <c r="I1765" t="s">
        <v>20</v>
      </c>
      <c r="J1765" t="s">
        <v>18</v>
      </c>
      <c r="K1765">
        <v>1.6621170000000001</v>
      </c>
      <c r="L1765" t="s">
        <v>19</v>
      </c>
      <c r="M1765">
        <v>0.992371</v>
      </c>
      <c r="N1765">
        <v>0.21763199999999999</v>
      </c>
      <c r="O1765" t="s">
        <v>20</v>
      </c>
      <c r="P1765" t="s">
        <v>21</v>
      </c>
      <c r="Q1765" t="s">
        <v>33</v>
      </c>
    </row>
    <row r="1766" spans="1:17" x14ac:dyDescent="0.2">
      <c r="A1766" t="s">
        <v>23</v>
      </c>
      <c r="B1766">
        <v>31.190218999999999</v>
      </c>
      <c r="C1766">
        <v>1.8428119999999999</v>
      </c>
      <c r="D1766">
        <v>125.973927</v>
      </c>
      <c r="E1766" t="s">
        <v>18</v>
      </c>
      <c r="F1766" t="s">
        <v>18</v>
      </c>
      <c r="G1766">
        <v>2.151335</v>
      </c>
      <c r="H1766">
        <v>3</v>
      </c>
      <c r="I1766" t="s">
        <v>20</v>
      </c>
      <c r="J1766" t="s">
        <v>18</v>
      </c>
      <c r="K1766">
        <v>1.491169</v>
      </c>
      <c r="L1766" t="s">
        <v>19</v>
      </c>
      <c r="M1766">
        <v>0.88354200000000005</v>
      </c>
      <c r="N1766">
        <v>0.52776599999999996</v>
      </c>
      <c r="O1766" t="s">
        <v>20</v>
      </c>
      <c r="P1766" t="s">
        <v>21</v>
      </c>
      <c r="Q1766" t="s">
        <v>33</v>
      </c>
    </row>
    <row r="1767" spans="1:17" x14ac:dyDescent="0.2">
      <c r="A1767" t="s">
        <v>23</v>
      </c>
      <c r="B1767">
        <v>30.575348999999999</v>
      </c>
      <c r="C1767">
        <v>1.8254490000000001</v>
      </c>
      <c r="D1767">
        <v>124.95278</v>
      </c>
      <c r="E1767" t="s">
        <v>18</v>
      </c>
      <c r="F1767" t="s">
        <v>18</v>
      </c>
      <c r="G1767">
        <v>2.01695</v>
      </c>
      <c r="H1767">
        <v>3</v>
      </c>
      <c r="I1767" t="s">
        <v>20</v>
      </c>
      <c r="J1767" t="s">
        <v>19</v>
      </c>
      <c r="K1767">
        <v>1.83412</v>
      </c>
      <c r="L1767" t="s">
        <v>19</v>
      </c>
      <c r="M1767">
        <v>0.79720899999999995</v>
      </c>
      <c r="N1767">
        <v>0.185499</v>
      </c>
      <c r="O1767" t="s">
        <v>20</v>
      </c>
      <c r="P1767" t="s">
        <v>21</v>
      </c>
      <c r="Q1767" t="s">
        <v>33</v>
      </c>
    </row>
    <row r="1768" spans="1:17" x14ac:dyDescent="0.2">
      <c r="A1768" t="s">
        <v>23</v>
      </c>
      <c r="B1768">
        <v>30.702559000000001</v>
      </c>
      <c r="C1768">
        <v>1.86198</v>
      </c>
      <c r="D1768">
        <v>126.418413</v>
      </c>
      <c r="E1768" t="s">
        <v>18</v>
      </c>
      <c r="F1768" t="s">
        <v>18</v>
      </c>
      <c r="G1768">
        <v>2.927187</v>
      </c>
      <c r="H1768">
        <v>3</v>
      </c>
      <c r="I1768" t="s">
        <v>20</v>
      </c>
      <c r="J1768" t="s">
        <v>19</v>
      </c>
      <c r="K1768">
        <v>1.508796</v>
      </c>
      <c r="L1768" t="s">
        <v>19</v>
      </c>
      <c r="M1768">
        <v>0.90277600000000002</v>
      </c>
      <c r="N1768">
        <v>1.0154669999999999</v>
      </c>
      <c r="O1768" t="s">
        <v>20</v>
      </c>
      <c r="P1768" t="s">
        <v>21</v>
      </c>
      <c r="Q1768" t="s">
        <v>33</v>
      </c>
    </row>
    <row r="1769" spans="1:17" x14ac:dyDescent="0.2">
      <c r="A1769" t="s">
        <v>23</v>
      </c>
      <c r="B1769">
        <v>25.057877999999999</v>
      </c>
      <c r="C1769">
        <v>1.763987</v>
      </c>
      <c r="D1769">
        <v>113.069667</v>
      </c>
      <c r="E1769" t="s">
        <v>18</v>
      </c>
      <c r="F1769" t="s">
        <v>18</v>
      </c>
      <c r="G1769">
        <v>1.412566</v>
      </c>
      <c r="H1769">
        <v>3</v>
      </c>
      <c r="I1769" t="s">
        <v>20</v>
      </c>
      <c r="J1769" t="s">
        <v>19</v>
      </c>
      <c r="K1769">
        <v>2.0024950000000001</v>
      </c>
      <c r="L1769" t="s">
        <v>19</v>
      </c>
      <c r="M1769">
        <v>1.592795</v>
      </c>
      <c r="N1769">
        <v>1.867E-3</v>
      </c>
      <c r="O1769" t="s">
        <v>20</v>
      </c>
      <c r="P1769" t="s">
        <v>21</v>
      </c>
      <c r="Q1769" t="s">
        <v>33</v>
      </c>
    </row>
    <row r="1770" spans="1:17" x14ac:dyDescent="0.2">
      <c r="A1770" t="s">
        <v>23</v>
      </c>
      <c r="B1770">
        <v>25.151285999999999</v>
      </c>
      <c r="C1770">
        <v>1.7615190000000001</v>
      </c>
      <c r="D1770">
        <v>112.835195</v>
      </c>
      <c r="E1770" t="s">
        <v>18</v>
      </c>
      <c r="F1770" t="s">
        <v>18</v>
      </c>
      <c r="G1770">
        <v>1.289315</v>
      </c>
      <c r="H1770">
        <v>3</v>
      </c>
      <c r="I1770" t="s">
        <v>20</v>
      </c>
      <c r="J1770" t="s">
        <v>19</v>
      </c>
      <c r="K1770">
        <v>2.0073479999999999</v>
      </c>
      <c r="L1770" t="s">
        <v>19</v>
      </c>
      <c r="M1770">
        <v>1.376217</v>
      </c>
      <c r="N1770">
        <v>1.518E-3</v>
      </c>
      <c r="O1770" t="s">
        <v>20</v>
      </c>
      <c r="P1770" t="s">
        <v>21</v>
      </c>
      <c r="Q1770" t="s">
        <v>33</v>
      </c>
    </row>
    <row r="1771" spans="1:17" x14ac:dyDescent="0.2">
      <c r="A1771" t="s">
        <v>23</v>
      </c>
      <c r="B1771">
        <v>25.137087000000001</v>
      </c>
      <c r="C1771">
        <v>1.7720450000000001</v>
      </c>
      <c r="D1771">
        <v>114.067936</v>
      </c>
      <c r="E1771" t="s">
        <v>18</v>
      </c>
      <c r="F1771" t="s">
        <v>18</v>
      </c>
      <c r="G1771">
        <v>1.624366</v>
      </c>
      <c r="H1771">
        <v>3</v>
      </c>
      <c r="I1771" t="s">
        <v>20</v>
      </c>
      <c r="J1771" t="s">
        <v>19</v>
      </c>
      <c r="K1771">
        <v>2.0817190000000001</v>
      </c>
      <c r="L1771" t="s">
        <v>19</v>
      </c>
      <c r="M1771">
        <v>1.5389219999999999</v>
      </c>
      <c r="N1771">
        <v>0.35686800000000002</v>
      </c>
      <c r="O1771" t="s">
        <v>20</v>
      </c>
      <c r="P1771" t="s">
        <v>21</v>
      </c>
      <c r="Q1771" t="s">
        <v>33</v>
      </c>
    </row>
    <row r="1772" spans="1:17" x14ac:dyDescent="0.2">
      <c r="A1772" t="s">
        <v>23</v>
      </c>
      <c r="B1772">
        <v>25.3292</v>
      </c>
      <c r="C1772">
        <v>1.771817</v>
      </c>
      <c r="D1772">
        <v>114.00483199999999</v>
      </c>
      <c r="E1772" t="s">
        <v>18</v>
      </c>
      <c r="F1772" t="s">
        <v>18</v>
      </c>
      <c r="G1772">
        <v>1.5283310000000001</v>
      </c>
      <c r="H1772">
        <v>3</v>
      </c>
      <c r="I1772" t="s">
        <v>20</v>
      </c>
      <c r="J1772" t="s">
        <v>19</v>
      </c>
      <c r="K1772">
        <v>2.0793529999999998</v>
      </c>
      <c r="L1772" t="s">
        <v>19</v>
      </c>
      <c r="M1772">
        <v>1.522429</v>
      </c>
      <c r="N1772">
        <v>0.228598</v>
      </c>
      <c r="O1772" t="s">
        <v>20</v>
      </c>
      <c r="P1772" t="s">
        <v>21</v>
      </c>
      <c r="Q1772" t="s">
        <v>33</v>
      </c>
    </row>
    <row r="1773" spans="1:17" x14ac:dyDescent="0.2">
      <c r="A1773" t="s">
        <v>23</v>
      </c>
      <c r="B1773">
        <v>25.666679999999999</v>
      </c>
      <c r="C1773">
        <v>1.7985800000000001</v>
      </c>
      <c r="D1773">
        <v>117.93329</v>
      </c>
      <c r="E1773" t="s">
        <v>18</v>
      </c>
      <c r="F1773" t="s">
        <v>18</v>
      </c>
      <c r="G1773">
        <v>2.037042</v>
      </c>
      <c r="H1773">
        <v>3</v>
      </c>
      <c r="I1773" t="s">
        <v>20</v>
      </c>
      <c r="J1773" t="s">
        <v>19</v>
      </c>
      <c r="K1773">
        <v>2.4369900000000002</v>
      </c>
      <c r="L1773" t="s">
        <v>19</v>
      </c>
      <c r="M1773">
        <v>1.016254</v>
      </c>
      <c r="N1773">
        <v>2.0043999999999999E-2</v>
      </c>
      <c r="O1773" t="s">
        <v>20</v>
      </c>
      <c r="P1773" t="s">
        <v>21</v>
      </c>
      <c r="Q1773" t="s">
        <v>33</v>
      </c>
    </row>
    <row r="1774" spans="1:17" x14ac:dyDescent="0.2">
      <c r="A1774" t="s">
        <v>23</v>
      </c>
      <c r="B1774">
        <v>25.01277</v>
      </c>
      <c r="C1774">
        <v>1.788586</v>
      </c>
      <c r="D1774">
        <v>117.849351</v>
      </c>
      <c r="E1774" t="s">
        <v>18</v>
      </c>
      <c r="F1774" t="s">
        <v>18</v>
      </c>
      <c r="G1774">
        <v>2.1911079999999998</v>
      </c>
      <c r="H1774">
        <v>2.9938560000000001</v>
      </c>
      <c r="I1774" t="s">
        <v>20</v>
      </c>
      <c r="J1774" t="s">
        <v>19</v>
      </c>
      <c r="K1774">
        <v>2.4449169999999998</v>
      </c>
      <c r="L1774" t="s">
        <v>19</v>
      </c>
      <c r="M1774">
        <v>1.0558540000000001</v>
      </c>
      <c r="N1774">
        <v>0.145284</v>
      </c>
      <c r="O1774" t="s">
        <v>20</v>
      </c>
      <c r="P1774" t="s">
        <v>21</v>
      </c>
      <c r="Q1774" t="s">
        <v>33</v>
      </c>
    </row>
    <row r="1775" spans="1:17" x14ac:dyDescent="0.2">
      <c r="A1775" t="s">
        <v>23</v>
      </c>
      <c r="B1775">
        <v>25.047944999999999</v>
      </c>
      <c r="C1775">
        <v>1.803207</v>
      </c>
      <c r="D1775">
        <v>118.332966</v>
      </c>
      <c r="E1775" t="s">
        <v>18</v>
      </c>
      <c r="F1775" t="s">
        <v>18</v>
      </c>
      <c r="G1775">
        <v>1.431346</v>
      </c>
      <c r="H1775">
        <v>3</v>
      </c>
      <c r="I1775" t="s">
        <v>20</v>
      </c>
      <c r="J1775" t="s">
        <v>19</v>
      </c>
      <c r="K1775">
        <v>2.0989589999999998</v>
      </c>
      <c r="L1775" t="s">
        <v>19</v>
      </c>
      <c r="M1775">
        <v>1.110868</v>
      </c>
      <c r="N1775">
        <v>0.19695199999999999</v>
      </c>
      <c r="O1775" t="s">
        <v>20</v>
      </c>
      <c r="P1775" t="s">
        <v>21</v>
      </c>
      <c r="Q1775" t="s">
        <v>33</v>
      </c>
    </row>
    <row r="1776" spans="1:17" x14ac:dyDescent="0.2">
      <c r="A1776" t="s">
        <v>23</v>
      </c>
      <c r="B1776">
        <v>25.426456999999999</v>
      </c>
      <c r="C1776">
        <v>1.836592</v>
      </c>
      <c r="D1776">
        <v>118.377601</v>
      </c>
      <c r="E1776" t="s">
        <v>18</v>
      </c>
      <c r="F1776" t="s">
        <v>18</v>
      </c>
      <c r="G1776">
        <v>1.84199</v>
      </c>
      <c r="H1776">
        <v>3</v>
      </c>
      <c r="I1776" t="s">
        <v>20</v>
      </c>
      <c r="J1776" t="s">
        <v>19</v>
      </c>
      <c r="K1776">
        <v>2.503244</v>
      </c>
      <c r="L1776" t="s">
        <v>19</v>
      </c>
      <c r="M1776">
        <v>1.226019</v>
      </c>
      <c r="N1776">
        <v>7.8206999999999999E-2</v>
      </c>
      <c r="O1776" t="s">
        <v>20</v>
      </c>
      <c r="P1776" t="s">
        <v>21</v>
      </c>
      <c r="Q1776" t="s">
        <v>33</v>
      </c>
    </row>
    <row r="1777" spans="1:17" x14ac:dyDescent="0.2">
      <c r="A1777" t="s">
        <v>23</v>
      </c>
      <c r="B1777">
        <v>37.207082</v>
      </c>
      <c r="C1777">
        <v>1.762921</v>
      </c>
      <c r="D1777">
        <v>118.40174</v>
      </c>
      <c r="E1777" t="s">
        <v>18</v>
      </c>
      <c r="F1777" t="s">
        <v>18</v>
      </c>
      <c r="G1777">
        <v>2.1368299999999998</v>
      </c>
      <c r="H1777">
        <v>2.9930840000000001</v>
      </c>
      <c r="I1777" t="s">
        <v>20</v>
      </c>
      <c r="J1777" t="s">
        <v>19</v>
      </c>
      <c r="K1777">
        <v>1.885926</v>
      </c>
      <c r="L1777" t="s">
        <v>19</v>
      </c>
      <c r="M1777">
        <v>0.61529800000000001</v>
      </c>
      <c r="N1777">
        <v>0</v>
      </c>
      <c r="O1777" t="s">
        <v>20</v>
      </c>
      <c r="P1777" t="s">
        <v>28</v>
      </c>
      <c r="Q1777" t="s">
        <v>33</v>
      </c>
    </row>
    <row r="1778" spans="1:17" x14ac:dyDescent="0.2">
      <c r="A1778" t="s">
        <v>23</v>
      </c>
      <c r="B1778">
        <v>38.108939999999997</v>
      </c>
      <c r="C1778">
        <v>1.7528630000000001</v>
      </c>
      <c r="D1778">
        <v>119.201465</v>
      </c>
      <c r="E1778" t="s">
        <v>18</v>
      </c>
      <c r="F1778" t="s">
        <v>18</v>
      </c>
      <c r="G1778">
        <v>2.4993880000000002</v>
      </c>
      <c r="H1778">
        <v>2.9897909999999999</v>
      </c>
      <c r="I1778" t="s">
        <v>20</v>
      </c>
      <c r="J1778" t="s">
        <v>19</v>
      </c>
      <c r="K1778">
        <v>1.9597770000000001</v>
      </c>
      <c r="L1778" t="s">
        <v>19</v>
      </c>
      <c r="M1778">
        <v>0.60809999999999997</v>
      </c>
      <c r="N1778">
        <v>0.64676</v>
      </c>
      <c r="O1778" t="s">
        <v>20</v>
      </c>
      <c r="P1778" t="s">
        <v>28</v>
      </c>
      <c r="Q1778" t="s">
        <v>33</v>
      </c>
    </row>
    <row r="1779" spans="1:17" x14ac:dyDescent="0.2">
      <c r="A1779" t="s">
        <v>23</v>
      </c>
      <c r="B1779">
        <v>38.644441</v>
      </c>
      <c r="C1779">
        <v>1.768235</v>
      </c>
      <c r="D1779">
        <v>117.79226800000001</v>
      </c>
      <c r="E1779" t="s">
        <v>18</v>
      </c>
      <c r="F1779" t="s">
        <v>18</v>
      </c>
      <c r="G1779">
        <v>2.2307419999999998</v>
      </c>
      <c r="H1779">
        <v>2.9203730000000001</v>
      </c>
      <c r="I1779" t="s">
        <v>20</v>
      </c>
      <c r="J1779" t="s">
        <v>19</v>
      </c>
      <c r="K1779">
        <v>1.8311869999999999</v>
      </c>
      <c r="L1779" t="s">
        <v>19</v>
      </c>
      <c r="M1779">
        <v>0.75627699999999998</v>
      </c>
      <c r="N1779">
        <v>0</v>
      </c>
      <c r="O1779" t="s">
        <v>20</v>
      </c>
      <c r="P1779" t="s">
        <v>28</v>
      </c>
      <c r="Q1779" t="s">
        <v>33</v>
      </c>
    </row>
    <row r="1780" spans="1:17" x14ac:dyDescent="0.2">
      <c r="A1780" t="s">
        <v>23</v>
      </c>
      <c r="B1780">
        <v>38.112988999999999</v>
      </c>
      <c r="C1780">
        <v>1.766888</v>
      </c>
      <c r="D1780">
        <v>118.13489800000001</v>
      </c>
      <c r="E1780" t="s">
        <v>18</v>
      </c>
      <c r="F1780" t="s">
        <v>18</v>
      </c>
      <c r="G1780">
        <v>2.2407569999999999</v>
      </c>
      <c r="H1780">
        <v>2.9115679999999999</v>
      </c>
      <c r="I1780" t="s">
        <v>20</v>
      </c>
      <c r="J1780" t="s">
        <v>19</v>
      </c>
      <c r="K1780">
        <v>1.8958759999999999</v>
      </c>
      <c r="L1780" t="s">
        <v>19</v>
      </c>
      <c r="M1780">
        <v>0.82218599999999997</v>
      </c>
      <c r="N1780">
        <v>0</v>
      </c>
      <c r="O1780" t="s">
        <v>20</v>
      </c>
      <c r="P1780" t="s">
        <v>28</v>
      </c>
      <c r="Q1780" t="s">
        <v>33</v>
      </c>
    </row>
    <row r="1781" spans="1:17" x14ac:dyDescent="0.2">
      <c r="A1781" t="s">
        <v>23</v>
      </c>
      <c r="B1781">
        <v>24.825392999999998</v>
      </c>
      <c r="C1781">
        <v>1.6035010000000001</v>
      </c>
      <c r="D1781">
        <v>101.038263</v>
      </c>
      <c r="E1781" t="s">
        <v>18</v>
      </c>
      <c r="F1781" t="s">
        <v>18</v>
      </c>
      <c r="G1781">
        <v>2.9961859999999998</v>
      </c>
      <c r="H1781">
        <v>1.134042</v>
      </c>
      <c r="I1781" t="s">
        <v>20</v>
      </c>
      <c r="J1781" t="s">
        <v>19</v>
      </c>
      <c r="K1781">
        <v>1.2701659999999999</v>
      </c>
      <c r="L1781" t="s">
        <v>19</v>
      </c>
      <c r="M1781">
        <v>7.3065000000000005E-2</v>
      </c>
      <c r="N1781">
        <v>1.5519339999999999</v>
      </c>
      <c r="O1781" t="s">
        <v>19</v>
      </c>
      <c r="P1781" t="s">
        <v>21</v>
      </c>
      <c r="Q1781" t="s">
        <v>33</v>
      </c>
    </row>
    <row r="1782" spans="1:17" x14ac:dyDescent="0.2">
      <c r="A1782" t="s">
        <v>23</v>
      </c>
      <c r="B1782">
        <v>26.624341999999999</v>
      </c>
      <c r="C1782">
        <v>1.6902619999999999</v>
      </c>
      <c r="D1782">
        <v>103.18091800000001</v>
      </c>
      <c r="E1782" t="s">
        <v>18</v>
      </c>
      <c r="F1782" t="s">
        <v>18</v>
      </c>
      <c r="G1782">
        <v>2.6494059999999999</v>
      </c>
      <c r="H1782">
        <v>1.1201019999999999</v>
      </c>
      <c r="I1782" t="s">
        <v>20</v>
      </c>
      <c r="J1782" t="s">
        <v>19</v>
      </c>
      <c r="K1782">
        <v>1.153286</v>
      </c>
      <c r="L1782" t="s">
        <v>19</v>
      </c>
      <c r="M1782">
        <v>0.21690799999999999</v>
      </c>
      <c r="N1782">
        <v>0.61901200000000001</v>
      </c>
      <c r="O1782" t="s">
        <v>19</v>
      </c>
      <c r="P1782" t="s">
        <v>21</v>
      </c>
      <c r="Q1782" t="s">
        <v>33</v>
      </c>
    </row>
    <row r="1783" spans="1:17" x14ac:dyDescent="0.2">
      <c r="A1783" t="s">
        <v>23</v>
      </c>
      <c r="B1783">
        <v>33.722448999999997</v>
      </c>
      <c r="C1783">
        <v>1.7129049999999999</v>
      </c>
      <c r="D1783">
        <v>103.276087</v>
      </c>
      <c r="E1783" t="s">
        <v>18</v>
      </c>
      <c r="F1783" t="s">
        <v>18</v>
      </c>
      <c r="G1783">
        <v>2.525884</v>
      </c>
      <c r="H1783">
        <v>2.0405820000000001</v>
      </c>
      <c r="I1783" t="s">
        <v>20</v>
      </c>
      <c r="J1783" t="s">
        <v>19</v>
      </c>
      <c r="K1783">
        <v>1</v>
      </c>
      <c r="L1783" t="s">
        <v>19</v>
      </c>
      <c r="M1783">
        <v>1.6703600000000001</v>
      </c>
      <c r="N1783">
        <v>2.3959000000000001E-2</v>
      </c>
      <c r="O1783" t="s">
        <v>19</v>
      </c>
      <c r="P1783" t="s">
        <v>21</v>
      </c>
      <c r="Q1783" t="s">
        <v>33</v>
      </c>
    </row>
    <row r="1784" spans="1:17" x14ac:dyDescent="0.2">
      <c r="A1784" t="s">
        <v>23</v>
      </c>
      <c r="B1784">
        <v>32.516469000000001</v>
      </c>
      <c r="C1784">
        <v>1.695735</v>
      </c>
      <c r="D1784">
        <v>102.784864</v>
      </c>
      <c r="E1784" t="s">
        <v>18</v>
      </c>
      <c r="F1784" t="s">
        <v>18</v>
      </c>
      <c r="G1784">
        <v>2.7366470000000001</v>
      </c>
      <c r="H1784">
        <v>2.0156749999999999</v>
      </c>
      <c r="I1784" t="s">
        <v>20</v>
      </c>
      <c r="J1784" t="s">
        <v>19</v>
      </c>
      <c r="K1784">
        <v>1</v>
      </c>
      <c r="L1784" t="s">
        <v>19</v>
      </c>
      <c r="M1784">
        <v>1.9779180000000001</v>
      </c>
      <c r="N1784">
        <v>5.6350999999999998E-2</v>
      </c>
      <c r="O1784" t="s">
        <v>19</v>
      </c>
      <c r="P1784" t="s">
        <v>21</v>
      </c>
      <c r="Q1784" t="s">
        <v>33</v>
      </c>
    </row>
    <row r="1785" spans="1:17" x14ac:dyDescent="0.2">
      <c r="A1785" t="s">
        <v>23</v>
      </c>
      <c r="B1785">
        <v>23.881938000000002</v>
      </c>
      <c r="C1785">
        <v>1.829971</v>
      </c>
      <c r="D1785">
        <v>121.04172</v>
      </c>
      <c r="E1785" t="s">
        <v>18</v>
      </c>
      <c r="F1785" t="s">
        <v>18</v>
      </c>
      <c r="G1785">
        <v>2.6843349999999999</v>
      </c>
      <c r="H1785">
        <v>2.7112379999999998</v>
      </c>
      <c r="I1785" t="s">
        <v>20</v>
      </c>
      <c r="J1785" t="s">
        <v>19</v>
      </c>
      <c r="K1785">
        <v>2.7323309999999998</v>
      </c>
      <c r="L1785" t="s">
        <v>19</v>
      </c>
      <c r="M1785">
        <v>1.1560239999999999</v>
      </c>
      <c r="N1785">
        <v>0.44245600000000002</v>
      </c>
      <c r="O1785" t="s">
        <v>20</v>
      </c>
      <c r="P1785" t="s">
        <v>21</v>
      </c>
      <c r="Q1785" t="s">
        <v>33</v>
      </c>
    </row>
    <row r="1786" spans="1:17" x14ac:dyDescent="0.2">
      <c r="A1786" t="s">
        <v>23</v>
      </c>
      <c r="B1786">
        <v>23.319635000000002</v>
      </c>
      <c r="C1786">
        <v>1.84629</v>
      </c>
      <c r="D1786">
        <v>121.248035</v>
      </c>
      <c r="E1786" t="s">
        <v>18</v>
      </c>
      <c r="F1786" t="s">
        <v>18</v>
      </c>
      <c r="G1786">
        <v>3</v>
      </c>
      <c r="H1786">
        <v>2.6953960000000001</v>
      </c>
      <c r="I1786" t="s">
        <v>20</v>
      </c>
      <c r="J1786" t="s">
        <v>19</v>
      </c>
      <c r="K1786">
        <v>2.628816</v>
      </c>
      <c r="L1786" t="s">
        <v>19</v>
      </c>
      <c r="M1786">
        <v>0.97538400000000003</v>
      </c>
      <c r="N1786">
        <v>0</v>
      </c>
      <c r="O1786" t="s">
        <v>20</v>
      </c>
      <c r="P1786" t="s">
        <v>21</v>
      </c>
      <c r="Q1786" t="s">
        <v>33</v>
      </c>
    </row>
    <row r="1787" spans="1:17" x14ac:dyDescent="0.2">
      <c r="A1787" t="s">
        <v>23</v>
      </c>
      <c r="B1787">
        <v>23.912386999999999</v>
      </c>
      <c r="C1787">
        <v>1.774983</v>
      </c>
      <c r="D1787">
        <v>119.08180400000001</v>
      </c>
      <c r="E1787" t="s">
        <v>18</v>
      </c>
      <c r="F1787" t="s">
        <v>18</v>
      </c>
      <c r="G1787">
        <v>2.425503</v>
      </c>
      <c r="H1787">
        <v>2.9968340000000002</v>
      </c>
      <c r="I1787" t="s">
        <v>20</v>
      </c>
      <c r="J1787" t="s">
        <v>19</v>
      </c>
      <c r="K1787">
        <v>2.0176020000000001</v>
      </c>
      <c r="L1787" t="s">
        <v>19</v>
      </c>
      <c r="M1787">
        <v>1.580263</v>
      </c>
      <c r="N1787">
        <v>0.53176900000000005</v>
      </c>
      <c r="O1787" t="s">
        <v>20</v>
      </c>
      <c r="P1787" t="s">
        <v>21</v>
      </c>
      <c r="Q1787" t="s">
        <v>33</v>
      </c>
    </row>
    <row r="1788" spans="1:17" x14ac:dyDescent="0.2">
      <c r="A1788" t="s">
        <v>23</v>
      </c>
      <c r="B1788">
        <v>24.982997000000001</v>
      </c>
      <c r="C1788">
        <v>1.7896799999999999</v>
      </c>
      <c r="D1788">
        <v>118.436166</v>
      </c>
      <c r="E1788" t="s">
        <v>18</v>
      </c>
      <c r="F1788" t="s">
        <v>18</v>
      </c>
      <c r="G1788">
        <v>1.469384</v>
      </c>
      <c r="H1788">
        <v>2.9964439999999999</v>
      </c>
      <c r="I1788" t="s">
        <v>20</v>
      </c>
      <c r="J1788" t="s">
        <v>19</v>
      </c>
      <c r="K1788">
        <v>2.0677409999999998</v>
      </c>
      <c r="L1788" t="s">
        <v>19</v>
      </c>
      <c r="M1788">
        <v>1.082236</v>
      </c>
      <c r="N1788">
        <v>0.15054400000000001</v>
      </c>
      <c r="O1788" t="s">
        <v>20</v>
      </c>
      <c r="P1788" t="s">
        <v>21</v>
      </c>
      <c r="Q1788" t="s">
        <v>33</v>
      </c>
    </row>
    <row r="1789" spans="1:17" x14ac:dyDescent="0.2">
      <c r="A1789" t="s">
        <v>23</v>
      </c>
      <c r="B1789">
        <v>24.511444999999998</v>
      </c>
      <c r="C1789">
        <v>1.8526640000000001</v>
      </c>
      <c r="D1789">
        <v>121.31025700000001</v>
      </c>
      <c r="E1789" t="s">
        <v>18</v>
      </c>
      <c r="F1789" t="s">
        <v>18</v>
      </c>
      <c r="G1789">
        <v>2.906269</v>
      </c>
      <c r="H1789">
        <v>2.894142</v>
      </c>
      <c r="I1789" t="s">
        <v>20</v>
      </c>
      <c r="J1789" t="s">
        <v>19</v>
      </c>
      <c r="K1789">
        <v>2.435489</v>
      </c>
      <c r="L1789" t="s">
        <v>19</v>
      </c>
      <c r="M1789">
        <v>1.2667390000000001</v>
      </c>
      <c r="N1789">
        <v>0.36215999999999998</v>
      </c>
      <c r="O1789" t="s">
        <v>20</v>
      </c>
      <c r="P1789" t="s">
        <v>21</v>
      </c>
      <c r="Q1789" t="s">
        <v>33</v>
      </c>
    </row>
    <row r="1790" spans="1:17" x14ac:dyDescent="0.2">
      <c r="A1790" t="s">
        <v>23</v>
      </c>
      <c r="B1790">
        <v>24.05331</v>
      </c>
      <c r="C1790">
        <v>1.8725609999999999</v>
      </c>
      <c r="D1790">
        <v>121.47107699999999</v>
      </c>
      <c r="E1790" t="s">
        <v>18</v>
      </c>
      <c r="F1790" t="s">
        <v>18</v>
      </c>
      <c r="G1790">
        <v>2.8080270000000001</v>
      </c>
      <c r="H1790">
        <v>2.6830609999999999</v>
      </c>
      <c r="I1790" t="s">
        <v>20</v>
      </c>
      <c r="J1790" t="s">
        <v>19</v>
      </c>
      <c r="K1790">
        <v>2.6404830000000001</v>
      </c>
      <c r="L1790" t="s">
        <v>19</v>
      </c>
      <c r="M1790">
        <v>1.2801910000000001</v>
      </c>
      <c r="N1790">
        <v>0</v>
      </c>
      <c r="O1790" t="s">
        <v>20</v>
      </c>
      <c r="P1790" t="s">
        <v>21</v>
      </c>
      <c r="Q1790" t="s">
        <v>33</v>
      </c>
    </row>
    <row r="1791" spans="1:17" x14ac:dyDescent="0.2">
      <c r="A1791" t="s">
        <v>23</v>
      </c>
      <c r="B1791">
        <v>22.906886</v>
      </c>
      <c r="C1791">
        <v>1.81955</v>
      </c>
      <c r="D1791">
        <v>120.77543900000001</v>
      </c>
      <c r="E1791" t="s">
        <v>18</v>
      </c>
      <c r="F1791" t="s">
        <v>18</v>
      </c>
      <c r="G1791">
        <v>2.6367189999999998</v>
      </c>
      <c r="H1791">
        <v>2.8063410000000002</v>
      </c>
      <c r="I1791" t="s">
        <v>20</v>
      </c>
      <c r="J1791" t="s">
        <v>19</v>
      </c>
      <c r="K1791">
        <v>1.9675910000000001</v>
      </c>
      <c r="L1791" t="s">
        <v>19</v>
      </c>
      <c r="M1791">
        <v>1.5253840000000001</v>
      </c>
      <c r="N1791">
        <v>0.31559500000000001</v>
      </c>
      <c r="O1791" t="s">
        <v>20</v>
      </c>
      <c r="P1791" t="s">
        <v>21</v>
      </c>
      <c r="Q1791" t="s">
        <v>33</v>
      </c>
    </row>
    <row r="1792" spans="1:17" x14ac:dyDescent="0.2">
      <c r="A1792" t="s">
        <v>23</v>
      </c>
      <c r="B1792">
        <v>23.147644</v>
      </c>
      <c r="C1792">
        <v>1.8155140000000001</v>
      </c>
      <c r="D1792">
        <v>120.337664</v>
      </c>
      <c r="E1792" t="s">
        <v>18</v>
      </c>
      <c r="F1792" t="s">
        <v>18</v>
      </c>
      <c r="G1792">
        <v>2.9967169999999999</v>
      </c>
      <c r="H1792">
        <v>2.791366</v>
      </c>
      <c r="I1792" t="s">
        <v>20</v>
      </c>
      <c r="J1792" t="s">
        <v>19</v>
      </c>
      <c r="K1792">
        <v>2.626309</v>
      </c>
      <c r="L1792" t="s">
        <v>19</v>
      </c>
      <c r="M1792">
        <v>1.194898</v>
      </c>
      <c r="N1792">
        <v>3.4896999999999997E-2</v>
      </c>
      <c r="O1792" t="s">
        <v>20</v>
      </c>
      <c r="P1792" t="s">
        <v>21</v>
      </c>
      <c r="Q1792" t="s">
        <v>33</v>
      </c>
    </row>
    <row r="1793" spans="1:17" x14ac:dyDescent="0.2">
      <c r="A1793" t="s">
        <v>23</v>
      </c>
      <c r="B1793">
        <v>24.001888999999998</v>
      </c>
      <c r="C1793">
        <v>1.6140749999999999</v>
      </c>
      <c r="D1793">
        <v>100.245302</v>
      </c>
      <c r="E1793" t="s">
        <v>18</v>
      </c>
      <c r="F1793" t="s">
        <v>18</v>
      </c>
      <c r="G1793">
        <v>2.8804829999999999</v>
      </c>
      <c r="H1793">
        <v>1.7032989999999999</v>
      </c>
      <c r="I1793" t="s">
        <v>20</v>
      </c>
      <c r="J1793" t="s">
        <v>19</v>
      </c>
      <c r="K1793">
        <v>1.006378</v>
      </c>
      <c r="L1793" t="s">
        <v>19</v>
      </c>
      <c r="M1793">
        <v>1.076729</v>
      </c>
      <c r="N1793">
        <v>1.0580069999999999</v>
      </c>
      <c r="O1793" t="s">
        <v>19</v>
      </c>
      <c r="P1793" t="s">
        <v>21</v>
      </c>
      <c r="Q1793" t="s">
        <v>33</v>
      </c>
    </row>
    <row r="1794" spans="1:17" x14ac:dyDescent="0.2">
      <c r="A1794" t="s">
        <v>23</v>
      </c>
      <c r="B1794">
        <v>24.002403999999999</v>
      </c>
      <c r="C1794">
        <v>1.609418</v>
      </c>
      <c r="D1794">
        <v>100.078367</v>
      </c>
      <c r="E1794" t="s">
        <v>18</v>
      </c>
      <c r="F1794" t="s">
        <v>18</v>
      </c>
      <c r="G1794">
        <v>2.8856929999999998</v>
      </c>
      <c r="H1794">
        <v>1.6851339999999999</v>
      </c>
      <c r="I1794" t="s">
        <v>20</v>
      </c>
      <c r="J1794" t="s">
        <v>19</v>
      </c>
      <c r="K1794">
        <v>1.011849</v>
      </c>
      <c r="L1794" t="s">
        <v>19</v>
      </c>
      <c r="M1794">
        <v>0.50310500000000002</v>
      </c>
      <c r="N1794">
        <v>1.217929</v>
      </c>
      <c r="O1794" t="s">
        <v>19</v>
      </c>
      <c r="P1794" t="s">
        <v>21</v>
      </c>
      <c r="Q1794" t="s">
        <v>33</v>
      </c>
    </row>
    <row r="1795" spans="1:17" x14ac:dyDescent="0.2">
      <c r="A1795" t="s">
        <v>23</v>
      </c>
      <c r="B1795">
        <v>30.715160000000001</v>
      </c>
      <c r="C1795">
        <v>1.6501889999999999</v>
      </c>
      <c r="D1795">
        <v>101.141277</v>
      </c>
      <c r="E1795" t="s">
        <v>18</v>
      </c>
      <c r="F1795" t="s">
        <v>18</v>
      </c>
      <c r="G1795">
        <v>2.9134519999999999</v>
      </c>
      <c r="H1795">
        <v>2.2697989999999999</v>
      </c>
      <c r="I1795" t="s">
        <v>20</v>
      </c>
      <c r="J1795" t="s">
        <v>19</v>
      </c>
      <c r="K1795">
        <v>1</v>
      </c>
      <c r="L1795" t="s">
        <v>19</v>
      </c>
      <c r="M1795">
        <v>1.889937</v>
      </c>
      <c r="N1795">
        <v>0.37881799999999999</v>
      </c>
      <c r="O1795" t="s">
        <v>19</v>
      </c>
      <c r="P1795" t="s">
        <v>21</v>
      </c>
      <c r="Q1795" t="s">
        <v>33</v>
      </c>
    </row>
    <row r="1796" spans="1:17" x14ac:dyDescent="0.2">
      <c r="A1796" t="s">
        <v>23</v>
      </c>
      <c r="B1796">
        <v>30.642430000000001</v>
      </c>
      <c r="C1796">
        <v>1.6538759999999999</v>
      </c>
      <c r="D1796">
        <v>102.583895</v>
      </c>
      <c r="E1796" t="s">
        <v>18</v>
      </c>
      <c r="F1796" t="s">
        <v>18</v>
      </c>
      <c r="G1796">
        <v>2.9195259999999998</v>
      </c>
      <c r="H1796">
        <v>2.142328</v>
      </c>
      <c r="I1796" t="s">
        <v>20</v>
      </c>
      <c r="J1796" t="s">
        <v>19</v>
      </c>
      <c r="K1796">
        <v>1.1757139999999999</v>
      </c>
      <c r="L1796" t="s">
        <v>19</v>
      </c>
      <c r="M1796">
        <v>0.95855500000000005</v>
      </c>
      <c r="N1796">
        <v>0.63628899999999999</v>
      </c>
      <c r="O1796" t="s">
        <v>19</v>
      </c>
      <c r="P1796" t="s">
        <v>21</v>
      </c>
      <c r="Q1796" t="s">
        <v>33</v>
      </c>
    </row>
    <row r="1797" spans="1:17" x14ac:dyDescent="0.2">
      <c r="A1797" t="s">
        <v>23</v>
      </c>
      <c r="B1797">
        <v>20.068432000000001</v>
      </c>
      <c r="C1797">
        <v>1.657132</v>
      </c>
      <c r="D1797">
        <v>105.58049099999999</v>
      </c>
      <c r="E1797" t="s">
        <v>18</v>
      </c>
      <c r="F1797" t="s">
        <v>18</v>
      </c>
      <c r="G1797">
        <v>2.7241209999999998</v>
      </c>
      <c r="H1797">
        <v>1.437959</v>
      </c>
      <c r="I1797" t="s">
        <v>20</v>
      </c>
      <c r="J1797" t="s">
        <v>19</v>
      </c>
      <c r="K1797">
        <v>1.5904180000000001</v>
      </c>
      <c r="L1797" t="s">
        <v>19</v>
      </c>
      <c r="M1797">
        <v>2.9603000000000001E-2</v>
      </c>
      <c r="N1797">
        <v>1.1221179999999999</v>
      </c>
      <c r="O1797" t="s">
        <v>19</v>
      </c>
      <c r="P1797" t="s">
        <v>21</v>
      </c>
      <c r="Q1797" t="s">
        <v>33</v>
      </c>
    </row>
    <row r="1798" spans="1:17" x14ac:dyDescent="0.2">
      <c r="A1798" t="s">
        <v>23</v>
      </c>
      <c r="B1798">
        <v>20.914366000000001</v>
      </c>
      <c r="C1798">
        <v>1.6447510000000001</v>
      </c>
      <c r="D1798">
        <v>101.067988</v>
      </c>
      <c r="E1798" t="s">
        <v>18</v>
      </c>
      <c r="F1798" t="s">
        <v>18</v>
      </c>
      <c r="G1798">
        <v>2.8019919999999998</v>
      </c>
      <c r="H1798">
        <v>1.3431169999999999</v>
      </c>
      <c r="I1798" t="s">
        <v>20</v>
      </c>
      <c r="J1798" t="s">
        <v>19</v>
      </c>
      <c r="K1798">
        <v>1.1289419999999999</v>
      </c>
      <c r="L1798" t="s">
        <v>19</v>
      </c>
      <c r="M1798">
        <v>0.233987</v>
      </c>
      <c r="N1798">
        <v>0.81998000000000004</v>
      </c>
      <c r="O1798" t="s">
        <v>19</v>
      </c>
      <c r="P1798" t="s">
        <v>21</v>
      </c>
      <c r="Q1798" t="s">
        <v>33</v>
      </c>
    </row>
    <row r="1799" spans="1:17" x14ac:dyDescent="0.2">
      <c r="A1799" t="s">
        <v>23</v>
      </c>
      <c r="B1799">
        <v>25.512048</v>
      </c>
      <c r="C1799">
        <v>1.6607609999999999</v>
      </c>
      <c r="D1799">
        <v>104.32146299999999</v>
      </c>
      <c r="E1799" t="s">
        <v>18</v>
      </c>
      <c r="F1799" t="s">
        <v>18</v>
      </c>
      <c r="G1799">
        <v>2.7489710000000001</v>
      </c>
      <c r="H1799">
        <v>1.2134309999999999</v>
      </c>
      <c r="I1799" t="s">
        <v>20</v>
      </c>
      <c r="J1799" t="s">
        <v>19</v>
      </c>
      <c r="K1799">
        <v>1.4488749999999999</v>
      </c>
      <c r="L1799" t="s">
        <v>19</v>
      </c>
      <c r="M1799">
        <v>0.128548</v>
      </c>
      <c r="N1799">
        <v>1.2390380000000001</v>
      </c>
      <c r="O1799" t="s">
        <v>19</v>
      </c>
      <c r="P1799" t="s">
        <v>21</v>
      </c>
      <c r="Q1799" t="s">
        <v>33</v>
      </c>
    </row>
    <row r="1800" spans="1:17" x14ac:dyDescent="0.2">
      <c r="A1800" t="s">
        <v>23</v>
      </c>
      <c r="B1800">
        <v>26.844812000000001</v>
      </c>
      <c r="C1800">
        <v>1.6915100000000001</v>
      </c>
      <c r="D1800">
        <v>102.59518</v>
      </c>
      <c r="E1800" t="s">
        <v>18</v>
      </c>
      <c r="F1800" t="s">
        <v>18</v>
      </c>
      <c r="G1800">
        <v>2.6803750000000002</v>
      </c>
      <c r="H1800">
        <v>1.089048</v>
      </c>
      <c r="I1800" t="s">
        <v>20</v>
      </c>
      <c r="J1800" t="s">
        <v>19</v>
      </c>
      <c r="K1800">
        <v>1.3662380000000001</v>
      </c>
      <c r="L1800" t="s">
        <v>19</v>
      </c>
      <c r="M1800">
        <v>0.18132400000000001</v>
      </c>
      <c r="N1800">
        <v>1.041677</v>
      </c>
      <c r="O1800" t="s">
        <v>19</v>
      </c>
      <c r="P1800" t="s">
        <v>21</v>
      </c>
      <c r="Q1800" t="s">
        <v>33</v>
      </c>
    </row>
    <row r="1801" spans="1:17" x14ac:dyDescent="0.2">
      <c r="A1801" t="s">
        <v>17</v>
      </c>
      <c r="B1801">
        <v>25.919241</v>
      </c>
      <c r="C1801">
        <v>1.611462</v>
      </c>
      <c r="D1801">
        <v>102.09322299999999</v>
      </c>
      <c r="E1801" t="s">
        <v>18</v>
      </c>
      <c r="F1801" t="s">
        <v>18</v>
      </c>
      <c r="G1801">
        <v>3</v>
      </c>
      <c r="H1801">
        <v>3</v>
      </c>
      <c r="I1801" t="s">
        <v>20</v>
      </c>
      <c r="J1801" t="s">
        <v>19</v>
      </c>
      <c r="K1801">
        <v>1.023328</v>
      </c>
      <c r="L1801" t="s">
        <v>19</v>
      </c>
      <c r="M1801">
        <v>5.0930000000000003E-2</v>
      </c>
      <c r="N1801">
        <v>1</v>
      </c>
      <c r="O1801" t="s">
        <v>20</v>
      </c>
      <c r="P1801" t="s">
        <v>21</v>
      </c>
      <c r="Q1801" t="s">
        <v>35</v>
      </c>
    </row>
    <row r="1802" spans="1:17" x14ac:dyDescent="0.2">
      <c r="A1802" t="s">
        <v>17</v>
      </c>
      <c r="B1802">
        <v>26</v>
      </c>
      <c r="C1802">
        <v>1.5847819999999999</v>
      </c>
      <c r="D1802">
        <v>105.05559700000001</v>
      </c>
      <c r="E1802" t="s">
        <v>18</v>
      </c>
      <c r="F1802" t="s">
        <v>18</v>
      </c>
      <c r="G1802">
        <v>3</v>
      </c>
      <c r="H1802">
        <v>3</v>
      </c>
      <c r="I1802" t="s">
        <v>20</v>
      </c>
      <c r="J1802" t="s">
        <v>19</v>
      </c>
      <c r="K1802">
        <v>1.197667</v>
      </c>
      <c r="L1802" t="s">
        <v>19</v>
      </c>
      <c r="M1802">
        <v>0</v>
      </c>
      <c r="N1802">
        <v>0.53476900000000005</v>
      </c>
      <c r="O1802" t="s">
        <v>20</v>
      </c>
      <c r="P1802" t="s">
        <v>21</v>
      </c>
      <c r="Q1802" t="s">
        <v>35</v>
      </c>
    </row>
    <row r="1803" spans="1:17" x14ac:dyDescent="0.2">
      <c r="A1803" t="s">
        <v>17</v>
      </c>
      <c r="B1803">
        <v>18.233540999999999</v>
      </c>
      <c r="C1803">
        <v>1.792378</v>
      </c>
      <c r="D1803">
        <v>137.859737</v>
      </c>
      <c r="E1803" t="s">
        <v>18</v>
      </c>
      <c r="F1803" t="s">
        <v>18</v>
      </c>
      <c r="G1803">
        <v>3</v>
      </c>
      <c r="H1803">
        <v>3</v>
      </c>
      <c r="I1803" t="s">
        <v>20</v>
      </c>
      <c r="J1803" t="s">
        <v>19</v>
      </c>
      <c r="K1803">
        <v>2.8388930000000001</v>
      </c>
      <c r="L1803" t="s">
        <v>19</v>
      </c>
      <c r="M1803">
        <v>1.9903169999999999</v>
      </c>
      <c r="N1803">
        <v>0.73586799999999997</v>
      </c>
      <c r="O1803" t="s">
        <v>20</v>
      </c>
      <c r="P1803" t="s">
        <v>21</v>
      </c>
      <c r="Q1803" t="s">
        <v>35</v>
      </c>
    </row>
    <row r="1804" spans="1:17" x14ac:dyDescent="0.2">
      <c r="A1804" t="s">
        <v>17</v>
      </c>
      <c r="B1804">
        <v>18.147704999999998</v>
      </c>
      <c r="C1804">
        <v>1.802257</v>
      </c>
      <c r="D1804">
        <v>149.93584799999999</v>
      </c>
      <c r="E1804" t="s">
        <v>18</v>
      </c>
      <c r="F1804" t="s">
        <v>18</v>
      </c>
      <c r="G1804">
        <v>3</v>
      </c>
      <c r="H1804">
        <v>3</v>
      </c>
      <c r="I1804" t="s">
        <v>20</v>
      </c>
      <c r="J1804" t="s">
        <v>19</v>
      </c>
      <c r="K1804">
        <v>2.1818110000000002</v>
      </c>
      <c r="L1804" t="s">
        <v>19</v>
      </c>
      <c r="M1804">
        <v>1.995582</v>
      </c>
      <c r="N1804">
        <v>0.93966499999999997</v>
      </c>
      <c r="O1804" t="s">
        <v>20</v>
      </c>
      <c r="P1804" t="s">
        <v>21</v>
      </c>
      <c r="Q1804" t="s">
        <v>35</v>
      </c>
    </row>
    <row r="1805" spans="1:17" x14ac:dyDescent="0.2">
      <c r="A1805" t="s">
        <v>17</v>
      </c>
      <c r="B1805">
        <v>26</v>
      </c>
      <c r="C1805">
        <v>1.65632</v>
      </c>
      <c r="D1805">
        <v>111.93301</v>
      </c>
      <c r="E1805" t="s">
        <v>18</v>
      </c>
      <c r="F1805" t="s">
        <v>18</v>
      </c>
      <c r="G1805">
        <v>3</v>
      </c>
      <c r="H1805">
        <v>3</v>
      </c>
      <c r="I1805" t="s">
        <v>20</v>
      </c>
      <c r="J1805" t="s">
        <v>19</v>
      </c>
      <c r="K1805">
        <v>2.7740140000000002</v>
      </c>
      <c r="L1805" t="s">
        <v>19</v>
      </c>
      <c r="M1805">
        <v>0</v>
      </c>
      <c r="N1805">
        <v>0.13841800000000001</v>
      </c>
      <c r="O1805" t="s">
        <v>20</v>
      </c>
      <c r="P1805" t="s">
        <v>21</v>
      </c>
      <c r="Q1805" t="s">
        <v>35</v>
      </c>
    </row>
    <row r="1806" spans="1:17" x14ac:dyDescent="0.2">
      <c r="A1806" t="s">
        <v>17</v>
      </c>
      <c r="B1806">
        <v>26</v>
      </c>
      <c r="C1806">
        <v>1.600762</v>
      </c>
      <c r="D1806">
        <v>105.44826399999999</v>
      </c>
      <c r="E1806" t="s">
        <v>18</v>
      </c>
      <c r="F1806" t="s">
        <v>18</v>
      </c>
      <c r="G1806">
        <v>3</v>
      </c>
      <c r="H1806">
        <v>3</v>
      </c>
      <c r="I1806" t="s">
        <v>20</v>
      </c>
      <c r="J1806" t="s">
        <v>19</v>
      </c>
      <c r="K1806">
        <v>1.0313540000000001</v>
      </c>
      <c r="L1806" t="s">
        <v>19</v>
      </c>
      <c r="M1806">
        <v>0</v>
      </c>
      <c r="N1806">
        <v>0.37464999999999998</v>
      </c>
      <c r="O1806" t="s">
        <v>20</v>
      </c>
      <c r="P1806" t="s">
        <v>21</v>
      </c>
      <c r="Q1806" t="s">
        <v>35</v>
      </c>
    </row>
    <row r="1807" spans="1:17" x14ac:dyDescent="0.2">
      <c r="A1807" t="s">
        <v>17</v>
      </c>
      <c r="B1807">
        <v>25.902283000000001</v>
      </c>
      <c r="C1807">
        <v>1.678658</v>
      </c>
      <c r="D1807">
        <v>104.95483400000001</v>
      </c>
      <c r="E1807" t="s">
        <v>18</v>
      </c>
      <c r="F1807" t="s">
        <v>18</v>
      </c>
      <c r="G1807">
        <v>3</v>
      </c>
      <c r="H1807">
        <v>3</v>
      </c>
      <c r="I1807" t="s">
        <v>20</v>
      </c>
      <c r="J1807" t="s">
        <v>19</v>
      </c>
      <c r="K1807">
        <v>1.6661600000000001</v>
      </c>
      <c r="L1807" t="s">
        <v>19</v>
      </c>
      <c r="M1807">
        <v>0.21035100000000001</v>
      </c>
      <c r="N1807">
        <v>0.73421000000000003</v>
      </c>
      <c r="O1807" t="s">
        <v>20</v>
      </c>
      <c r="P1807" t="s">
        <v>21</v>
      </c>
      <c r="Q1807" t="s">
        <v>35</v>
      </c>
    </row>
    <row r="1808" spans="1:17" x14ac:dyDescent="0.2">
      <c r="A1808" t="s">
        <v>17</v>
      </c>
      <c r="B1808">
        <v>25.540865</v>
      </c>
      <c r="C1808">
        <v>1.6782010000000001</v>
      </c>
      <c r="D1808">
        <v>109.90047199999999</v>
      </c>
      <c r="E1808" t="s">
        <v>18</v>
      </c>
      <c r="F1808" t="s">
        <v>18</v>
      </c>
      <c r="G1808">
        <v>3</v>
      </c>
      <c r="H1808">
        <v>3</v>
      </c>
      <c r="I1808" t="s">
        <v>20</v>
      </c>
      <c r="J1808" t="s">
        <v>19</v>
      </c>
      <c r="K1808">
        <v>1.4716640000000001</v>
      </c>
      <c r="L1808" t="s">
        <v>19</v>
      </c>
      <c r="M1808">
        <v>0.143955</v>
      </c>
      <c r="N1808">
        <v>0.44453199999999998</v>
      </c>
      <c r="O1808" t="s">
        <v>20</v>
      </c>
      <c r="P1808" t="s">
        <v>21</v>
      </c>
      <c r="Q1808" t="s">
        <v>35</v>
      </c>
    </row>
    <row r="1809" spans="1:17" x14ac:dyDescent="0.2">
      <c r="A1809" t="s">
        <v>17</v>
      </c>
      <c r="B1809">
        <v>22.392510000000001</v>
      </c>
      <c r="C1809">
        <v>1.6556299999999999</v>
      </c>
      <c r="D1809">
        <v>121.20517100000001</v>
      </c>
      <c r="E1809" t="s">
        <v>18</v>
      </c>
      <c r="F1809" t="s">
        <v>18</v>
      </c>
      <c r="G1809">
        <v>3</v>
      </c>
      <c r="H1809">
        <v>3</v>
      </c>
      <c r="I1809" t="s">
        <v>20</v>
      </c>
      <c r="J1809" t="s">
        <v>19</v>
      </c>
      <c r="K1809">
        <v>1.347559</v>
      </c>
      <c r="L1809" t="s">
        <v>19</v>
      </c>
      <c r="M1809">
        <v>0.462951</v>
      </c>
      <c r="N1809">
        <v>0.31794</v>
      </c>
      <c r="O1809" t="s">
        <v>20</v>
      </c>
      <c r="P1809" t="s">
        <v>21</v>
      </c>
      <c r="Q1809" t="s">
        <v>35</v>
      </c>
    </row>
    <row r="1810" spans="1:17" x14ac:dyDescent="0.2">
      <c r="A1810" t="s">
        <v>17</v>
      </c>
      <c r="B1810">
        <v>21.305402000000001</v>
      </c>
      <c r="C1810">
        <v>1.694952</v>
      </c>
      <c r="D1810">
        <v>133.76472999999999</v>
      </c>
      <c r="E1810" t="s">
        <v>18</v>
      </c>
      <c r="F1810" t="s">
        <v>18</v>
      </c>
      <c r="G1810">
        <v>3</v>
      </c>
      <c r="H1810">
        <v>3</v>
      </c>
      <c r="I1810" t="s">
        <v>20</v>
      </c>
      <c r="J1810" t="s">
        <v>19</v>
      </c>
      <c r="K1810">
        <v>1.338241</v>
      </c>
      <c r="L1810" t="s">
        <v>19</v>
      </c>
      <c r="M1810">
        <v>1.92628</v>
      </c>
      <c r="N1810">
        <v>0.88613500000000001</v>
      </c>
      <c r="O1810" t="s">
        <v>20</v>
      </c>
      <c r="P1810" t="s">
        <v>21</v>
      </c>
      <c r="Q1810" t="s">
        <v>35</v>
      </c>
    </row>
    <row r="1811" spans="1:17" x14ac:dyDescent="0.2">
      <c r="A1811" t="s">
        <v>17</v>
      </c>
      <c r="B1811">
        <v>26</v>
      </c>
      <c r="C1811">
        <v>1.622771</v>
      </c>
      <c r="D1811">
        <v>109.95971400000001</v>
      </c>
      <c r="E1811" t="s">
        <v>18</v>
      </c>
      <c r="F1811" t="s">
        <v>18</v>
      </c>
      <c r="G1811">
        <v>3</v>
      </c>
      <c r="H1811">
        <v>3</v>
      </c>
      <c r="I1811" t="s">
        <v>20</v>
      </c>
      <c r="J1811" t="s">
        <v>19</v>
      </c>
      <c r="K1811">
        <v>2.6791369999999999</v>
      </c>
      <c r="L1811" t="s">
        <v>19</v>
      </c>
      <c r="M1811">
        <v>0</v>
      </c>
      <c r="N1811">
        <v>0.479348</v>
      </c>
      <c r="O1811" t="s">
        <v>20</v>
      </c>
      <c r="P1811" t="s">
        <v>21</v>
      </c>
      <c r="Q1811" t="s">
        <v>35</v>
      </c>
    </row>
    <row r="1812" spans="1:17" x14ac:dyDescent="0.2">
      <c r="A1812" t="s">
        <v>17</v>
      </c>
      <c r="B1812">
        <v>26</v>
      </c>
      <c r="C1812">
        <v>1.5838890000000001</v>
      </c>
      <c r="D1812">
        <v>110.545378</v>
      </c>
      <c r="E1812" t="s">
        <v>18</v>
      </c>
      <c r="F1812" t="s">
        <v>18</v>
      </c>
      <c r="G1812">
        <v>3</v>
      </c>
      <c r="H1812">
        <v>3</v>
      </c>
      <c r="I1812" t="s">
        <v>20</v>
      </c>
      <c r="J1812" t="s">
        <v>19</v>
      </c>
      <c r="K1812">
        <v>2.5782919999999998</v>
      </c>
      <c r="L1812" t="s">
        <v>19</v>
      </c>
      <c r="M1812">
        <v>0</v>
      </c>
      <c r="N1812">
        <v>0.492394</v>
      </c>
      <c r="O1812" t="s">
        <v>20</v>
      </c>
      <c r="P1812" t="s">
        <v>21</v>
      </c>
      <c r="Q1812" t="s">
        <v>35</v>
      </c>
    </row>
    <row r="1813" spans="1:17" x14ac:dyDescent="0.2">
      <c r="A1813" t="s">
        <v>17</v>
      </c>
      <c r="B1813">
        <v>21.334585000000001</v>
      </c>
      <c r="C1813">
        <v>1.7290449999999999</v>
      </c>
      <c r="D1813">
        <v>131.529267</v>
      </c>
      <c r="E1813" t="s">
        <v>18</v>
      </c>
      <c r="F1813" t="s">
        <v>18</v>
      </c>
      <c r="G1813">
        <v>3</v>
      </c>
      <c r="H1813">
        <v>3</v>
      </c>
      <c r="I1813" t="s">
        <v>20</v>
      </c>
      <c r="J1813" t="s">
        <v>19</v>
      </c>
      <c r="K1813">
        <v>1.3021929999999999</v>
      </c>
      <c r="L1813" t="s">
        <v>19</v>
      </c>
      <c r="M1813">
        <v>1.742453</v>
      </c>
      <c r="N1813">
        <v>0.94232000000000005</v>
      </c>
      <c r="O1813" t="s">
        <v>20</v>
      </c>
      <c r="P1813" t="s">
        <v>21</v>
      </c>
      <c r="Q1813" t="s">
        <v>35</v>
      </c>
    </row>
    <row r="1814" spans="1:17" x14ac:dyDescent="0.2">
      <c r="A1814" t="s">
        <v>17</v>
      </c>
      <c r="B1814">
        <v>22.978655</v>
      </c>
      <c r="C1814">
        <v>1.664622</v>
      </c>
      <c r="D1814">
        <v>114.465425</v>
      </c>
      <c r="E1814" t="s">
        <v>18</v>
      </c>
      <c r="F1814" t="s">
        <v>18</v>
      </c>
      <c r="G1814">
        <v>3</v>
      </c>
      <c r="H1814">
        <v>3</v>
      </c>
      <c r="I1814" t="s">
        <v>20</v>
      </c>
      <c r="J1814" t="s">
        <v>19</v>
      </c>
      <c r="K1814">
        <v>2.408442</v>
      </c>
      <c r="L1814" t="s">
        <v>19</v>
      </c>
      <c r="M1814">
        <v>0.19405600000000001</v>
      </c>
      <c r="N1814">
        <v>0.80314099999999999</v>
      </c>
      <c r="O1814" t="s">
        <v>20</v>
      </c>
      <c r="P1814" t="s">
        <v>21</v>
      </c>
      <c r="Q1814" t="s">
        <v>35</v>
      </c>
    </row>
    <row r="1815" spans="1:17" x14ac:dyDescent="0.2">
      <c r="A1815" t="s">
        <v>17</v>
      </c>
      <c r="B1815">
        <v>21.012450000000001</v>
      </c>
      <c r="C1815">
        <v>1.747773</v>
      </c>
      <c r="D1815">
        <v>127.902844</v>
      </c>
      <c r="E1815" t="s">
        <v>18</v>
      </c>
      <c r="F1815" t="s">
        <v>18</v>
      </c>
      <c r="G1815">
        <v>3</v>
      </c>
      <c r="H1815">
        <v>3</v>
      </c>
      <c r="I1815" t="s">
        <v>20</v>
      </c>
      <c r="J1815" t="s">
        <v>19</v>
      </c>
      <c r="K1815">
        <v>1.7052179999999999</v>
      </c>
      <c r="L1815" t="s">
        <v>19</v>
      </c>
      <c r="M1815">
        <v>0.39093699999999998</v>
      </c>
      <c r="N1815">
        <v>0.99864600000000003</v>
      </c>
      <c r="O1815" t="s">
        <v>20</v>
      </c>
      <c r="P1815" t="s">
        <v>21</v>
      </c>
      <c r="Q1815" t="s">
        <v>35</v>
      </c>
    </row>
    <row r="1816" spans="1:17" x14ac:dyDescent="0.2">
      <c r="A1816" t="s">
        <v>17</v>
      </c>
      <c r="B1816">
        <v>21.056059000000001</v>
      </c>
      <c r="C1816">
        <v>1.730113</v>
      </c>
      <c r="D1816">
        <v>152.09436199999999</v>
      </c>
      <c r="E1816" t="s">
        <v>18</v>
      </c>
      <c r="F1816" t="s">
        <v>18</v>
      </c>
      <c r="G1816">
        <v>3</v>
      </c>
      <c r="H1816">
        <v>3</v>
      </c>
      <c r="I1816" t="s">
        <v>20</v>
      </c>
      <c r="J1816" t="s">
        <v>19</v>
      </c>
      <c r="K1816">
        <v>2.3749579999999999</v>
      </c>
      <c r="L1816" t="s">
        <v>19</v>
      </c>
      <c r="M1816">
        <v>0.75011099999999997</v>
      </c>
      <c r="N1816">
        <v>0.671458</v>
      </c>
      <c r="O1816" t="s">
        <v>20</v>
      </c>
      <c r="P1816" t="s">
        <v>21</v>
      </c>
      <c r="Q1816" t="s">
        <v>35</v>
      </c>
    </row>
    <row r="1817" spans="1:17" x14ac:dyDescent="0.2">
      <c r="A1817" t="s">
        <v>17</v>
      </c>
      <c r="B1817">
        <v>18.771000999999998</v>
      </c>
      <c r="C1817">
        <v>1.7466520000000001</v>
      </c>
      <c r="D1817">
        <v>133.800129</v>
      </c>
      <c r="E1817" t="s">
        <v>18</v>
      </c>
      <c r="F1817" t="s">
        <v>18</v>
      </c>
      <c r="G1817">
        <v>3</v>
      </c>
      <c r="H1817">
        <v>3</v>
      </c>
      <c r="I1817" t="s">
        <v>20</v>
      </c>
      <c r="J1817" t="s">
        <v>19</v>
      </c>
      <c r="K1817">
        <v>2.8692340000000001</v>
      </c>
      <c r="L1817" t="s">
        <v>19</v>
      </c>
      <c r="M1817">
        <v>1.4659310000000001</v>
      </c>
      <c r="N1817">
        <v>0.62788600000000006</v>
      </c>
      <c r="O1817" t="s">
        <v>20</v>
      </c>
      <c r="P1817" t="s">
        <v>21</v>
      </c>
      <c r="Q1817" t="s">
        <v>35</v>
      </c>
    </row>
    <row r="1818" spans="1:17" x14ac:dyDescent="0.2">
      <c r="A1818" t="s">
        <v>17</v>
      </c>
      <c r="B1818">
        <v>24.265943</v>
      </c>
      <c r="C1818">
        <v>1.719365</v>
      </c>
      <c r="D1818">
        <v>114.511537</v>
      </c>
      <c r="E1818" t="s">
        <v>18</v>
      </c>
      <c r="F1818" t="s">
        <v>18</v>
      </c>
      <c r="G1818">
        <v>3</v>
      </c>
      <c r="H1818">
        <v>3</v>
      </c>
      <c r="I1818" t="s">
        <v>20</v>
      </c>
      <c r="J1818" t="s">
        <v>19</v>
      </c>
      <c r="K1818">
        <v>2.987406</v>
      </c>
      <c r="L1818" t="s">
        <v>19</v>
      </c>
      <c r="M1818">
        <v>0.38925999999999999</v>
      </c>
      <c r="N1818">
        <v>0.52677600000000002</v>
      </c>
      <c r="O1818" t="s">
        <v>20</v>
      </c>
      <c r="P1818" t="s">
        <v>21</v>
      </c>
      <c r="Q1818" t="s">
        <v>35</v>
      </c>
    </row>
    <row r="1819" spans="1:17" x14ac:dyDescent="0.2">
      <c r="A1819" t="s">
        <v>17</v>
      </c>
      <c r="B1819">
        <v>26</v>
      </c>
      <c r="C1819">
        <v>1.632377</v>
      </c>
      <c r="D1819">
        <v>111.94665500000001</v>
      </c>
      <c r="E1819" t="s">
        <v>18</v>
      </c>
      <c r="F1819" t="s">
        <v>18</v>
      </c>
      <c r="G1819">
        <v>3</v>
      </c>
      <c r="H1819">
        <v>3</v>
      </c>
      <c r="I1819" t="s">
        <v>20</v>
      </c>
      <c r="J1819" t="s">
        <v>19</v>
      </c>
      <c r="K1819">
        <v>2.7370909999999999</v>
      </c>
      <c r="L1819" t="s">
        <v>19</v>
      </c>
      <c r="M1819">
        <v>0</v>
      </c>
      <c r="N1819">
        <v>3.7078E-2</v>
      </c>
      <c r="O1819" t="s">
        <v>20</v>
      </c>
      <c r="P1819" t="s">
        <v>21</v>
      </c>
      <c r="Q1819" t="s">
        <v>35</v>
      </c>
    </row>
    <row r="1820" spans="1:17" x14ac:dyDescent="0.2">
      <c r="A1820" t="s">
        <v>17</v>
      </c>
      <c r="B1820">
        <v>26</v>
      </c>
      <c r="C1820">
        <v>1.6425719999999999</v>
      </c>
      <c r="D1820">
        <v>111.86816899999999</v>
      </c>
      <c r="E1820" t="s">
        <v>18</v>
      </c>
      <c r="F1820" t="s">
        <v>18</v>
      </c>
      <c r="G1820">
        <v>3</v>
      </c>
      <c r="H1820">
        <v>3</v>
      </c>
      <c r="I1820" t="s">
        <v>20</v>
      </c>
      <c r="J1820" t="s">
        <v>19</v>
      </c>
      <c r="K1820">
        <v>2.6234890000000002</v>
      </c>
      <c r="L1820" t="s">
        <v>19</v>
      </c>
      <c r="M1820">
        <v>0</v>
      </c>
      <c r="N1820">
        <v>0.13856299999999999</v>
      </c>
      <c r="O1820" t="s">
        <v>20</v>
      </c>
      <c r="P1820" t="s">
        <v>21</v>
      </c>
      <c r="Q1820" t="s">
        <v>35</v>
      </c>
    </row>
    <row r="1821" spans="1:17" x14ac:dyDescent="0.2">
      <c r="A1821" t="s">
        <v>17</v>
      </c>
      <c r="B1821">
        <v>25.967009999999998</v>
      </c>
      <c r="C1821">
        <v>1.6548750000000001</v>
      </c>
      <c r="D1821">
        <v>104.758713</v>
      </c>
      <c r="E1821" t="s">
        <v>18</v>
      </c>
      <c r="F1821" t="s">
        <v>18</v>
      </c>
      <c r="G1821">
        <v>3</v>
      </c>
      <c r="H1821">
        <v>3</v>
      </c>
      <c r="I1821" t="s">
        <v>20</v>
      </c>
      <c r="J1821" t="s">
        <v>19</v>
      </c>
      <c r="K1821">
        <v>2.6127579999999999</v>
      </c>
      <c r="L1821" t="s">
        <v>19</v>
      </c>
      <c r="M1821">
        <v>0.24629000000000001</v>
      </c>
      <c r="N1821">
        <v>0.80213599999999996</v>
      </c>
      <c r="O1821" t="s">
        <v>20</v>
      </c>
      <c r="P1821" t="s">
        <v>21</v>
      </c>
      <c r="Q1821" t="s">
        <v>35</v>
      </c>
    </row>
    <row r="1822" spans="1:17" x14ac:dyDescent="0.2">
      <c r="A1822" t="s">
        <v>17</v>
      </c>
      <c r="B1822">
        <v>26</v>
      </c>
      <c r="C1822">
        <v>1.627567</v>
      </c>
      <c r="D1822">
        <v>107.482662</v>
      </c>
      <c r="E1822" t="s">
        <v>18</v>
      </c>
      <c r="F1822" t="s">
        <v>18</v>
      </c>
      <c r="G1822">
        <v>3</v>
      </c>
      <c r="H1822">
        <v>3</v>
      </c>
      <c r="I1822" t="s">
        <v>20</v>
      </c>
      <c r="J1822" t="s">
        <v>19</v>
      </c>
      <c r="K1822">
        <v>2.6873779999999998</v>
      </c>
      <c r="L1822" t="s">
        <v>19</v>
      </c>
      <c r="M1822">
        <v>0</v>
      </c>
      <c r="N1822">
        <v>0.41065099999999999</v>
      </c>
      <c r="O1822" t="s">
        <v>20</v>
      </c>
      <c r="P1822" t="s">
        <v>21</v>
      </c>
      <c r="Q1822" t="s">
        <v>35</v>
      </c>
    </row>
    <row r="1823" spans="1:17" x14ac:dyDescent="0.2">
      <c r="A1823" t="s">
        <v>17</v>
      </c>
      <c r="B1823">
        <v>20.590046000000001</v>
      </c>
      <c r="C1823">
        <v>1.7362759999999999</v>
      </c>
      <c r="D1823">
        <v>130.92713800000001</v>
      </c>
      <c r="E1823" t="s">
        <v>18</v>
      </c>
      <c r="F1823" t="s">
        <v>18</v>
      </c>
      <c r="G1823">
        <v>3</v>
      </c>
      <c r="H1823">
        <v>3</v>
      </c>
      <c r="I1823" t="s">
        <v>20</v>
      </c>
      <c r="J1823" t="s">
        <v>19</v>
      </c>
      <c r="K1823">
        <v>1.852692</v>
      </c>
      <c r="L1823" t="s">
        <v>19</v>
      </c>
      <c r="M1823">
        <v>1.4636100000000001</v>
      </c>
      <c r="N1823">
        <v>0.96233599999999997</v>
      </c>
      <c r="O1823" t="s">
        <v>20</v>
      </c>
      <c r="P1823" t="s">
        <v>21</v>
      </c>
      <c r="Q1823" t="s">
        <v>35</v>
      </c>
    </row>
    <row r="1824" spans="1:17" x14ac:dyDescent="0.2">
      <c r="A1824" t="s">
        <v>17</v>
      </c>
      <c r="B1824">
        <v>24.497373</v>
      </c>
      <c r="C1824">
        <v>1.7370559999999999</v>
      </c>
      <c r="D1824">
        <v>132.52701099999999</v>
      </c>
      <c r="E1824" t="s">
        <v>18</v>
      </c>
      <c r="F1824" t="s">
        <v>18</v>
      </c>
      <c r="G1824">
        <v>3</v>
      </c>
      <c r="H1824">
        <v>3</v>
      </c>
      <c r="I1824" t="s">
        <v>20</v>
      </c>
      <c r="J1824" t="s">
        <v>19</v>
      </c>
      <c r="K1824">
        <v>2.8655900000000001</v>
      </c>
      <c r="L1824" t="s">
        <v>19</v>
      </c>
      <c r="M1824">
        <v>0.97386399999999995</v>
      </c>
      <c r="N1824">
        <v>0.58345000000000002</v>
      </c>
      <c r="O1824" t="s">
        <v>20</v>
      </c>
      <c r="P1824" t="s">
        <v>21</v>
      </c>
      <c r="Q1824" t="s">
        <v>35</v>
      </c>
    </row>
    <row r="1825" spans="1:17" x14ac:dyDescent="0.2">
      <c r="A1825" t="s">
        <v>17</v>
      </c>
      <c r="B1825">
        <v>25.991886000000001</v>
      </c>
      <c r="C1825">
        <v>1.5809679999999999</v>
      </c>
      <c r="D1825">
        <v>102.003378</v>
      </c>
      <c r="E1825" t="s">
        <v>18</v>
      </c>
      <c r="F1825" t="s">
        <v>18</v>
      </c>
      <c r="G1825">
        <v>3</v>
      </c>
      <c r="H1825">
        <v>3</v>
      </c>
      <c r="I1825" t="s">
        <v>20</v>
      </c>
      <c r="J1825" t="s">
        <v>19</v>
      </c>
      <c r="K1825">
        <v>1.003563</v>
      </c>
      <c r="L1825" t="s">
        <v>19</v>
      </c>
      <c r="M1825">
        <v>8.1270000000000005E-3</v>
      </c>
      <c r="N1825">
        <v>1</v>
      </c>
      <c r="O1825" t="s">
        <v>20</v>
      </c>
      <c r="P1825" t="s">
        <v>21</v>
      </c>
      <c r="Q1825" t="s">
        <v>35</v>
      </c>
    </row>
    <row r="1826" spans="1:17" x14ac:dyDescent="0.2">
      <c r="A1826" t="s">
        <v>17</v>
      </c>
      <c r="B1826">
        <v>25.908431</v>
      </c>
      <c r="C1826">
        <v>1.6071279999999999</v>
      </c>
      <c r="D1826">
        <v>103.026858</v>
      </c>
      <c r="E1826" t="s">
        <v>18</v>
      </c>
      <c r="F1826" t="s">
        <v>18</v>
      </c>
      <c r="G1826">
        <v>3</v>
      </c>
      <c r="H1826">
        <v>3</v>
      </c>
      <c r="I1826" t="s">
        <v>20</v>
      </c>
      <c r="J1826" t="s">
        <v>19</v>
      </c>
      <c r="K1826">
        <v>1.077253</v>
      </c>
      <c r="L1826" t="s">
        <v>19</v>
      </c>
      <c r="M1826">
        <v>0.162083</v>
      </c>
      <c r="N1826">
        <v>0.82460699999999998</v>
      </c>
      <c r="O1826" t="s">
        <v>20</v>
      </c>
      <c r="P1826" t="s">
        <v>21</v>
      </c>
      <c r="Q1826" t="s">
        <v>35</v>
      </c>
    </row>
    <row r="1827" spans="1:17" x14ac:dyDescent="0.2">
      <c r="A1827" t="s">
        <v>17</v>
      </c>
      <c r="B1827">
        <v>18.177882</v>
      </c>
      <c r="C1827">
        <v>1.821566</v>
      </c>
      <c r="D1827">
        <v>142.10246799999999</v>
      </c>
      <c r="E1827" t="s">
        <v>18</v>
      </c>
      <c r="F1827" t="s">
        <v>18</v>
      </c>
      <c r="G1827">
        <v>3</v>
      </c>
      <c r="H1827">
        <v>3</v>
      </c>
      <c r="I1827" t="s">
        <v>20</v>
      </c>
      <c r="J1827" t="s">
        <v>19</v>
      </c>
      <c r="K1827">
        <v>2.7149489999999998</v>
      </c>
      <c r="L1827" t="s">
        <v>19</v>
      </c>
      <c r="M1827">
        <v>1.999773</v>
      </c>
      <c r="N1827">
        <v>0.81378399999999995</v>
      </c>
      <c r="O1827" t="s">
        <v>20</v>
      </c>
      <c r="P1827" t="s">
        <v>21</v>
      </c>
      <c r="Q1827" t="s">
        <v>35</v>
      </c>
    </row>
    <row r="1828" spans="1:17" x14ac:dyDescent="0.2">
      <c r="A1828" t="s">
        <v>17</v>
      </c>
      <c r="B1828">
        <v>18.112503</v>
      </c>
      <c r="C1828">
        <v>1.8277300000000001</v>
      </c>
      <c r="D1828">
        <v>152.72054499999999</v>
      </c>
      <c r="E1828" t="s">
        <v>18</v>
      </c>
      <c r="F1828" t="s">
        <v>18</v>
      </c>
      <c r="G1828">
        <v>3</v>
      </c>
      <c r="H1828">
        <v>3</v>
      </c>
      <c r="I1828" t="s">
        <v>20</v>
      </c>
      <c r="J1828" t="s">
        <v>19</v>
      </c>
      <c r="K1828">
        <v>2.1549489999999998</v>
      </c>
      <c r="L1828" t="s">
        <v>19</v>
      </c>
      <c r="M1828">
        <v>1.999897</v>
      </c>
      <c r="N1828">
        <v>0.95746299999999995</v>
      </c>
      <c r="O1828" t="s">
        <v>20</v>
      </c>
      <c r="P1828" t="s">
        <v>21</v>
      </c>
      <c r="Q1828" t="s">
        <v>35</v>
      </c>
    </row>
    <row r="1829" spans="1:17" x14ac:dyDescent="0.2">
      <c r="A1829" t="s">
        <v>17</v>
      </c>
      <c r="B1829">
        <v>26</v>
      </c>
      <c r="C1829">
        <v>1.656504</v>
      </c>
      <c r="D1829">
        <v>111.993054</v>
      </c>
      <c r="E1829" t="s">
        <v>18</v>
      </c>
      <c r="F1829" t="s">
        <v>18</v>
      </c>
      <c r="G1829">
        <v>3</v>
      </c>
      <c r="H1829">
        <v>3</v>
      </c>
      <c r="I1829" t="s">
        <v>20</v>
      </c>
      <c r="J1829" t="s">
        <v>19</v>
      </c>
      <c r="K1829">
        <v>2.8931170000000002</v>
      </c>
      <c r="L1829" t="s">
        <v>19</v>
      </c>
      <c r="M1829">
        <v>0</v>
      </c>
      <c r="N1829">
        <v>1.9310000000000001E-2</v>
      </c>
      <c r="O1829" t="s">
        <v>20</v>
      </c>
      <c r="P1829" t="s">
        <v>21</v>
      </c>
      <c r="Q1829" t="s">
        <v>35</v>
      </c>
    </row>
    <row r="1830" spans="1:17" x14ac:dyDescent="0.2">
      <c r="A1830" t="s">
        <v>17</v>
      </c>
      <c r="B1830">
        <v>26</v>
      </c>
      <c r="C1830">
        <v>1.6377250000000001</v>
      </c>
      <c r="D1830">
        <v>111.208963</v>
      </c>
      <c r="E1830" t="s">
        <v>18</v>
      </c>
      <c r="F1830" t="s">
        <v>18</v>
      </c>
      <c r="G1830">
        <v>3</v>
      </c>
      <c r="H1830">
        <v>3</v>
      </c>
      <c r="I1830" t="s">
        <v>20</v>
      </c>
      <c r="J1830" t="s">
        <v>19</v>
      </c>
      <c r="K1830">
        <v>2.7091400000000001</v>
      </c>
      <c r="L1830" t="s">
        <v>19</v>
      </c>
      <c r="M1830">
        <v>0</v>
      </c>
      <c r="N1830">
        <v>0.11051800000000001</v>
      </c>
      <c r="O1830" t="s">
        <v>20</v>
      </c>
      <c r="P1830" t="s">
        <v>21</v>
      </c>
      <c r="Q1830" t="s">
        <v>35</v>
      </c>
    </row>
    <row r="1831" spans="1:17" x14ac:dyDescent="0.2">
      <c r="A1831" t="s">
        <v>17</v>
      </c>
      <c r="B1831">
        <v>25.902283000000001</v>
      </c>
      <c r="C1831">
        <v>1.6697010000000001</v>
      </c>
      <c r="D1831">
        <v>104.58578300000001</v>
      </c>
      <c r="E1831" t="s">
        <v>18</v>
      </c>
      <c r="F1831" t="s">
        <v>18</v>
      </c>
      <c r="G1831">
        <v>3</v>
      </c>
      <c r="H1831">
        <v>3</v>
      </c>
      <c r="I1831" t="s">
        <v>20</v>
      </c>
      <c r="J1831" t="s">
        <v>19</v>
      </c>
      <c r="K1831">
        <v>1.5701879999999999</v>
      </c>
      <c r="L1831" t="s">
        <v>19</v>
      </c>
      <c r="M1831">
        <v>0.21035100000000001</v>
      </c>
      <c r="N1831">
        <v>0.88184799999999997</v>
      </c>
      <c r="O1831" t="s">
        <v>20</v>
      </c>
      <c r="P1831" t="s">
        <v>21</v>
      </c>
      <c r="Q1831" t="s">
        <v>35</v>
      </c>
    </row>
    <row r="1832" spans="1:17" x14ac:dyDescent="0.2">
      <c r="A1832" t="s">
        <v>17</v>
      </c>
      <c r="B1832">
        <v>25.540865</v>
      </c>
      <c r="C1832">
        <v>1.668709</v>
      </c>
      <c r="D1832">
        <v>104.754958</v>
      </c>
      <c r="E1832" t="s">
        <v>18</v>
      </c>
      <c r="F1832" t="s">
        <v>18</v>
      </c>
      <c r="G1832">
        <v>3</v>
      </c>
      <c r="H1832">
        <v>3</v>
      </c>
      <c r="I1832" t="s">
        <v>20</v>
      </c>
      <c r="J1832" t="s">
        <v>19</v>
      </c>
      <c r="K1832">
        <v>1.4120490000000001</v>
      </c>
      <c r="L1832" t="s">
        <v>19</v>
      </c>
      <c r="M1832">
        <v>0.143955</v>
      </c>
      <c r="N1832">
        <v>0.753077</v>
      </c>
      <c r="O1832" t="s">
        <v>20</v>
      </c>
      <c r="P1832" t="s">
        <v>21</v>
      </c>
      <c r="Q1832" t="s">
        <v>35</v>
      </c>
    </row>
    <row r="1833" spans="1:17" x14ac:dyDescent="0.2">
      <c r="A1833" t="s">
        <v>17</v>
      </c>
      <c r="B1833">
        <v>20.520992</v>
      </c>
      <c r="C1833">
        <v>1.668642</v>
      </c>
      <c r="D1833">
        <v>124.704781</v>
      </c>
      <c r="E1833" t="s">
        <v>18</v>
      </c>
      <c r="F1833" t="s">
        <v>18</v>
      </c>
      <c r="G1833">
        <v>3</v>
      </c>
      <c r="H1833">
        <v>3</v>
      </c>
      <c r="I1833" t="s">
        <v>20</v>
      </c>
      <c r="J1833" t="s">
        <v>19</v>
      </c>
      <c r="K1833">
        <v>1.15635</v>
      </c>
      <c r="L1833" t="s">
        <v>19</v>
      </c>
      <c r="M1833">
        <v>0.78682799999999997</v>
      </c>
      <c r="N1833">
        <v>0.36638500000000002</v>
      </c>
      <c r="O1833" t="s">
        <v>20</v>
      </c>
      <c r="P1833" t="s">
        <v>21</v>
      </c>
      <c r="Q1833" t="s">
        <v>35</v>
      </c>
    </row>
    <row r="1834" spans="1:17" x14ac:dyDescent="0.2">
      <c r="A1834" t="s">
        <v>17</v>
      </c>
      <c r="B1834">
        <v>20.871153</v>
      </c>
      <c r="C1834">
        <v>1.6906140000000001</v>
      </c>
      <c r="D1834">
        <v>129.76914099999999</v>
      </c>
      <c r="E1834" t="s">
        <v>18</v>
      </c>
      <c r="F1834" t="s">
        <v>18</v>
      </c>
      <c r="G1834">
        <v>3</v>
      </c>
      <c r="H1834">
        <v>3</v>
      </c>
      <c r="I1834" t="s">
        <v>20</v>
      </c>
      <c r="J1834" t="s">
        <v>19</v>
      </c>
      <c r="K1834">
        <v>1.154698</v>
      </c>
      <c r="L1834" t="s">
        <v>19</v>
      </c>
      <c r="M1834">
        <v>1.7183600000000001</v>
      </c>
      <c r="N1834">
        <v>0.95921800000000002</v>
      </c>
      <c r="O1834" t="s">
        <v>20</v>
      </c>
      <c r="P1834" t="s">
        <v>21</v>
      </c>
      <c r="Q1834" t="s">
        <v>35</v>
      </c>
    </row>
    <row r="1835" spans="1:17" x14ac:dyDescent="0.2">
      <c r="A1835" t="s">
        <v>17</v>
      </c>
      <c r="B1835">
        <v>26</v>
      </c>
      <c r="C1835">
        <v>1.6224179999999999</v>
      </c>
      <c r="D1835">
        <v>110.676343</v>
      </c>
      <c r="E1835" t="s">
        <v>18</v>
      </c>
      <c r="F1835" t="s">
        <v>18</v>
      </c>
      <c r="G1835">
        <v>3</v>
      </c>
      <c r="H1835">
        <v>3</v>
      </c>
      <c r="I1835" t="s">
        <v>20</v>
      </c>
      <c r="J1835" t="s">
        <v>19</v>
      </c>
      <c r="K1835">
        <v>2.6915840000000002</v>
      </c>
      <c r="L1835" t="s">
        <v>19</v>
      </c>
      <c r="M1835">
        <v>0</v>
      </c>
      <c r="N1835">
        <v>0.42547299999999999</v>
      </c>
      <c r="O1835" t="s">
        <v>20</v>
      </c>
      <c r="P1835" t="s">
        <v>21</v>
      </c>
      <c r="Q1835" t="s">
        <v>35</v>
      </c>
    </row>
    <row r="1836" spans="1:17" x14ac:dyDescent="0.2">
      <c r="A1836" t="s">
        <v>17</v>
      </c>
      <c r="B1836">
        <v>26</v>
      </c>
      <c r="C1836">
        <v>1.643332</v>
      </c>
      <c r="D1836">
        <v>110.824698</v>
      </c>
      <c r="E1836" t="s">
        <v>18</v>
      </c>
      <c r="F1836" t="s">
        <v>18</v>
      </c>
      <c r="G1836">
        <v>3</v>
      </c>
      <c r="H1836">
        <v>3</v>
      </c>
      <c r="I1836" t="s">
        <v>20</v>
      </c>
      <c r="J1836" t="s">
        <v>19</v>
      </c>
      <c r="K1836">
        <v>2.709654</v>
      </c>
      <c r="L1836" t="s">
        <v>19</v>
      </c>
      <c r="M1836">
        <v>0</v>
      </c>
      <c r="N1836">
        <v>0.25114999999999998</v>
      </c>
      <c r="O1836" t="s">
        <v>20</v>
      </c>
      <c r="P1836" t="s">
        <v>21</v>
      </c>
      <c r="Q1836" t="s">
        <v>35</v>
      </c>
    </row>
    <row r="1837" spans="1:17" x14ac:dyDescent="0.2">
      <c r="A1837" t="s">
        <v>17</v>
      </c>
      <c r="B1837">
        <v>21.768833999999998</v>
      </c>
      <c r="C1837">
        <v>1.7333829999999999</v>
      </c>
      <c r="D1837">
        <v>135.524857</v>
      </c>
      <c r="E1837" t="s">
        <v>18</v>
      </c>
      <c r="F1837" t="s">
        <v>18</v>
      </c>
      <c r="G1837">
        <v>3</v>
      </c>
      <c r="H1837">
        <v>3</v>
      </c>
      <c r="I1837" t="s">
        <v>20</v>
      </c>
      <c r="J1837" t="s">
        <v>19</v>
      </c>
      <c r="K1837">
        <v>1.4857359999999999</v>
      </c>
      <c r="L1837" t="s">
        <v>19</v>
      </c>
      <c r="M1837">
        <v>1.9503740000000001</v>
      </c>
      <c r="N1837">
        <v>0.86923799999999996</v>
      </c>
      <c r="O1837" t="s">
        <v>20</v>
      </c>
      <c r="P1837" t="s">
        <v>21</v>
      </c>
      <c r="Q1837" t="s">
        <v>35</v>
      </c>
    </row>
    <row r="1838" spans="1:17" x14ac:dyDescent="0.2">
      <c r="A1838" t="s">
        <v>17</v>
      </c>
      <c r="B1838">
        <v>20.891490999999998</v>
      </c>
      <c r="C1838">
        <v>1.748313</v>
      </c>
      <c r="D1838">
        <v>133.57378700000001</v>
      </c>
      <c r="E1838" t="s">
        <v>18</v>
      </c>
      <c r="F1838" t="s">
        <v>18</v>
      </c>
      <c r="G1838">
        <v>3</v>
      </c>
      <c r="H1838">
        <v>3</v>
      </c>
      <c r="I1838" t="s">
        <v>20</v>
      </c>
      <c r="J1838" t="s">
        <v>19</v>
      </c>
      <c r="K1838">
        <v>2.874336</v>
      </c>
      <c r="L1838" t="s">
        <v>19</v>
      </c>
      <c r="M1838">
        <v>1.624981</v>
      </c>
      <c r="N1838">
        <v>0.82560900000000004</v>
      </c>
      <c r="O1838" t="s">
        <v>20</v>
      </c>
      <c r="P1838" t="s">
        <v>21</v>
      </c>
      <c r="Q1838" t="s">
        <v>35</v>
      </c>
    </row>
    <row r="1839" spans="1:17" x14ac:dyDescent="0.2">
      <c r="A1839" t="s">
        <v>17</v>
      </c>
      <c r="B1839">
        <v>20.941942999999998</v>
      </c>
      <c r="C1839">
        <v>1.8129630000000001</v>
      </c>
      <c r="D1839">
        <v>138.73061899999999</v>
      </c>
      <c r="E1839" t="s">
        <v>18</v>
      </c>
      <c r="F1839" t="s">
        <v>18</v>
      </c>
      <c r="G1839">
        <v>3</v>
      </c>
      <c r="H1839">
        <v>3</v>
      </c>
      <c r="I1839" t="s">
        <v>20</v>
      </c>
      <c r="J1839" t="s">
        <v>19</v>
      </c>
      <c r="K1839">
        <v>2.641489</v>
      </c>
      <c r="L1839" t="s">
        <v>19</v>
      </c>
      <c r="M1839">
        <v>0.48155500000000001</v>
      </c>
      <c r="N1839">
        <v>0.73520099999999999</v>
      </c>
      <c r="O1839" t="s">
        <v>20</v>
      </c>
      <c r="P1839" t="s">
        <v>21</v>
      </c>
      <c r="Q1839" t="s">
        <v>35</v>
      </c>
    </row>
    <row r="1840" spans="1:17" x14ac:dyDescent="0.2">
      <c r="A1840" t="s">
        <v>17</v>
      </c>
      <c r="B1840">
        <v>20.989015999999999</v>
      </c>
      <c r="C1840">
        <v>1.8073399999999999</v>
      </c>
      <c r="D1840">
        <v>155.87209300000001</v>
      </c>
      <c r="E1840" t="s">
        <v>18</v>
      </c>
      <c r="F1840" t="s">
        <v>18</v>
      </c>
      <c r="G1840">
        <v>3</v>
      </c>
      <c r="H1840">
        <v>3</v>
      </c>
      <c r="I1840" t="s">
        <v>20</v>
      </c>
      <c r="J1840" t="s">
        <v>19</v>
      </c>
      <c r="K1840">
        <v>2.417122</v>
      </c>
      <c r="L1840" t="s">
        <v>19</v>
      </c>
      <c r="M1840">
        <v>0.95272500000000004</v>
      </c>
      <c r="N1840">
        <v>0.57395799999999997</v>
      </c>
      <c r="O1840" t="s">
        <v>20</v>
      </c>
      <c r="P1840" t="s">
        <v>21</v>
      </c>
      <c r="Q1840" t="s">
        <v>35</v>
      </c>
    </row>
    <row r="1841" spans="1:17" x14ac:dyDescent="0.2">
      <c r="A1841" t="s">
        <v>17</v>
      </c>
      <c r="B1841">
        <v>18.367481000000002</v>
      </c>
      <c r="C1841">
        <v>1.745644</v>
      </c>
      <c r="D1841">
        <v>133.66558699999999</v>
      </c>
      <c r="E1841" t="s">
        <v>18</v>
      </c>
      <c r="F1841" t="s">
        <v>18</v>
      </c>
      <c r="G1841">
        <v>3</v>
      </c>
      <c r="H1841">
        <v>3</v>
      </c>
      <c r="I1841" t="s">
        <v>20</v>
      </c>
      <c r="J1841" t="s">
        <v>19</v>
      </c>
      <c r="K1841">
        <v>2.9008569999999998</v>
      </c>
      <c r="L1841" t="s">
        <v>19</v>
      </c>
      <c r="M1841">
        <v>1.5088969999999999</v>
      </c>
      <c r="N1841">
        <v>0.62537100000000001</v>
      </c>
      <c r="O1841" t="s">
        <v>20</v>
      </c>
      <c r="P1841" t="s">
        <v>21</v>
      </c>
      <c r="Q1841" t="s">
        <v>35</v>
      </c>
    </row>
    <row r="1842" spans="1:17" x14ac:dyDescent="0.2">
      <c r="A1842" t="s">
        <v>17</v>
      </c>
      <c r="B1842">
        <v>21.051106999999998</v>
      </c>
      <c r="C1842">
        <v>1.753266</v>
      </c>
      <c r="D1842">
        <v>133.85243199999999</v>
      </c>
      <c r="E1842" t="s">
        <v>18</v>
      </c>
      <c r="F1842" t="s">
        <v>18</v>
      </c>
      <c r="G1842">
        <v>3</v>
      </c>
      <c r="H1842">
        <v>3</v>
      </c>
      <c r="I1842" t="s">
        <v>20</v>
      </c>
      <c r="J1842" t="s">
        <v>19</v>
      </c>
      <c r="K1842">
        <v>2.9531100000000001</v>
      </c>
      <c r="L1842" t="s">
        <v>19</v>
      </c>
      <c r="M1842">
        <v>1.4451480000000001</v>
      </c>
      <c r="N1842">
        <v>0.67320999999999998</v>
      </c>
      <c r="O1842" t="s">
        <v>20</v>
      </c>
      <c r="P1842" t="s">
        <v>21</v>
      </c>
      <c r="Q1842" t="s">
        <v>35</v>
      </c>
    </row>
    <row r="1843" spans="1:17" x14ac:dyDescent="0.2">
      <c r="A1843" t="s">
        <v>17</v>
      </c>
      <c r="B1843">
        <v>26</v>
      </c>
      <c r="C1843">
        <v>1.632193</v>
      </c>
      <c r="D1843">
        <v>111.886611</v>
      </c>
      <c r="E1843" t="s">
        <v>18</v>
      </c>
      <c r="F1843" t="s">
        <v>18</v>
      </c>
      <c r="G1843">
        <v>3</v>
      </c>
      <c r="H1843">
        <v>3</v>
      </c>
      <c r="I1843" t="s">
        <v>20</v>
      </c>
      <c r="J1843" t="s">
        <v>19</v>
      </c>
      <c r="K1843">
        <v>2.617988</v>
      </c>
      <c r="L1843" t="s">
        <v>19</v>
      </c>
      <c r="M1843">
        <v>0</v>
      </c>
      <c r="N1843">
        <v>0.15618699999999999</v>
      </c>
      <c r="O1843" t="s">
        <v>20</v>
      </c>
      <c r="P1843" t="s">
        <v>21</v>
      </c>
      <c r="Q1843" t="s">
        <v>35</v>
      </c>
    </row>
    <row r="1844" spans="1:17" x14ac:dyDescent="0.2">
      <c r="A1844" t="s">
        <v>17</v>
      </c>
      <c r="B1844">
        <v>26</v>
      </c>
      <c r="C1844">
        <v>1.6410979999999999</v>
      </c>
      <c r="D1844">
        <v>111.81834499999999</v>
      </c>
      <c r="E1844" t="s">
        <v>18</v>
      </c>
      <c r="F1844" t="s">
        <v>18</v>
      </c>
      <c r="G1844">
        <v>3</v>
      </c>
      <c r="H1844">
        <v>3</v>
      </c>
      <c r="I1844" t="s">
        <v>20</v>
      </c>
      <c r="J1844" t="s">
        <v>19</v>
      </c>
      <c r="K1844">
        <v>2.55057</v>
      </c>
      <c r="L1844" t="s">
        <v>19</v>
      </c>
      <c r="M1844">
        <v>0</v>
      </c>
      <c r="N1844">
        <v>0.20482</v>
      </c>
      <c r="O1844" t="s">
        <v>20</v>
      </c>
      <c r="P1844" t="s">
        <v>21</v>
      </c>
      <c r="Q1844" t="s">
        <v>35</v>
      </c>
    </row>
    <row r="1845" spans="1:17" x14ac:dyDescent="0.2">
      <c r="A1845" t="s">
        <v>17</v>
      </c>
      <c r="B1845">
        <v>25.998646000000001</v>
      </c>
      <c r="C1845">
        <v>1.640741</v>
      </c>
      <c r="D1845">
        <v>104.808542</v>
      </c>
      <c r="E1845" t="s">
        <v>18</v>
      </c>
      <c r="F1845" t="s">
        <v>18</v>
      </c>
      <c r="G1845">
        <v>3</v>
      </c>
      <c r="H1845">
        <v>3</v>
      </c>
      <c r="I1845" t="s">
        <v>20</v>
      </c>
      <c r="J1845" t="s">
        <v>19</v>
      </c>
      <c r="K1845">
        <v>2.6535310000000001</v>
      </c>
      <c r="L1845" t="s">
        <v>19</v>
      </c>
      <c r="M1845">
        <v>0.19006100000000001</v>
      </c>
      <c r="N1845">
        <v>0.69234300000000004</v>
      </c>
      <c r="O1845" t="s">
        <v>20</v>
      </c>
      <c r="P1845" t="s">
        <v>21</v>
      </c>
      <c r="Q1845" t="s">
        <v>35</v>
      </c>
    </row>
    <row r="1846" spans="1:17" x14ac:dyDescent="0.2">
      <c r="A1846" t="s">
        <v>17</v>
      </c>
      <c r="B1846">
        <v>26</v>
      </c>
      <c r="C1846">
        <v>1.618573</v>
      </c>
      <c r="D1846">
        <v>104.92864299999999</v>
      </c>
      <c r="E1846" t="s">
        <v>18</v>
      </c>
      <c r="F1846" t="s">
        <v>18</v>
      </c>
      <c r="G1846">
        <v>3</v>
      </c>
      <c r="H1846">
        <v>3</v>
      </c>
      <c r="I1846" t="s">
        <v>20</v>
      </c>
      <c r="J1846" t="s">
        <v>19</v>
      </c>
      <c r="K1846">
        <v>1.6987669999999999</v>
      </c>
      <c r="L1846" t="s">
        <v>19</v>
      </c>
      <c r="M1846">
        <v>0</v>
      </c>
      <c r="N1846">
        <v>0.54396</v>
      </c>
      <c r="O1846" t="s">
        <v>20</v>
      </c>
      <c r="P1846" t="s">
        <v>21</v>
      </c>
      <c r="Q1846" t="s">
        <v>35</v>
      </c>
    </row>
    <row r="1847" spans="1:17" x14ac:dyDescent="0.2">
      <c r="A1847" t="s">
        <v>17</v>
      </c>
      <c r="B1847">
        <v>22.846357000000001</v>
      </c>
      <c r="C1847">
        <v>1.7574419999999999</v>
      </c>
      <c r="D1847">
        <v>133.365094</v>
      </c>
      <c r="E1847" t="s">
        <v>18</v>
      </c>
      <c r="F1847" t="s">
        <v>18</v>
      </c>
      <c r="G1847">
        <v>3</v>
      </c>
      <c r="H1847">
        <v>3</v>
      </c>
      <c r="I1847" t="s">
        <v>20</v>
      </c>
      <c r="J1847" t="s">
        <v>19</v>
      </c>
      <c r="K1847">
        <v>2.8483700000000001</v>
      </c>
      <c r="L1847" t="s">
        <v>19</v>
      </c>
      <c r="M1847">
        <v>1.206059</v>
      </c>
      <c r="N1847">
        <v>0.76666800000000002</v>
      </c>
      <c r="O1847" t="s">
        <v>20</v>
      </c>
      <c r="P1847" t="s">
        <v>21</v>
      </c>
      <c r="Q1847" t="s">
        <v>35</v>
      </c>
    </row>
    <row r="1848" spans="1:17" x14ac:dyDescent="0.2">
      <c r="A1848" t="s">
        <v>17</v>
      </c>
      <c r="B1848">
        <v>19.885655</v>
      </c>
      <c r="C1848">
        <v>1.7633430000000001</v>
      </c>
      <c r="D1848">
        <v>133.952675</v>
      </c>
      <c r="E1848" t="s">
        <v>18</v>
      </c>
      <c r="F1848" t="s">
        <v>18</v>
      </c>
      <c r="G1848">
        <v>3</v>
      </c>
      <c r="H1848">
        <v>3</v>
      </c>
      <c r="I1848" t="s">
        <v>20</v>
      </c>
      <c r="J1848" t="s">
        <v>19</v>
      </c>
      <c r="K1848">
        <v>2.8356219999999999</v>
      </c>
      <c r="L1848" t="s">
        <v>19</v>
      </c>
      <c r="M1848">
        <v>1.419473</v>
      </c>
      <c r="N1848">
        <v>0.81698599999999999</v>
      </c>
      <c r="O1848" t="s">
        <v>20</v>
      </c>
      <c r="P1848" t="s">
        <v>21</v>
      </c>
      <c r="Q1848" t="s">
        <v>35</v>
      </c>
    </row>
    <row r="1849" spans="1:17" x14ac:dyDescent="0.2">
      <c r="A1849" t="s">
        <v>17</v>
      </c>
      <c r="B1849">
        <v>25.930375999999999</v>
      </c>
      <c r="C1849">
        <v>1.6100859999999999</v>
      </c>
      <c r="D1849">
        <v>102.38745</v>
      </c>
      <c r="E1849" t="s">
        <v>18</v>
      </c>
      <c r="F1849" t="s">
        <v>18</v>
      </c>
      <c r="G1849">
        <v>3</v>
      </c>
      <c r="H1849">
        <v>3</v>
      </c>
      <c r="I1849" t="s">
        <v>20</v>
      </c>
      <c r="J1849" t="s">
        <v>19</v>
      </c>
      <c r="K1849">
        <v>1.0505640000000001</v>
      </c>
      <c r="L1849" t="s">
        <v>19</v>
      </c>
      <c r="M1849">
        <v>2.6033000000000001E-2</v>
      </c>
      <c r="N1849">
        <v>0.53907400000000005</v>
      </c>
      <c r="O1849" t="s">
        <v>20</v>
      </c>
      <c r="P1849" t="s">
        <v>21</v>
      </c>
      <c r="Q1849" t="s">
        <v>35</v>
      </c>
    </row>
    <row r="1850" spans="1:17" x14ac:dyDescent="0.2">
      <c r="A1850" t="s">
        <v>17</v>
      </c>
      <c r="B1850">
        <v>25.897815000000001</v>
      </c>
      <c r="C1850">
        <v>1.664463</v>
      </c>
      <c r="D1850">
        <v>102.781971</v>
      </c>
      <c r="E1850" t="s">
        <v>18</v>
      </c>
      <c r="F1850" t="s">
        <v>18</v>
      </c>
      <c r="G1850">
        <v>3</v>
      </c>
      <c r="H1850">
        <v>3</v>
      </c>
      <c r="I1850" t="s">
        <v>20</v>
      </c>
      <c r="J1850" t="s">
        <v>19</v>
      </c>
      <c r="K1850">
        <v>1.0684929999999999</v>
      </c>
      <c r="L1850" t="s">
        <v>19</v>
      </c>
      <c r="M1850">
        <v>0.112122</v>
      </c>
      <c r="N1850">
        <v>1</v>
      </c>
      <c r="O1850" t="s">
        <v>20</v>
      </c>
      <c r="P1850" t="s">
        <v>21</v>
      </c>
      <c r="Q1850" t="s">
        <v>35</v>
      </c>
    </row>
    <row r="1851" spans="1:17" x14ac:dyDescent="0.2">
      <c r="A1851" t="s">
        <v>17</v>
      </c>
      <c r="B1851">
        <v>26</v>
      </c>
      <c r="C1851">
        <v>1.602025</v>
      </c>
      <c r="D1851">
        <v>104.899348</v>
      </c>
      <c r="E1851" t="s">
        <v>18</v>
      </c>
      <c r="F1851" t="s">
        <v>18</v>
      </c>
      <c r="G1851">
        <v>3</v>
      </c>
      <c r="H1851">
        <v>3</v>
      </c>
      <c r="I1851" t="s">
        <v>20</v>
      </c>
      <c r="J1851" t="s">
        <v>19</v>
      </c>
      <c r="K1851">
        <v>2.613928</v>
      </c>
      <c r="L1851" t="s">
        <v>19</v>
      </c>
      <c r="M1851">
        <v>0</v>
      </c>
      <c r="N1851">
        <v>0.55309299999999995</v>
      </c>
      <c r="O1851" t="s">
        <v>20</v>
      </c>
      <c r="P1851" t="s">
        <v>21</v>
      </c>
      <c r="Q1851" t="s">
        <v>35</v>
      </c>
    </row>
    <row r="1852" spans="1:17" x14ac:dyDescent="0.2">
      <c r="A1852" t="s">
        <v>17</v>
      </c>
      <c r="B1852">
        <v>25.968792000000001</v>
      </c>
      <c r="C1852">
        <v>1.6328959999999999</v>
      </c>
      <c r="D1852">
        <v>104.98892499999999</v>
      </c>
      <c r="E1852" t="s">
        <v>18</v>
      </c>
      <c r="F1852" t="s">
        <v>18</v>
      </c>
      <c r="G1852">
        <v>3</v>
      </c>
      <c r="H1852">
        <v>3</v>
      </c>
      <c r="I1852" t="s">
        <v>20</v>
      </c>
      <c r="J1852" t="s">
        <v>19</v>
      </c>
      <c r="K1852">
        <v>1.239833</v>
      </c>
      <c r="L1852" t="s">
        <v>19</v>
      </c>
      <c r="M1852">
        <v>0.16227900000000001</v>
      </c>
      <c r="N1852">
        <v>0.61923499999999998</v>
      </c>
      <c r="O1852" t="s">
        <v>20</v>
      </c>
      <c r="P1852" t="s">
        <v>21</v>
      </c>
      <c r="Q1852" t="s">
        <v>35</v>
      </c>
    </row>
    <row r="1853" spans="1:17" x14ac:dyDescent="0.2">
      <c r="A1853" t="s">
        <v>17</v>
      </c>
      <c r="B1853">
        <v>18.335018999999999</v>
      </c>
      <c r="C1853">
        <v>1.7710429999999999</v>
      </c>
      <c r="D1853">
        <v>137.04495900000001</v>
      </c>
      <c r="E1853" t="s">
        <v>18</v>
      </c>
      <c r="F1853" t="s">
        <v>18</v>
      </c>
      <c r="G1853">
        <v>3</v>
      </c>
      <c r="H1853">
        <v>3</v>
      </c>
      <c r="I1853" t="s">
        <v>20</v>
      </c>
      <c r="J1853" t="s">
        <v>19</v>
      </c>
      <c r="K1853">
        <v>2.8615330000000001</v>
      </c>
      <c r="L1853" t="s">
        <v>19</v>
      </c>
      <c r="M1853">
        <v>1.7046399999999999</v>
      </c>
      <c r="N1853">
        <v>0.65557100000000001</v>
      </c>
      <c r="O1853" t="s">
        <v>20</v>
      </c>
      <c r="P1853" t="s">
        <v>21</v>
      </c>
      <c r="Q1853" t="s">
        <v>35</v>
      </c>
    </row>
    <row r="1854" spans="1:17" x14ac:dyDescent="0.2">
      <c r="A1854" t="s">
        <v>17</v>
      </c>
      <c r="B1854">
        <v>21.700748000000001</v>
      </c>
      <c r="C1854">
        <v>1.789555</v>
      </c>
      <c r="D1854">
        <v>137.767787</v>
      </c>
      <c r="E1854" t="s">
        <v>18</v>
      </c>
      <c r="F1854" t="s">
        <v>18</v>
      </c>
      <c r="G1854">
        <v>3</v>
      </c>
      <c r="H1854">
        <v>3</v>
      </c>
      <c r="I1854" t="s">
        <v>20</v>
      </c>
      <c r="J1854" t="s">
        <v>19</v>
      </c>
      <c r="K1854">
        <v>2.832659</v>
      </c>
      <c r="L1854" t="s">
        <v>19</v>
      </c>
      <c r="M1854">
        <v>1.5057750000000001</v>
      </c>
      <c r="N1854">
        <v>0.92300499999999996</v>
      </c>
      <c r="O1854" t="s">
        <v>20</v>
      </c>
      <c r="P1854" t="s">
        <v>21</v>
      </c>
      <c r="Q1854" t="s">
        <v>35</v>
      </c>
    </row>
    <row r="1855" spans="1:17" x14ac:dyDescent="0.2">
      <c r="A1855" t="s">
        <v>17</v>
      </c>
      <c r="B1855">
        <v>18.222536000000002</v>
      </c>
      <c r="C1855">
        <v>1.8017460000000001</v>
      </c>
      <c r="D1855">
        <v>141.16626500000001</v>
      </c>
      <c r="E1855" t="s">
        <v>18</v>
      </c>
      <c r="F1855" t="s">
        <v>18</v>
      </c>
      <c r="G1855">
        <v>3</v>
      </c>
      <c r="H1855">
        <v>3</v>
      </c>
      <c r="I1855" t="s">
        <v>20</v>
      </c>
      <c r="J1855" t="s">
        <v>19</v>
      </c>
      <c r="K1855">
        <v>2.418488</v>
      </c>
      <c r="L1855" t="s">
        <v>19</v>
      </c>
      <c r="M1855">
        <v>1.9950699999999999</v>
      </c>
      <c r="N1855">
        <v>0.89351400000000003</v>
      </c>
      <c r="O1855" t="s">
        <v>20</v>
      </c>
      <c r="P1855" t="s">
        <v>21</v>
      </c>
      <c r="Q1855" t="s">
        <v>35</v>
      </c>
    </row>
    <row r="1856" spans="1:17" x14ac:dyDescent="0.2">
      <c r="A1856" t="s">
        <v>17</v>
      </c>
      <c r="B1856">
        <v>20.375599999999999</v>
      </c>
      <c r="C1856">
        <v>1.7871950000000001</v>
      </c>
      <c r="D1856">
        <v>151.975864</v>
      </c>
      <c r="E1856" t="s">
        <v>18</v>
      </c>
      <c r="F1856" t="s">
        <v>18</v>
      </c>
      <c r="G1856">
        <v>3</v>
      </c>
      <c r="H1856">
        <v>3</v>
      </c>
      <c r="I1856" t="s">
        <v>20</v>
      </c>
      <c r="J1856" t="s">
        <v>19</v>
      </c>
      <c r="K1856">
        <v>2.304716</v>
      </c>
      <c r="L1856" t="s">
        <v>19</v>
      </c>
      <c r="M1856">
        <v>0.82665999999999995</v>
      </c>
      <c r="N1856">
        <v>0.91449199999999997</v>
      </c>
      <c r="O1856" t="s">
        <v>20</v>
      </c>
      <c r="P1856" t="s">
        <v>21</v>
      </c>
      <c r="Q1856" t="s">
        <v>35</v>
      </c>
    </row>
    <row r="1857" spans="1:17" x14ac:dyDescent="0.2">
      <c r="A1857" t="s">
        <v>17</v>
      </c>
      <c r="B1857">
        <v>26</v>
      </c>
      <c r="C1857">
        <v>1.6441410000000001</v>
      </c>
      <c r="D1857">
        <v>111.942544</v>
      </c>
      <c r="E1857" t="s">
        <v>18</v>
      </c>
      <c r="F1857" t="s">
        <v>18</v>
      </c>
      <c r="G1857">
        <v>3</v>
      </c>
      <c r="H1857">
        <v>3</v>
      </c>
      <c r="I1857" t="s">
        <v>20</v>
      </c>
      <c r="J1857" t="s">
        <v>19</v>
      </c>
      <c r="K1857">
        <v>2.7630050000000002</v>
      </c>
      <c r="L1857" t="s">
        <v>19</v>
      </c>
      <c r="M1857">
        <v>0</v>
      </c>
      <c r="N1857">
        <v>0.101867</v>
      </c>
      <c r="O1857" t="s">
        <v>20</v>
      </c>
      <c r="P1857" t="s">
        <v>21</v>
      </c>
      <c r="Q1857" t="s">
        <v>35</v>
      </c>
    </row>
    <row r="1858" spans="1:17" x14ac:dyDescent="0.2">
      <c r="A1858" t="s">
        <v>17</v>
      </c>
      <c r="B1858">
        <v>26</v>
      </c>
      <c r="C1858">
        <v>1.6433549999999999</v>
      </c>
      <c r="D1858">
        <v>111.600553</v>
      </c>
      <c r="E1858" t="s">
        <v>18</v>
      </c>
      <c r="F1858" t="s">
        <v>18</v>
      </c>
      <c r="G1858">
        <v>3</v>
      </c>
      <c r="H1858">
        <v>3</v>
      </c>
      <c r="I1858" t="s">
        <v>20</v>
      </c>
      <c r="J1858" t="s">
        <v>19</v>
      </c>
      <c r="K1858">
        <v>2.6526160000000001</v>
      </c>
      <c r="L1858" t="s">
        <v>19</v>
      </c>
      <c r="M1858">
        <v>0</v>
      </c>
      <c r="N1858">
        <v>0.250502</v>
      </c>
      <c r="O1858" t="s">
        <v>20</v>
      </c>
      <c r="P1858" t="s">
        <v>21</v>
      </c>
      <c r="Q1858" t="s">
        <v>35</v>
      </c>
    </row>
    <row r="1859" spans="1:17" x14ac:dyDescent="0.2">
      <c r="A1859" t="s">
        <v>17</v>
      </c>
      <c r="B1859">
        <v>26</v>
      </c>
      <c r="C1859">
        <v>1.623707</v>
      </c>
      <c r="D1859">
        <v>105.037463</v>
      </c>
      <c r="E1859" t="s">
        <v>18</v>
      </c>
      <c r="F1859" t="s">
        <v>18</v>
      </c>
      <c r="G1859">
        <v>3</v>
      </c>
      <c r="H1859">
        <v>3</v>
      </c>
      <c r="I1859" t="s">
        <v>20</v>
      </c>
      <c r="J1859" t="s">
        <v>19</v>
      </c>
      <c r="K1859">
        <v>2.5531980000000001</v>
      </c>
      <c r="L1859" t="s">
        <v>19</v>
      </c>
      <c r="M1859">
        <v>0</v>
      </c>
      <c r="N1859">
        <v>0.39383800000000002</v>
      </c>
      <c r="O1859" t="s">
        <v>20</v>
      </c>
      <c r="P1859" t="s">
        <v>21</v>
      </c>
      <c r="Q1859" t="s">
        <v>35</v>
      </c>
    </row>
    <row r="1860" spans="1:17" x14ac:dyDescent="0.2">
      <c r="A1860" t="s">
        <v>17</v>
      </c>
      <c r="B1860">
        <v>26</v>
      </c>
      <c r="C1860">
        <v>1.610636</v>
      </c>
      <c r="D1860">
        <v>105.42353199999999</v>
      </c>
      <c r="E1860" t="s">
        <v>18</v>
      </c>
      <c r="F1860" t="s">
        <v>18</v>
      </c>
      <c r="G1860">
        <v>3</v>
      </c>
      <c r="H1860">
        <v>3</v>
      </c>
      <c r="I1860" t="s">
        <v>20</v>
      </c>
      <c r="J1860" t="s">
        <v>19</v>
      </c>
      <c r="K1860">
        <v>2.1805659999999998</v>
      </c>
      <c r="L1860" t="s">
        <v>19</v>
      </c>
      <c r="M1860">
        <v>0</v>
      </c>
      <c r="N1860">
        <v>0.51990499999999995</v>
      </c>
      <c r="O1860" t="s">
        <v>20</v>
      </c>
      <c r="P1860" t="s">
        <v>21</v>
      </c>
      <c r="Q1860" t="s">
        <v>35</v>
      </c>
    </row>
    <row r="1861" spans="1:17" x14ac:dyDescent="0.2">
      <c r="A1861" t="s">
        <v>17</v>
      </c>
      <c r="B1861">
        <v>25.943826999999999</v>
      </c>
      <c r="C1861">
        <v>1.629491</v>
      </c>
      <c r="D1861">
        <v>104.839068</v>
      </c>
      <c r="E1861" t="s">
        <v>18</v>
      </c>
      <c r="F1861" t="s">
        <v>18</v>
      </c>
      <c r="G1861">
        <v>3</v>
      </c>
      <c r="H1861">
        <v>3</v>
      </c>
      <c r="I1861" t="s">
        <v>20</v>
      </c>
      <c r="J1861" t="s">
        <v>19</v>
      </c>
      <c r="K1861">
        <v>2.2097899999999999</v>
      </c>
      <c r="L1861" t="s">
        <v>19</v>
      </c>
      <c r="M1861">
        <v>0.11469799999999999</v>
      </c>
      <c r="N1861">
        <v>0.60442200000000001</v>
      </c>
      <c r="O1861" t="s">
        <v>20</v>
      </c>
      <c r="P1861" t="s">
        <v>21</v>
      </c>
      <c r="Q1861" t="s">
        <v>35</v>
      </c>
    </row>
    <row r="1862" spans="1:17" x14ac:dyDescent="0.2">
      <c r="A1862" t="s">
        <v>17</v>
      </c>
      <c r="B1862">
        <v>25.291974</v>
      </c>
      <c r="C1862">
        <v>1.684768</v>
      </c>
      <c r="D1862">
        <v>104.821175</v>
      </c>
      <c r="E1862" t="s">
        <v>18</v>
      </c>
      <c r="F1862" t="s">
        <v>18</v>
      </c>
      <c r="G1862">
        <v>3</v>
      </c>
      <c r="H1862">
        <v>3</v>
      </c>
      <c r="I1862" t="s">
        <v>20</v>
      </c>
      <c r="J1862" t="s">
        <v>19</v>
      </c>
      <c r="K1862">
        <v>1.4443790000000001</v>
      </c>
      <c r="L1862" t="s">
        <v>19</v>
      </c>
      <c r="M1862">
        <v>0.22448199999999999</v>
      </c>
      <c r="N1862">
        <v>0.91218699999999997</v>
      </c>
      <c r="O1862" t="s">
        <v>20</v>
      </c>
      <c r="P1862" t="s">
        <v>21</v>
      </c>
      <c r="Q1862" t="s">
        <v>35</v>
      </c>
    </row>
    <row r="1863" spans="1:17" x14ac:dyDescent="0.2">
      <c r="A1863" t="s">
        <v>17</v>
      </c>
      <c r="B1863">
        <v>25.653233</v>
      </c>
      <c r="C1863">
        <v>1.6649400000000001</v>
      </c>
      <c r="D1863">
        <v>110.92216999999999</v>
      </c>
      <c r="E1863" t="s">
        <v>18</v>
      </c>
      <c r="F1863" t="s">
        <v>18</v>
      </c>
      <c r="G1863">
        <v>3</v>
      </c>
      <c r="H1863">
        <v>3</v>
      </c>
      <c r="I1863" t="s">
        <v>20</v>
      </c>
      <c r="J1863" t="s">
        <v>19</v>
      </c>
      <c r="K1863">
        <v>1.6040749999999999</v>
      </c>
      <c r="L1863" t="s">
        <v>19</v>
      </c>
      <c r="M1863">
        <v>2.9728000000000001E-2</v>
      </c>
      <c r="N1863">
        <v>0.20012199999999999</v>
      </c>
      <c r="O1863" t="s">
        <v>20</v>
      </c>
      <c r="P1863" t="s">
        <v>21</v>
      </c>
      <c r="Q1863" t="s">
        <v>35</v>
      </c>
    </row>
    <row r="1864" spans="1:17" x14ac:dyDescent="0.2">
      <c r="A1864" t="s">
        <v>17</v>
      </c>
      <c r="B1864">
        <v>25.783864999999999</v>
      </c>
      <c r="C1864">
        <v>1.655646</v>
      </c>
      <c r="D1864">
        <v>110.21733999999999</v>
      </c>
      <c r="E1864" t="s">
        <v>18</v>
      </c>
      <c r="F1864" t="s">
        <v>18</v>
      </c>
      <c r="G1864">
        <v>3</v>
      </c>
      <c r="H1864">
        <v>3</v>
      </c>
      <c r="I1864" t="s">
        <v>20</v>
      </c>
      <c r="J1864" t="s">
        <v>19</v>
      </c>
      <c r="K1864">
        <v>1.5282579999999999</v>
      </c>
      <c r="L1864" t="s">
        <v>19</v>
      </c>
      <c r="M1864">
        <v>1.5859999999999999E-2</v>
      </c>
      <c r="N1864">
        <v>0.43606800000000001</v>
      </c>
      <c r="O1864" t="s">
        <v>20</v>
      </c>
      <c r="P1864" t="s">
        <v>21</v>
      </c>
      <c r="Q1864" t="s">
        <v>35</v>
      </c>
    </row>
    <row r="1865" spans="1:17" x14ac:dyDescent="0.2">
      <c r="A1865" t="s">
        <v>17</v>
      </c>
      <c r="B1865">
        <v>19.17614</v>
      </c>
      <c r="C1865">
        <v>1.666194</v>
      </c>
      <c r="D1865">
        <v>124.805868</v>
      </c>
      <c r="E1865" t="s">
        <v>18</v>
      </c>
      <c r="F1865" t="s">
        <v>18</v>
      </c>
      <c r="G1865">
        <v>3</v>
      </c>
      <c r="H1865">
        <v>3</v>
      </c>
      <c r="I1865" t="s">
        <v>20</v>
      </c>
      <c r="J1865" t="s">
        <v>19</v>
      </c>
      <c r="K1865">
        <v>1.2288380000000001</v>
      </c>
      <c r="L1865" t="s">
        <v>19</v>
      </c>
      <c r="M1865">
        <v>0.79255299999999995</v>
      </c>
      <c r="N1865">
        <v>0.63956100000000005</v>
      </c>
      <c r="O1865" t="s">
        <v>20</v>
      </c>
      <c r="P1865" t="s">
        <v>21</v>
      </c>
      <c r="Q1865" t="s">
        <v>35</v>
      </c>
    </row>
    <row r="1866" spans="1:17" x14ac:dyDescent="0.2">
      <c r="A1866" t="s">
        <v>17</v>
      </c>
      <c r="B1866">
        <v>21.207422999999999</v>
      </c>
      <c r="C1866">
        <v>1.707508</v>
      </c>
      <c r="D1866">
        <v>121.86432600000001</v>
      </c>
      <c r="E1866" t="s">
        <v>18</v>
      </c>
      <c r="F1866" t="s">
        <v>18</v>
      </c>
      <c r="G1866">
        <v>3</v>
      </c>
      <c r="H1866">
        <v>3</v>
      </c>
      <c r="I1866" t="s">
        <v>20</v>
      </c>
      <c r="J1866" t="s">
        <v>19</v>
      </c>
      <c r="K1866">
        <v>1.615548</v>
      </c>
      <c r="L1866" t="s">
        <v>19</v>
      </c>
      <c r="M1866">
        <v>1.3765339999999999</v>
      </c>
      <c r="N1866">
        <v>0.92605199999999999</v>
      </c>
      <c r="O1866" t="s">
        <v>20</v>
      </c>
      <c r="P1866" t="s">
        <v>21</v>
      </c>
      <c r="Q1866" t="s">
        <v>35</v>
      </c>
    </row>
    <row r="1867" spans="1:17" x14ac:dyDescent="0.2">
      <c r="A1867" t="s">
        <v>17</v>
      </c>
      <c r="B1867">
        <v>21.633056</v>
      </c>
      <c r="C1867">
        <v>1.7541739999999999</v>
      </c>
      <c r="D1867">
        <v>133.78395499999999</v>
      </c>
      <c r="E1867" t="s">
        <v>18</v>
      </c>
      <c r="F1867" t="s">
        <v>18</v>
      </c>
      <c r="G1867">
        <v>3</v>
      </c>
      <c r="H1867">
        <v>3</v>
      </c>
      <c r="I1867" t="s">
        <v>20</v>
      </c>
      <c r="J1867" t="s">
        <v>19</v>
      </c>
      <c r="K1867">
        <v>1.9459500000000001</v>
      </c>
      <c r="L1867" t="s">
        <v>19</v>
      </c>
      <c r="M1867">
        <v>1.493018</v>
      </c>
      <c r="N1867">
        <v>0.90661099999999994</v>
      </c>
      <c r="O1867" t="s">
        <v>20</v>
      </c>
      <c r="P1867" t="s">
        <v>21</v>
      </c>
      <c r="Q1867" t="s">
        <v>35</v>
      </c>
    </row>
    <row r="1868" spans="1:17" x14ac:dyDescent="0.2">
      <c r="A1868" t="s">
        <v>17</v>
      </c>
      <c r="B1868">
        <v>21.009595999999998</v>
      </c>
      <c r="C1868">
        <v>1.7141930000000001</v>
      </c>
      <c r="D1868">
        <v>131.86673400000001</v>
      </c>
      <c r="E1868" t="s">
        <v>18</v>
      </c>
      <c r="F1868" t="s">
        <v>18</v>
      </c>
      <c r="G1868">
        <v>3</v>
      </c>
      <c r="H1868">
        <v>3</v>
      </c>
      <c r="I1868" t="s">
        <v>20</v>
      </c>
      <c r="J1868" t="s">
        <v>19</v>
      </c>
      <c r="K1868">
        <v>1.7095560000000001</v>
      </c>
      <c r="L1868" t="s">
        <v>19</v>
      </c>
      <c r="M1868">
        <v>1.5924940000000001</v>
      </c>
      <c r="N1868">
        <v>0.92584299999999997</v>
      </c>
      <c r="O1868" t="s">
        <v>20</v>
      </c>
      <c r="P1868" t="s">
        <v>21</v>
      </c>
      <c r="Q1868" t="s">
        <v>35</v>
      </c>
    </row>
    <row r="1869" spans="1:17" x14ac:dyDescent="0.2">
      <c r="A1869" t="s">
        <v>17</v>
      </c>
      <c r="B1869">
        <v>26</v>
      </c>
      <c r="C1869">
        <v>1.62439</v>
      </c>
      <c r="D1869">
        <v>110.008636</v>
      </c>
      <c r="E1869" t="s">
        <v>18</v>
      </c>
      <c r="F1869" t="s">
        <v>18</v>
      </c>
      <c r="G1869">
        <v>3</v>
      </c>
      <c r="H1869">
        <v>3</v>
      </c>
      <c r="I1869" t="s">
        <v>20</v>
      </c>
      <c r="J1869" t="s">
        <v>19</v>
      </c>
      <c r="K1869">
        <v>2.5074610000000002</v>
      </c>
      <c r="L1869" t="s">
        <v>19</v>
      </c>
      <c r="M1869">
        <v>0</v>
      </c>
      <c r="N1869">
        <v>0.36847200000000002</v>
      </c>
      <c r="O1869" t="s">
        <v>20</v>
      </c>
      <c r="P1869" t="s">
        <v>21</v>
      </c>
      <c r="Q1869" t="s">
        <v>35</v>
      </c>
    </row>
    <row r="1870" spans="1:17" x14ac:dyDescent="0.2">
      <c r="A1870" t="s">
        <v>17</v>
      </c>
      <c r="B1870">
        <v>26</v>
      </c>
      <c r="C1870">
        <v>1.638836</v>
      </c>
      <c r="D1870">
        <v>110.970479</v>
      </c>
      <c r="E1870" t="s">
        <v>18</v>
      </c>
      <c r="F1870" t="s">
        <v>18</v>
      </c>
      <c r="G1870">
        <v>3</v>
      </c>
      <c r="H1870">
        <v>3</v>
      </c>
      <c r="I1870" t="s">
        <v>20</v>
      </c>
      <c r="J1870" t="s">
        <v>19</v>
      </c>
      <c r="K1870">
        <v>2.6441349999999999</v>
      </c>
      <c r="L1870" t="s">
        <v>19</v>
      </c>
      <c r="M1870">
        <v>0</v>
      </c>
      <c r="N1870">
        <v>0.35758099999999998</v>
      </c>
      <c r="O1870" t="s">
        <v>20</v>
      </c>
      <c r="P1870" t="s">
        <v>21</v>
      </c>
      <c r="Q1870" t="s">
        <v>35</v>
      </c>
    </row>
    <row r="1871" spans="1:17" x14ac:dyDescent="0.2">
      <c r="A1871" t="s">
        <v>17</v>
      </c>
      <c r="B1871">
        <v>26</v>
      </c>
      <c r="C1871">
        <v>1.621245</v>
      </c>
      <c r="D1871">
        <v>111.26733400000001</v>
      </c>
      <c r="E1871" t="s">
        <v>18</v>
      </c>
      <c r="F1871" t="s">
        <v>18</v>
      </c>
      <c r="G1871">
        <v>3</v>
      </c>
      <c r="H1871">
        <v>3</v>
      </c>
      <c r="I1871" t="s">
        <v>20</v>
      </c>
      <c r="J1871" t="s">
        <v>19</v>
      </c>
      <c r="K1871">
        <v>2.6056849999999998</v>
      </c>
      <c r="L1871" t="s">
        <v>19</v>
      </c>
      <c r="M1871">
        <v>0</v>
      </c>
      <c r="N1871">
        <v>0.19922699999999999</v>
      </c>
      <c r="O1871" t="s">
        <v>20</v>
      </c>
      <c r="P1871" t="s">
        <v>21</v>
      </c>
      <c r="Q1871" t="s">
        <v>35</v>
      </c>
    </row>
    <row r="1872" spans="1:17" x14ac:dyDescent="0.2">
      <c r="A1872" t="s">
        <v>17</v>
      </c>
      <c r="B1872">
        <v>25.954511</v>
      </c>
      <c r="C1872">
        <v>1.6235139999999999</v>
      </c>
      <c r="D1872">
        <v>109.98014499999999</v>
      </c>
      <c r="E1872" t="s">
        <v>18</v>
      </c>
      <c r="F1872" t="s">
        <v>18</v>
      </c>
      <c r="G1872">
        <v>3</v>
      </c>
      <c r="H1872">
        <v>3</v>
      </c>
      <c r="I1872" t="s">
        <v>20</v>
      </c>
      <c r="J1872" t="s">
        <v>19</v>
      </c>
      <c r="K1872">
        <v>2.2173479999999999</v>
      </c>
      <c r="L1872" t="s">
        <v>19</v>
      </c>
      <c r="M1872">
        <v>1.0150000000000001E-3</v>
      </c>
      <c r="N1872">
        <v>0.48103099999999999</v>
      </c>
      <c r="O1872" t="s">
        <v>20</v>
      </c>
      <c r="P1872" t="s">
        <v>21</v>
      </c>
      <c r="Q1872" t="s">
        <v>35</v>
      </c>
    </row>
    <row r="1873" spans="1:17" x14ac:dyDescent="0.2">
      <c r="A1873" t="s">
        <v>17</v>
      </c>
      <c r="B1873">
        <v>21.001968999999999</v>
      </c>
      <c r="C1873">
        <v>1.7362150000000001</v>
      </c>
      <c r="D1873">
        <v>132.14554899999999</v>
      </c>
      <c r="E1873" t="s">
        <v>18</v>
      </c>
      <c r="F1873" t="s">
        <v>18</v>
      </c>
      <c r="G1873">
        <v>3</v>
      </c>
      <c r="H1873">
        <v>3</v>
      </c>
      <c r="I1873" t="s">
        <v>20</v>
      </c>
      <c r="J1873" t="s">
        <v>19</v>
      </c>
      <c r="K1873">
        <v>1.6575409999999999</v>
      </c>
      <c r="L1873" t="s">
        <v>19</v>
      </c>
      <c r="M1873">
        <v>1.672639</v>
      </c>
      <c r="N1873">
        <v>0.62928499999999998</v>
      </c>
      <c r="O1873" t="s">
        <v>20</v>
      </c>
      <c r="P1873" t="s">
        <v>21</v>
      </c>
      <c r="Q1873" t="s">
        <v>35</v>
      </c>
    </row>
    <row r="1874" spans="1:17" x14ac:dyDescent="0.2">
      <c r="A1874" t="s">
        <v>17</v>
      </c>
      <c r="B1874">
        <v>21.772251000000001</v>
      </c>
      <c r="C1874">
        <v>1.7329509999999999</v>
      </c>
      <c r="D1874">
        <v>132.90488400000001</v>
      </c>
      <c r="E1874" t="s">
        <v>18</v>
      </c>
      <c r="F1874" t="s">
        <v>18</v>
      </c>
      <c r="G1874">
        <v>3</v>
      </c>
      <c r="H1874">
        <v>3</v>
      </c>
      <c r="I1874" t="s">
        <v>20</v>
      </c>
      <c r="J1874" t="s">
        <v>19</v>
      </c>
      <c r="K1874">
        <v>1.8178989999999999</v>
      </c>
      <c r="L1874" t="s">
        <v>19</v>
      </c>
      <c r="M1874">
        <v>1.5778239999999999</v>
      </c>
      <c r="N1874">
        <v>0.930836</v>
      </c>
      <c r="O1874" t="s">
        <v>20</v>
      </c>
      <c r="P1874" t="s">
        <v>21</v>
      </c>
      <c r="Q1874" t="s">
        <v>35</v>
      </c>
    </row>
    <row r="1875" spans="1:17" x14ac:dyDescent="0.2">
      <c r="A1875" t="s">
        <v>17</v>
      </c>
      <c r="B1875">
        <v>23.761970000000002</v>
      </c>
      <c r="C1875">
        <v>1.6913499999999999</v>
      </c>
      <c r="D1875">
        <v>114.48069599999999</v>
      </c>
      <c r="E1875" t="s">
        <v>18</v>
      </c>
      <c r="F1875" t="s">
        <v>18</v>
      </c>
      <c r="G1875">
        <v>3</v>
      </c>
      <c r="H1875">
        <v>3</v>
      </c>
      <c r="I1875" t="s">
        <v>20</v>
      </c>
      <c r="J1875" t="s">
        <v>19</v>
      </c>
      <c r="K1875">
        <v>2.5095350000000001</v>
      </c>
      <c r="L1875" t="s">
        <v>19</v>
      </c>
      <c r="M1875">
        <v>0.33426400000000001</v>
      </c>
      <c r="N1875">
        <v>0.66817199999999999</v>
      </c>
      <c r="O1875" t="s">
        <v>20</v>
      </c>
      <c r="P1875" t="s">
        <v>21</v>
      </c>
      <c r="Q1875" t="s">
        <v>35</v>
      </c>
    </row>
    <row r="1876" spans="1:17" x14ac:dyDescent="0.2">
      <c r="A1876" t="s">
        <v>17</v>
      </c>
      <c r="B1876">
        <v>24.449655</v>
      </c>
      <c r="C1876">
        <v>1.635062</v>
      </c>
      <c r="D1876">
        <v>113.277388</v>
      </c>
      <c r="E1876" t="s">
        <v>18</v>
      </c>
      <c r="F1876" t="s">
        <v>18</v>
      </c>
      <c r="G1876">
        <v>3</v>
      </c>
      <c r="H1876">
        <v>3</v>
      </c>
      <c r="I1876" t="s">
        <v>20</v>
      </c>
      <c r="J1876" t="s">
        <v>19</v>
      </c>
      <c r="K1876">
        <v>2.5780379999999998</v>
      </c>
      <c r="L1876" t="s">
        <v>19</v>
      </c>
      <c r="M1876">
        <v>0.16542200000000001</v>
      </c>
      <c r="N1876">
        <v>0.463196</v>
      </c>
      <c r="O1876" t="s">
        <v>20</v>
      </c>
      <c r="P1876" t="s">
        <v>21</v>
      </c>
      <c r="Q1876" t="s">
        <v>35</v>
      </c>
    </row>
    <row r="1877" spans="1:17" x14ac:dyDescent="0.2">
      <c r="A1877" t="s">
        <v>17</v>
      </c>
      <c r="B1877">
        <v>18.378202999999999</v>
      </c>
      <c r="C1877">
        <v>1.7460610000000001</v>
      </c>
      <c r="D1877">
        <v>128.261402</v>
      </c>
      <c r="E1877" t="s">
        <v>18</v>
      </c>
      <c r="F1877" t="s">
        <v>18</v>
      </c>
      <c r="G1877">
        <v>3</v>
      </c>
      <c r="H1877">
        <v>3</v>
      </c>
      <c r="I1877" t="s">
        <v>20</v>
      </c>
      <c r="J1877" t="s">
        <v>19</v>
      </c>
      <c r="K1877">
        <v>2.5016379999999998</v>
      </c>
      <c r="L1877" t="s">
        <v>19</v>
      </c>
      <c r="M1877">
        <v>1.546179</v>
      </c>
      <c r="N1877">
        <v>0.66488000000000003</v>
      </c>
      <c r="O1877" t="s">
        <v>20</v>
      </c>
      <c r="P1877" t="s">
        <v>21</v>
      </c>
      <c r="Q1877" t="s">
        <v>35</v>
      </c>
    </row>
    <row r="1878" spans="1:17" x14ac:dyDescent="0.2">
      <c r="A1878" t="s">
        <v>17</v>
      </c>
      <c r="B1878">
        <v>19.725718000000001</v>
      </c>
      <c r="C1878">
        <v>1.746529</v>
      </c>
      <c r="D1878">
        <v>129.36377100000001</v>
      </c>
      <c r="E1878" t="s">
        <v>18</v>
      </c>
      <c r="F1878" t="s">
        <v>18</v>
      </c>
      <c r="G1878">
        <v>3</v>
      </c>
      <c r="H1878">
        <v>3</v>
      </c>
      <c r="I1878" t="s">
        <v>20</v>
      </c>
      <c r="J1878" t="s">
        <v>19</v>
      </c>
      <c r="K1878">
        <v>2.2507109999999999</v>
      </c>
      <c r="L1878" t="s">
        <v>19</v>
      </c>
      <c r="M1878">
        <v>0.64234999999999998</v>
      </c>
      <c r="N1878">
        <v>0.68512899999999999</v>
      </c>
      <c r="O1878" t="s">
        <v>20</v>
      </c>
      <c r="P1878" t="s">
        <v>21</v>
      </c>
      <c r="Q1878" t="s">
        <v>35</v>
      </c>
    </row>
    <row r="1879" spans="1:17" x14ac:dyDescent="0.2">
      <c r="A1879" t="s">
        <v>17</v>
      </c>
      <c r="B1879">
        <v>21.344017999999998</v>
      </c>
      <c r="C1879">
        <v>1.746516</v>
      </c>
      <c r="D1879">
        <v>144.30226099999999</v>
      </c>
      <c r="E1879" t="s">
        <v>18</v>
      </c>
      <c r="F1879" t="s">
        <v>18</v>
      </c>
      <c r="G1879">
        <v>3</v>
      </c>
      <c r="H1879">
        <v>3</v>
      </c>
      <c r="I1879" t="s">
        <v>20</v>
      </c>
      <c r="J1879" t="s">
        <v>19</v>
      </c>
      <c r="K1879">
        <v>2.3665099999999999</v>
      </c>
      <c r="L1879" t="s">
        <v>19</v>
      </c>
      <c r="M1879">
        <v>1.2475050000000001</v>
      </c>
      <c r="N1879">
        <v>0.72336599999999995</v>
      </c>
      <c r="O1879" t="s">
        <v>20</v>
      </c>
      <c r="P1879" t="s">
        <v>21</v>
      </c>
      <c r="Q1879" t="s">
        <v>35</v>
      </c>
    </row>
    <row r="1880" spans="1:17" x14ac:dyDescent="0.2">
      <c r="A1880" t="s">
        <v>17</v>
      </c>
      <c r="B1880">
        <v>21.322096999999999</v>
      </c>
      <c r="C1880">
        <v>1.751118</v>
      </c>
      <c r="D1880">
        <v>149.29110600000001</v>
      </c>
      <c r="E1880" t="s">
        <v>18</v>
      </c>
      <c r="F1880" t="s">
        <v>18</v>
      </c>
      <c r="G1880">
        <v>3</v>
      </c>
      <c r="H1880">
        <v>3</v>
      </c>
      <c r="I1880" t="s">
        <v>20</v>
      </c>
      <c r="J1880" t="s">
        <v>19</v>
      </c>
      <c r="K1880">
        <v>2.309409</v>
      </c>
      <c r="L1880" t="s">
        <v>19</v>
      </c>
      <c r="M1880">
        <v>1.6829099999999999</v>
      </c>
      <c r="N1880">
        <v>0.70557999999999998</v>
      </c>
      <c r="O1880" t="s">
        <v>20</v>
      </c>
      <c r="P1880" t="s">
        <v>21</v>
      </c>
      <c r="Q1880" t="s">
        <v>35</v>
      </c>
    </row>
    <row r="1881" spans="1:17" x14ac:dyDescent="0.2">
      <c r="A1881" t="s">
        <v>17</v>
      </c>
      <c r="B1881">
        <v>19.262934000000001</v>
      </c>
      <c r="C1881">
        <v>1.7410140000000001</v>
      </c>
      <c r="D1881">
        <v>132.57927000000001</v>
      </c>
      <c r="E1881" t="s">
        <v>18</v>
      </c>
      <c r="F1881" t="s">
        <v>18</v>
      </c>
      <c r="G1881">
        <v>3</v>
      </c>
      <c r="H1881">
        <v>3</v>
      </c>
      <c r="I1881" t="s">
        <v>20</v>
      </c>
      <c r="J1881" t="s">
        <v>19</v>
      </c>
      <c r="K1881">
        <v>2.436261</v>
      </c>
      <c r="L1881" t="s">
        <v>19</v>
      </c>
      <c r="M1881">
        <v>1.464674</v>
      </c>
      <c r="N1881">
        <v>0.87092000000000003</v>
      </c>
      <c r="O1881" t="s">
        <v>20</v>
      </c>
      <c r="P1881" t="s">
        <v>21</v>
      </c>
      <c r="Q1881" t="s">
        <v>35</v>
      </c>
    </row>
    <row r="1882" spans="1:17" x14ac:dyDescent="0.2">
      <c r="A1882" t="s">
        <v>17</v>
      </c>
      <c r="B1882">
        <v>21.566814999999998</v>
      </c>
      <c r="C1882">
        <v>1.7485329999999999</v>
      </c>
      <c r="D1882">
        <v>133.94607999999999</v>
      </c>
      <c r="E1882" t="s">
        <v>18</v>
      </c>
      <c r="F1882" t="s">
        <v>18</v>
      </c>
      <c r="G1882">
        <v>3</v>
      </c>
      <c r="H1882">
        <v>3</v>
      </c>
      <c r="I1882" t="s">
        <v>20</v>
      </c>
      <c r="J1882" t="s">
        <v>19</v>
      </c>
      <c r="K1882">
        <v>2.8335659999999998</v>
      </c>
      <c r="L1882" t="s">
        <v>19</v>
      </c>
      <c r="M1882">
        <v>1.4132389999999999</v>
      </c>
      <c r="N1882">
        <v>0.86272400000000005</v>
      </c>
      <c r="O1882" t="s">
        <v>20</v>
      </c>
      <c r="P1882" t="s">
        <v>21</v>
      </c>
      <c r="Q1882" t="s">
        <v>35</v>
      </c>
    </row>
    <row r="1883" spans="1:17" x14ac:dyDescent="0.2">
      <c r="A1883" t="s">
        <v>17</v>
      </c>
      <c r="B1883">
        <v>24.475242000000001</v>
      </c>
      <c r="C1883">
        <v>1.694726</v>
      </c>
      <c r="D1883">
        <v>112.776612</v>
      </c>
      <c r="E1883" t="s">
        <v>18</v>
      </c>
      <c r="F1883" t="s">
        <v>18</v>
      </c>
      <c r="G1883">
        <v>3</v>
      </c>
      <c r="H1883">
        <v>3</v>
      </c>
      <c r="I1883" t="s">
        <v>20</v>
      </c>
      <c r="J1883" t="s">
        <v>19</v>
      </c>
      <c r="K1883">
        <v>2.7240989999999998</v>
      </c>
      <c r="L1883" t="s">
        <v>19</v>
      </c>
      <c r="M1883">
        <v>0.33679500000000001</v>
      </c>
      <c r="N1883">
        <v>0.15346199999999999</v>
      </c>
      <c r="O1883" t="s">
        <v>20</v>
      </c>
      <c r="P1883" t="s">
        <v>21</v>
      </c>
      <c r="Q1883" t="s">
        <v>35</v>
      </c>
    </row>
    <row r="1884" spans="1:17" x14ac:dyDescent="0.2">
      <c r="A1884" t="s">
        <v>17</v>
      </c>
      <c r="B1884">
        <v>25.612462000000001</v>
      </c>
      <c r="C1884">
        <v>1.674515</v>
      </c>
      <c r="D1884">
        <v>112.879662</v>
      </c>
      <c r="E1884" t="s">
        <v>18</v>
      </c>
      <c r="F1884" t="s">
        <v>18</v>
      </c>
      <c r="G1884">
        <v>3</v>
      </c>
      <c r="H1884">
        <v>3</v>
      </c>
      <c r="I1884" t="s">
        <v>20</v>
      </c>
      <c r="J1884" t="s">
        <v>19</v>
      </c>
      <c r="K1884">
        <v>2.9893890000000001</v>
      </c>
      <c r="L1884" t="s">
        <v>19</v>
      </c>
      <c r="M1884">
        <v>0.36009000000000002</v>
      </c>
      <c r="N1884">
        <v>0.169016</v>
      </c>
      <c r="O1884" t="s">
        <v>20</v>
      </c>
      <c r="P1884" t="s">
        <v>21</v>
      </c>
      <c r="Q1884" t="s">
        <v>35</v>
      </c>
    </row>
    <row r="1885" spans="1:17" x14ac:dyDescent="0.2">
      <c r="A1885" t="s">
        <v>17</v>
      </c>
      <c r="B1885">
        <v>26</v>
      </c>
      <c r="C1885">
        <v>1.631332</v>
      </c>
      <c r="D1885">
        <v>111.82995699999999</v>
      </c>
      <c r="E1885" t="s">
        <v>18</v>
      </c>
      <c r="F1885" t="s">
        <v>18</v>
      </c>
      <c r="G1885">
        <v>3</v>
      </c>
      <c r="H1885">
        <v>3</v>
      </c>
      <c r="I1885" t="s">
        <v>20</v>
      </c>
      <c r="J1885" t="s">
        <v>19</v>
      </c>
      <c r="K1885">
        <v>2.5597500000000002</v>
      </c>
      <c r="L1885" t="s">
        <v>19</v>
      </c>
      <c r="M1885">
        <v>0</v>
      </c>
      <c r="N1885">
        <v>0.23730699999999999</v>
      </c>
      <c r="O1885" t="s">
        <v>20</v>
      </c>
      <c r="P1885" t="s">
        <v>21</v>
      </c>
      <c r="Q1885" t="s">
        <v>35</v>
      </c>
    </row>
    <row r="1886" spans="1:17" x14ac:dyDescent="0.2">
      <c r="A1886" t="s">
        <v>17</v>
      </c>
      <c r="B1886">
        <v>26</v>
      </c>
      <c r="C1886">
        <v>1.641918</v>
      </c>
      <c r="D1886">
        <v>111.86899</v>
      </c>
      <c r="E1886" t="s">
        <v>18</v>
      </c>
      <c r="F1886" t="s">
        <v>18</v>
      </c>
      <c r="G1886">
        <v>3</v>
      </c>
      <c r="H1886">
        <v>3</v>
      </c>
      <c r="I1886" t="s">
        <v>20</v>
      </c>
      <c r="J1886" t="s">
        <v>19</v>
      </c>
      <c r="K1886">
        <v>2.6354540000000002</v>
      </c>
      <c r="L1886" t="s">
        <v>19</v>
      </c>
      <c r="M1886">
        <v>0</v>
      </c>
      <c r="N1886">
        <v>8.8308999999999999E-2</v>
      </c>
      <c r="O1886" t="s">
        <v>20</v>
      </c>
      <c r="P1886" t="s">
        <v>21</v>
      </c>
      <c r="Q1886" t="s">
        <v>35</v>
      </c>
    </row>
    <row r="1887" spans="1:17" x14ac:dyDescent="0.2">
      <c r="A1887" t="s">
        <v>17</v>
      </c>
      <c r="B1887">
        <v>26</v>
      </c>
      <c r="C1887">
        <v>1.6401250000000001</v>
      </c>
      <c r="D1887">
        <v>111.539494</v>
      </c>
      <c r="E1887" t="s">
        <v>18</v>
      </c>
      <c r="F1887" t="s">
        <v>18</v>
      </c>
      <c r="G1887">
        <v>3</v>
      </c>
      <c r="H1887">
        <v>3</v>
      </c>
      <c r="I1887" t="s">
        <v>20</v>
      </c>
      <c r="J1887" t="s">
        <v>19</v>
      </c>
      <c r="K1887">
        <v>2.625537</v>
      </c>
      <c r="L1887" t="s">
        <v>19</v>
      </c>
      <c r="M1887">
        <v>0</v>
      </c>
      <c r="N1887">
        <v>0.162494</v>
      </c>
      <c r="O1887" t="s">
        <v>20</v>
      </c>
      <c r="P1887" t="s">
        <v>21</v>
      </c>
      <c r="Q1887" t="s">
        <v>35</v>
      </c>
    </row>
    <row r="1888" spans="1:17" x14ac:dyDescent="0.2">
      <c r="A1888" t="s">
        <v>17</v>
      </c>
      <c r="B1888">
        <v>26</v>
      </c>
      <c r="C1888">
        <v>1.649178</v>
      </c>
      <c r="D1888">
        <v>111.914361</v>
      </c>
      <c r="E1888" t="s">
        <v>18</v>
      </c>
      <c r="F1888" t="s">
        <v>18</v>
      </c>
      <c r="G1888">
        <v>3</v>
      </c>
      <c r="H1888">
        <v>3</v>
      </c>
      <c r="I1888" t="s">
        <v>20</v>
      </c>
      <c r="J1888" t="s">
        <v>19</v>
      </c>
      <c r="K1888">
        <v>2.884077</v>
      </c>
      <c r="L1888" t="s">
        <v>19</v>
      </c>
      <c r="M1888">
        <v>0</v>
      </c>
      <c r="N1888">
        <v>9.6575999999999995E-2</v>
      </c>
      <c r="O1888" t="s">
        <v>20</v>
      </c>
      <c r="P1888" t="s">
        <v>21</v>
      </c>
      <c r="Q1888" t="s">
        <v>35</v>
      </c>
    </row>
    <row r="1889" spans="1:17" x14ac:dyDescent="0.2">
      <c r="A1889" t="s">
        <v>17</v>
      </c>
      <c r="B1889">
        <v>25.96773</v>
      </c>
      <c r="C1889">
        <v>1.6034040000000001</v>
      </c>
      <c r="D1889">
        <v>105.031908</v>
      </c>
      <c r="E1889" t="s">
        <v>18</v>
      </c>
      <c r="F1889" t="s">
        <v>18</v>
      </c>
      <c r="G1889">
        <v>3</v>
      </c>
      <c r="H1889">
        <v>3</v>
      </c>
      <c r="I1889" t="s">
        <v>20</v>
      </c>
      <c r="J1889" t="s">
        <v>19</v>
      </c>
      <c r="K1889">
        <v>1.919473</v>
      </c>
      <c r="L1889" t="s">
        <v>19</v>
      </c>
      <c r="M1889">
        <v>2.7101E-2</v>
      </c>
      <c r="N1889">
        <v>0.54613699999999998</v>
      </c>
      <c r="O1889" t="s">
        <v>20</v>
      </c>
      <c r="P1889" t="s">
        <v>21</v>
      </c>
      <c r="Q1889" t="s">
        <v>35</v>
      </c>
    </row>
    <row r="1890" spans="1:17" x14ac:dyDescent="0.2">
      <c r="A1890" t="s">
        <v>17</v>
      </c>
      <c r="B1890">
        <v>25.989937999999999</v>
      </c>
      <c r="C1890">
        <v>1.644199</v>
      </c>
      <c r="D1890">
        <v>105.036075</v>
      </c>
      <c r="E1890" t="s">
        <v>18</v>
      </c>
      <c r="F1890" t="s">
        <v>18</v>
      </c>
      <c r="G1890">
        <v>3</v>
      </c>
      <c r="H1890">
        <v>3</v>
      </c>
      <c r="I1890" t="s">
        <v>20</v>
      </c>
      <c r="J1890" t="s">
        <v>19</v>
      </c>
      <c r="K1890">
        <v>2.310076</v>
      </c>
      <c r="L1890" t="s">
        <v>19</v>
      </c>
      <c r="M1890">
        <v>7.1150000000000005E-2</v>
      </c>
      <c r="N1890">
        <v>0.73308499999999999</v>
      </c>
      <c r="O1890" t="s">
        <v>20</v>
      </c>
      <c r="P1890" t="s">
        <v>21</v>
      </c>
      <c r="Q1890" t="s">
        <v>35</v>
      </c>
    </row>
    <row r="1891" spans="1:17" x14ac:dyDescent="0.2">
      <c r="A1891" t="s">
        <v>17</v>
      </c>
      <c r="B1891">
        <v>26</v>
      </c>
      <c r="C1891">
        <v>1.6289089999999999</v>
      </c>
      <c r="D1891">
        <v>106.875927</v>
      </c>
      <c r="E1891" t="s">
        <v>18</v>
      </c>
      <c r="F1891" t="s">
        <v>18</v>
      </c>
      <c r="G1891">
        <v>3</v>
      </c>
      <c r="H1891">
        <v>3</v>
      </c>
      <c r="I1891" t="s">
        <v>20</v>
      </c>
      <c r="J1891" t="s">
        <v>19</v>
      </c>
      <c r="K1891">
        <v>2.6868240000000001</v>
      </c>
      <c r="L1891" t="s">
        <v>19</v>
      </c>
      <c r="M1891">
        <v>0</v>
      </c>
      <c r="N1891">
        <v>0.54081199999999996</v>
      </c>
      <c r="O1891" t="s">
        <v>20</v>
      </c>
      <c r="P1891" t="s">
        <v>21</v>
      </c>
      <c r="Q1891" t="s">
        <v>35</v>
      </c>
    </row>
    <row r="1892" spans="1:17" x14ac:dyDescent="0.2">
      <c r="A1892" t="s">
        <v>17</v>
      </c>
      <c r="B1892">
        <v>25.617227</v>
      </c>
      <c r="C1892">
        <v>1.6280190000000001</v>
      </c>
      <c r="D1892">
        <v>108.265922</v>
      </c>
      <c r="E1892" t="s">
        <v>18</v>
      </c>
      <c r="F1892" t="s">
        <v>18</v>
      </c>
      <c r="G1892">
        <v>3</v>
      </c>
      <c r="H1892">
        <v>3</v>
      </c>
      <c r="I1892" t="s">
        <v>20</v>
      </c>
      <c r="J1892" t="s">
        <v>19</v>
      </c>
      <c r="K1892">
        <v>1.6213</v>
      </c>
      <c r="L1892" t="s">
        <v>19</v>
      </c>
      <c r="M1892">
        <v>9.0916999999999998E-2</v>
      </c>
      <c r="N1892">
        <v>0.43821599999999999</v>
      </c>
      <c r="O1892" t="s">
        <v>20</v>
      </c>
      <c r="P1892" t="s">
        <v>21</v>
      </c>
      <c r="Q1892" t="s">
        <v>35</v>
      </c>
    </row>
    <row r="1893" spans="1:17" x14ac:dyDescent="0.2">
      <c r="A1893" t="s">
        <v>17</v>
      </c>
      <c r="B1893">
        <v>21.030909000000001</v>
      </c>
      <c r="C1893">
        <v>1.71818</v>
      </c>
      <c r="D1893">
        <v>133.46676299999999</v>
      </c>
      <c r="E1893" t="s">
        <v>18</v>
      </c>
      <c r="F1893" t="s">
        <v>18</v>
      </c>
      <c r="G1893">
        <v>3</v>
      </c>
      <c r="H1893">
        <v>3</v>
      </c>
      <c r="I1893" t="s">
        <v>20</v>
      </c>
      <c r="J1893" t="s">
        <v>19</v>
      </c>
      <c r="K1893">
        <v>1.517215</v>
      </c>
      <c r="L1893" t="s">
        <v>19</v>
      </c>
      <c r="M1893">
        <v>1.486289</v>
      </c>
      <c r="N1893">
        <v>0.93749199999999999</v>
      </c>
      <c r="O1893" t="s">
        <v>20</v>
      </c>
      <c r="P1893" t="s">
        <v>21</v>
      </c>
      <c r="Q1893" t="s">
        <v>35</v>
      </c>
    </row>
    <row r="1894" spans="1:17" x14ac:dyDescent="0.2">
      <c r="A1894" t="s">
        <v>17</v>
      </c>
      <c r="B1894">
        <v>20.951084000000002</v>
      </c>
      <c r="C1894">
        <v>1.7085809999999999</v>
      </c>
      <c r="D1894">
        <v>131.27485100000001</v>
      </c>
      <c r="E1894" t="s">
        <v>18</v>
      </c>
      <c r="F1894" t="s">
        <v>18</v>
      </c>
      <c r="G1894">
        <v>3</v>
      </c>
      <c r="H1894">
        <v>3</v>
      </c>
      <c r="I1894" t="s">
        <v>20</v>
      </c>
      <c r="J1894" t="s">
        <v>19</v>
      </c>
      <c r="K1894">
        <v>1.796956</v>
      </c>
      <c r="L1894" t="s">
        <v>19</v>
      </c>
      <c r="M1894">
        <v>1.684582</v>
      </c>
      <c r="N1894">
        <v>0.88738799999999995</v>
      </c>
      <c r="O1894" t="s">
        <v>20</v>
      </c>
      <c r="P1894" t="s">
        <v>21</v>
      </c>
      <c r="Q1894" t="s">
        <v>35</v>
      </c>
    </row>
    <row r="1895" spans="1:17" x14ac:dyDescent="0.2">
      <c r="A1895" t="s">
        <v>17</v>
      </c>
      <c r="B1895">
        <v>22.980221</v>
      </c>
      <c r="C1895">
        <v>1.7249829999999999</v>
      </c>
      <c r="D1895">
        <v>132.94066000000001</v>
      </c>
      <c r="E1895" t="s">
        <v>18</v>
      </c>
      <c r="F1895" t="s">
        <v>18</v>
      </c>
      <c r="G1895">
        <v>3</v>
      </c>
      <c r="H1895">
        <v>3</v>
      </c>
      <c r="I1895" t="s">
        <v>20</v>
      </c>
      <c r="J1895" t="s">
        <v>19</v>
      </c>
      <c r="K1895">
        <v>2.085553</v>
      </c>
      <c r="L1895" t="s">
        <v>19</v>
      </c>
      <c r="M1895">
        <v>1.2716510000000001</v>
      </c>
      <c r="N1895">
        <v>0.58793200000000001</v>
      </c>
      <c r="O1895" t="s">
        <v>20</v>
      </c>
      <c r="P1895" t="s">
        <v>21</v>
      </c>
      <c r="Q1895" t="s">
        <v>35</v>
      </c>
    </row>
    <row r="1896" spans="1:17" x14ac:dyDescent="0.2">
      <c r="A1896" t="s">
        <v>17</v>
      </c>
      <c r="B1896">
        <v>23.426036</v>
      </c>
      <c r="C1896">
        <v>1.7399910000000001</v>
      </c>
      <c r="D1896">
        <v>133.485478</v>
      </c>
      <c r="E1896" t="s">
        <v>18</v>
      </c>
      <c r="F1896" t="s">
        <v>18</v>
      </c>
      <c r="G1896">
        <v>3</v>
      </c>
      <c r="H1896">
        <v>3</v>
      </c>
      <c r="I1896" t="s">
        <v>20</v>
      </c>
      <c r="J1896" t="s">
        <v>19</v>
      </c>
      <c r="K1896">
        <v>2.8377970000000001</v>
      </c>
      <c r="L1896" t="s">
        <v>19</v>
      </c>
      <c r="M1896">
        <v>1.3438749999999999</v>
      </c>
      <c r="N1896">
        <v>0.80315599999999998</v>
      </c>
      <c r="O1896" t="s">
        <v>20</v>
      </c>
      <c r="P1896" t="s">
        <v>21</v>
      </c>
      <c r="Q1896" t="s">
        <v>35</v>
      </c>
    </row>
    <row r="1897" spans="1:17" x14ac:dyDescent="0.2">
      <c r="A1897" t="s">
        <v>17</v>
      </c>
      <c r="B1897">
        <v>25.999185000000001</v>
      </c>
      <c r="C1897">
        <v>1.568543</v>
      </c>
      <c r="D1897">
        <v>102.000122</v>
      </c>
      <c r="E1897" t="s">
        <v>18</v>
      </c>
      <c r="F1897" t="s">
        <v>18</v>
      </c>
      <c r="G1897">
        <v>3</v>
      </c>
      <c r="H1897">
        <v>3</v>
      </c>
      <c r="I1897" t="s">
        <v>20</v>
      </c>
      <c r="J1897" t="s">
        <v>19</v>
      </c>
      <c r="K1897">
        <v>1.0005440000000001</v>
      </c>
      <c r="L1897" t="s">
        <v>19</v>
      </c>
      <c r="M1897">
        <v>1.297E-3</v>
      </c>
      <c r="N1897">
        <v>1</v>
      </c>
      <c r="O1897" t="s">
        <v>20</v>
      </c>
      <c r="P1897" t="s">
        <v>21</v>
      </c>
      <c r="Q1897" t="s">
        <v>35</v>
      </c>
    </row>
    <row r="1898" spans="1:17" x14ac:dyDescent="0.2">
      <c r="A1898" t="s">
        <v>17</v>
      </c>
      <c r="B1898">
        <v>25.934757000000001</v>
      </c>
      <c r="C1898">
        <v>1.579893</v>
      </c>
      <c r="D1898">
        <v>102.134646</v>
      </c>
      <c r="E1898" t="s">
        <v>18</v>
      </c>
      <c r="F1898" t="s">
        <v>18</v>
      </c>
      <c r="G1898">
        <v>3</v>
      </c>
      <c r="H1898">
        <v>3</v>
      </c>
      <c r="I1898" t="s">
        <v>20</v>
      </c>
      <c r="J1898" t="s">
        <v>19</v>
      </c>
      <c r="K1898">
        <v>1.0058640000000001</v>
      </c>
      <c r="L1898" t="s">
        <v>19</v>
      </c>
      <c r="M1898">
        <v>2.0060000000000001E-2</v>
      </c>
      <c r="N1898">
        <v>0.69583799999999996</v>
      </c>
      <c r="O1898" t="s">
        <v>20</v>
      </c>
      <c r="P1898" t="s">
        <v>21</v>
      </c>
      <c r="Q1898" t="s">
        <v>35</v>
      </c>
    </row>
    <row r="1899" spans="1:17" x14ac:dyDescent="0.2">
      <c r="A1899" t="s">
        <v>17</v>
      </c>
      <c r="B1899">
        <v>20.327722999999999</v>
      </c>
      <c r="C1899">
        <v>1.7827139999999999</v>
      </c>
      <c r="D1899">
        <v>154.61844600000001</v>
      </c>
      <c r="E1899" t="s">
        <v>18</v>
      </c>
      <c r="F1899" t="s">
        <v>18</v>
      </c>
      <c r="G1899">
        <v>3</v>
      </c>
      <c r="H1899">
        <v>3</v>
      </c>
      <c r="I1899" t="s">
        <v>20</v>
      </c>
      <c r="J1899" t="s">
        <v>19</v>
      </c>
      <c r="K1899">
        <v>2.3195589999999999</v>
      </c>
      <c r="L1899" t="s">
        <v>19</v>
      </c>
      <c r="M1899">
        <v>1.9707300000000001</v>
      </c>
      <c r="N1899">
        <v>0.76837500000000003</v>
      </c>
      <c r="O1899" t="s">
        <v>20</v>
      </c>
      <c r="P1899" t="s">
        <v>21</v>
      </c>
      <c r="Q1899" t="s">
        <v>35</v>
      </c>
    </row>
    <row r="1900" spans="1:17" x14ac:dyDescent="0.2">
      <c r="A1900" t="s">
        <v>17</v>
      </c>
      <c r="B1900">
        <v>19.472190000000001</v>
      </c>
      <c r="C1900">
        <v>1.7938240000000001</v>
      </c>
      <c r="D1900">
        <v>160.935351</v>
      </c>
      <c r="E1900" t="s">
        <v>18</v>
      </c>
      <c r="F1900" t="s">
        <v>18</v>
      </c>
      <c r="G1900">
        <v>3</v>
      </c>
      <c r="H1900">
        <v>3</v>
      </c>
      <c r="I1900" t="s">
        <v>20</v>
      </c>
      <c r="J1900" t="s">
        <v>19</v>
      </c>
      <c r="K1900">
        <v>2.0692569999999999</v>
      </c>
      <c r="L1900" t="s">
        <v>19</v>
      </c>
      <c r="M1900">
        <v>1.9866459999999999</v>
      </c>
      <c r="N1900">
        <v>0.94709100000000002</v>
      </c>
      <c r="O1900" t="s">
        <v>20</v>
      </c>
      <c r="P1900" t="s">
        <v>21</v>
      </c>
      <c r="Q1900" t="s">
        <v>35</v>
      </c>
    </row>
    <row r="1901" spans="1:17" x14ac:dyDescent="0.2">
      <c r="A1901" t="s">
        <v>17</v>
      </c>
      <c r="B1901">
        <v>26</v>
      </c>
      <c r="C1901">
        <v>1.6595569999999999</v>
      </c>
      <c r="D1901">
        <v>111.99909599999999</v>
      </c>
      <c r="E1901" t="s">
        <v>18</v>
      </c>
      <c r="F1901" t="s">
        <v>18</v>
      </c>
      <c r="G1901">
        <v>3</v>
      </c>
      <c r="H1901">
        <v>3</v>
      </c>
      <c r="I1901" t="s">
        <v>20</v>
      </c>
      <c r="J1901" t="s">
        <v>19</v>
      </c>
      <c r="K1901">
        <v>2.9565480000000002</v>
      </c>
      <c r="L1901" t="s">
        <v>19</v>
      </c>
      <c r="M1901">
        <v>0</v>
      </c>
      <c r="N1901">
        <v>1.0056000000000001E-2</v>
      </c>
      <c r="O1901" t="s">
        <v>20</v>
      </c>
      <c r="P1901" t="s">
        <v>21</v>
      </c>
      <c r="Q1901" t="s">
        <v>35</v>
      </c>
    </row>
    <row r="1902" spans="1:17" x14ac:dyDescent="0.2">
      <c r="A1902" t="s">
        <v>17</v>
      </c>
      <c r="B1902">
        <v>26</v>
      </c>
      <c r="C1902">
        <v>1.6578200000000001</v>
      </c>
      <c r="D1902">
        <v>111.95611</v>
      </c>
      <c r="E1902" t="s">
        <v>18</v>
      </c>
      <c r="F1902" t="s">
        <v>18</v>
      </c>
      <c r="G1902">
        <v>3</v>
      </c>
      <c r="H1902">
        <v>3</v>
      </c>
      <c r="I1902" t="s">
        <v>20</v>
      </c>
      <c r="J1902" t="s">
        <v>19</v>
      </c>
      <c r="K1902">
        <v>2.7775569999999998</v>
      </c>
      <c r="L1902" t="s">
        <v>19</v>
      </c>
      <c r="M1902">
        <v>0</v>
      </c>
      <c r="N1902">
        <v>5.1858000000000001E-2</v>
      </c>
      <c r="O1902" t="s">
        <v>20</v>
      </c>
      <c r="P1902" t="s">
        <v>21</v>
      </c>
      <c r="Q1902" t="s">
        <v>35</v>
      </c>
    </row>
    <row r="1903" spans="1:17" x14ac:dyDescent="0.2">
      <c r="A1903" t="s">
        <v>17</v>
      </c>
      <c r="B1903">
        <v>25.816445000000002</v>
      </c>
      <c r="C1903">
        <v>1.6840820000000001</v>
      </c>
      <c r="D1903">
        <v>104.592372</v>
      </c>
      <c r="E1903" t="s">
        <v>18</v>
      </c>
      <c r="F1903" t="s">
        <v>18</v>
      </c>
      <c r="G1903">
        <v>3</v>
      </c>
      <c r="H1903">
        <v>3</v>
      </c>
      <c r="I1903" t="s">
        <v>20</v>
      </c>
      <c r="J1903" t="s">
        <v>19</v>
      </c>
      <c r="K1903">
        <v>1.295436</v>
      </c>
      <c r="L1903" t="s">
        <v>19</v>
      </c>
      <c r="M1903">
        <v>0.28206300000000001</v>
      </c>
      <c r="N1903">
        <v>0.92935599999999996</v>
      </c>
      <c r="O1903" t="s">
        <v>20</v>
      </c>
      <c r="P1903" t="s">
        <v>21</v>
      </c>
      <c r="Q1903" t="s">
        <v>35</v>
      </c>
    </row>
    <row r="1904" spans="1:17" x14ac:dyDescent="0.2">
      <c r="A1904" t="s">
        <v>17</v>
      </c>
      <c r="B1904">
        <v>25.498964999999998</v>
      </c>
      <c r="C1904">
        <v>1.6839500000000001</v>
      </c>
      <c r="D1904">
        <v>104.846817</v>
      </c>
      <c r="E1904" t="s">
        <v>18</v>
      </c>
      <c r="F1904" t="s">
        <v>18</v>
      </c>
      <c r="G1904">
        <v>3</v>
      </c>
      <c r="H1904">
        <v>3</v>
      </c>
      <c r="I1904" t="s">
        <v>20</v>
      </c>
      <c r="J1904" t="s">
        <v>19</v>
      </c>
      <c r="K1904">
        <v>1.2413780000000001</v>
      </c>
      <c r="L1904" t="s">
        <v>19</v>
      </c>
      <c r="M1904">
        <v>0.25942700000000002</v>
      </c>
      <c r="N1904">
        <v>0.85236199999999995</v>
      </c>
      <c r="O1904" t="s">
        <v>20</v>
      </c>
      <c r="P1904" t="s">
        <v>21</v>
      </c>
      <c r="Q1904" t="s">
        <v>35</v>
      </c>
    </row>
    <row r="1905" spans="1:17" x14ac:dyDescent="0.2">
      <c r="A1905" t="s">
        <v>17</v>
      </c>
      <c r="B1905">
        <v>19.137495000000001</v>
      </c>
      <c r="C1905">
        <v>1.716521</v>
      </c>
      <c r="D1905">
        <v>127.642324</v>
      </c>
      <c r="E1905" t="s">
        <v>18</v>
      </c>
      <c r="F1905" t="s">
        <v>18</v>
      </c>
      <c r="G1905">
        <v>3</v>
      </c>
      <c r="H1905">
        <v>3</v>
      </c>
      <c r="I1905" t="s">
        <v>20</v>
      </c>
      <c r="J1905" t="s">
        <v>19</v>
      </c>
      <c r="K1905">
        <v>1.3138339999999999</v>
      </c>
      <c r="L1905" t="s">
        <v>19</v>
      </c>
      <c r="M1905">
        <v>0.91233399999999998</v>
      </c>
      <c r="N1905">
        <v>0.70749399999999996</v>
      </c>
      <c r="O1905" t="s">
        <v>20</v>
      </c>
      <c r="P1905" t="s">
        <v>21</v>
      </c>
      <c r="Q1905" t="s">
        <v>35</v>
      </c>
    </row>
    <row r="1906" spans="1:17" x14ac:dyDescent="0.2">
      <c r="A1906" t="s">
        <v>17</v>
      </c>
      <c r="B1906">
        <v>20.190733000000002</v>
      </c>
      <c r="C1906">
        <v>1.6807620000000001</v>
      </c>
      <c r="D1906">
        <v>125.418548</v>
      </c>
      <c r="E1906" t="s">
        <v>18</v>
      </c>
      <c r="F1906" t="s">
        <v>18</v>
      </c>
      <c r="G1906">
        <v>3</v>
      </c>
      <c r="H1906">
        <v>3</v>
      </c>
      <c r="I1906" t="s">
        <v>20</v>
      </c>
      <c r="J1906" t="s">
        <v>19</v>
      </c>
      <c r="K1906">
        <v>1.124366</v>
      </c>
      <c r="L1906" t="s">
        <v>19</v>
      </c>
      <c r="M1906">
        <v>0.87706700000000004</v>
      </c>
      <c r="N1906">
        <v>0.552006</v>
      </c>
      <c r="O1906" t="s">
        <v>20</v>
      </c>
      <c r="P1906" t="s">
        <v>21</v>
      </c>
      <c r="Q1906" t="s">
        <v>35</v>
      </c>
    </row>
    <row r="1907" spans="1:17" x14ac:dyDescent="0.2">
      <c r="A1907" t="s">
        <v>17</v>
      </c>
      <c r="B1907">
        <v>26</v>
      </c>
      <c r="C1907">
        <v>1.6233029999999999</v>
      </c>
      <c r="D1907">
        <v>110.81746</v>
      </c>
      <c r="E1907" t="s">
        <v>18</v>
      </c>
      <c r="F1907" t="s">
        <v>18</v>
      </c>
      <c r="G1907">
        <v>3</v>
      </c>
      <c r="H1907">
        <v>3</v>
      </c>
      <c r="I1907" t="s">
        <v>20</v>
      </c>
      <c r="J1907" t="s">
        <v>19</v>
      </c>
      <c r="K1907">
        <v>2.6737540000000002</v>
      </c>
      <c r="L1907" t="s">
        <v>19</v>
      </c>
      <c r="M1907">
        <v>0</v>
      </c>
      <c r="N1907">
        <v>0.33928999999999998</v>
      </c>
      <c r="O1907" t="s">
        <v>20</v>
      </c>
      <c r="P1907" t="s">
        <v>21</v>
      </c>
      <c r="Q1907" t="s">
        <v>35</v>
      </c>
    </row>
    <row r="1908" spans="1:17" x14ac:dyDescent="0.2">
      <c r="A1908" t="s">
        <v>17</v>
      </c>
      <c r="B1908">
        <v>26</v>
      </c>
      <c r="C1908">
        <v>1.631856</v>
      </c>
      <c r="D1908">
        <v>110.804337</v>
      </c>
      <c r="E1908" t="s">
        <v>18</v>
      </c>
      <c r="F1908" t="s">
        <v>18</v>
      </c>
      <c r="G1908">
        <v>3</v>
      </c>
      <c r="H1908">
        <v>3</v>
      </c>
      <c r="I1908" t="s">
        <v>20</v>
      </c>
      <c r="J1908" t="s">
        <v>19</v>
      </c>
      <c r="K1908">
        <v>2.70485</v>
      </c>
      <c r="L1908" t="s">
        <v>19</v>
      </c>
      <c r="M1908">
        <v>0</v>
      </c>
      <c r="N1908">
        <v>0.243338</v>
      </c>
      <c r="O1908" t="s">
        <v>20</v>
      </c>
      <c r="P1908" t="s">
        <v>21</v>
      </c>
      <c r="Q1908" t="s">
        <v>35</v>
      </c>
    </row>
    <row r="1909" spans="1:17" x14ac:dyDescent="0.2">
      <c r="A1909" t="s">
        <v>17</v>
      </c>
      <c r="B1909">
        <v>21.840654000000001</v>
      </c>
      <c r="C1909">
        <v>1.747479</v>
      </c>
      <c r="D1909">
        <v>136.516648</v>
      </c>
      <c r="E1909" t="s">
        <v>18</v>
      </c>
      <c r="F1909" t="s">
        <v>18</v>
      </c>
      <c r="G1909">
        <v>3</v>
      </c>
      <c r="H1909">
        <v>3</v>
      </c>
      <c r="I1909" t="s">
        <v>20</v>
      </c>
      <c r="J1909" t="s">
        <v>19</v>
      </c>
      <c r="K1909">
        <v>1.607531</v>
      </c>
      <c r="L1909" t="s">
        <v>19</v>
      </c>
      <c r="M1909">
        <v>1.963379</v>
      </c>
      <c r="N1909">
        <v>0.85839200000000004</v>
      </c>
      <c r="O1909" t="s">
        <v>20</v>
      </c>
      <c r="P1909" t="s">
        <v>21</v>
      </c>
      <c r="Q1909" t="s">
        <v>35</v>
      </c>
    </row>
    <row r="1910" spans="1:17" x14ac:dyDescent="0.2">
      <c r="A1910" t="s">
        <v>17</v>
      </c>
      <c r="B1910">
        <v>20.871666999999999</v>
      </c>
      <c r="C1910">
        <v>1.7824530000000001</v>
      </c>
      <c r="D1910">
        <v>137.85261800000001</v>
      </c>
      <c r="E1910" t="s">
        <v>18</v>
      </c>
      <c r="F1910" t="s">
        <v>18</v>
      </c>
      <c r="G1910">
        <v>3</v>
      </c>
      <c r="H1910">
        <v>3</v>
      </c>
      <c r="I1910" t="s">
        <v>20</v>
      </c>
      <c r="J1910" t="s">
        <v>19</v>
      </c>
      <c r="K1910">
        <v>2.7489089999999998</v>
      </c>
      <c r="L1910" t="s">
        <v>19</v>
      </c>
      <c r="M1910">
        <v>1.989171</v>
      </c>
      <c r="N1910">
        <v>0.83251500000000001</v>
      </c>
      <c r="O1910" t="s">
        <v>20</v>
      </c>
      <c r="P1910" t="s">
        <v>21</v>
      </c>
      <c r="Q1910" t="s">
        <v>35</v>
      </c>
    </row>
    <row r="1911" spans="1:17" x14ac:dyDescent="0.2">
      <c r="A1911" t="s">
        <v>17</v>
      </c>
      <c r="B1911">
        <v>21.501721</v>
      </c>
      <c r="C1911">
        <v>1.809871</v>
      </c>
      <c r="D1911">
        <v>152.39473899999999</v>
      </c>
      <c r="E1911" t="s">
        <v>18</v>
      </c>
      <c r="F1911" t="s">
        <v>18</v>
      </c>
      <c r="G1911">
        <v>3</v>
      </c>
      <c r="H1911">
        <v>3</v>
      </c>
      <c r="I1911" t="s">
        <v>20</v>
      </c>
      <c r="J1911" t="s">
        <v>19</v>
      </c>
      <c r="K1911">
        <v>2.351207</v>
      </c>
      <c r="L1911" t="s">
        <v>19</v>
      </c>
      <c r="M1911">
        <v>0.24683099999999999</v>
      </c>
      <c r="N1911">
        <v>0.91335999999999995</v>
      </c>
      <c r="O1911" t="s">
        <v>20</v>
      </c>
      <c r="P1911" t="s">
        <v>21</v>
      </c>
      <c r="Q1911" t="s">
        <v>35</v>
      </c>
    </row>
    <row r="1912" spans="1:17" x14ac:dyDescent="0.2">
      <c r="A1912" t="s">
        <v>17</v>
      </c>
      <c r="B1912">
        <v>21.521294000000001</v>
      </c>
      <c r="C1912">
        <v>1.803677</v>
      </c>
      <c r="D1912">
        <v>160.63940500000001</v>
      </c>
      <c r="E1912" t="s">
        <v>18</v>
      </c>
      <c r="F1912" t="s">
        <v>18</v>
      </c>
      <c r="G1912">
        <v>3</v>
      </c>
      <c r="H1912">
        <v>3</v>
      </c>
      <c r="I1912" t="s">
        <v>20</v>
      </c>
      <c r="J1912" t="s">
        <v>19</v>
      </c>
      <c r="K1912">
        <v>2.4040490000000001</v>
      </c>
      <c r="L1912" t="s">
        <v>19</v>
      </c>
      <c r="M1912">
        <v>0.42790499999999998</v>
      </c>
      <c r="N1912">
        <v>0.63989399999999996</v>
      </c>
      <c r="O1912" t="s">
        <v>20</v>
      </c>
      <c r="P1912" t="s">
        <v>21</v>
      </c>
      <c r="Q1912" t="s">
        <v>35</v>
      </c>
    </row>
    <row r="1913" spans="1:17" x14ac:dyDescent="0.2">
      <c r="A1913" t="s">
        <v>17</v>
      </c>
      <c r="B1913">
        <v>18.314592999999999</v>
      </c>
      <c r="C1913">
        <v>1.7456020000000001</v>
      </c>
      <c r="D1913">
        <v>133.554686</v>
      </c>
      <c r="E1913" t="s">
        <v>18</v>
      </c>
      <c r="F1913" t="s">
        <v>18</v>
      </c>
      <c r="G1913">
        <v>3</v>
      </c>
      <c r="H1913">
        <v>3</v>
      </c>
      <c r="I1913" t="s">
        <v>20</v>
      </c>
      <c r="J1913" t="s">
        <v>19</v>
      </c>
      <c r="K1913">
        <v>2.9237920000000002</v>
      </c>
      <c r="L1913" t="s">
        <v>19</v>
      </c>
      <c r="M1913">
        <v>1.5365549999999999</v>
      </c>
      <c r="N1913">
        <v>0.62534999999999996</v>
      </c>
      <c r="O1913" t="s">
        <v>20</v>
      </c>
      <c r="P1913" t="s">
        <v>21</v>
      </c>
      <c r="Q1913" t="s">
        <v>35</v>
      </c>
    </row>
    <row r="1914" spans="1:17" x14ac:dyDescent="0.2">
      <c r="A1914" t="s">
        <v>17</v>
      </c>
      <c r="B1914">
        <v>19.529745999999999</v>
      </c>
      <c r="C1914">
        <v>1.7510380000000001</v>
      </c>
      <c r="D1914">
        <v>133.84303299999999</v>
      </c>
      <c r="E1914" t="s">
        <v>18</v>
      </c>
      <c r="F1914" t="s">
        <v>18</v>
      </c>
      <c r="G1914">
        <v>3</v>
      </c>
      <c r="H1914">
        <v>3</v>
      </c>
      <c r="I1914" t="s">
        <v>20</v>
      </c>
      <c r="J1914" t="s">
        <v>19</v>
      </c>
      <c r="K1914">
        <v>2.9550749999999999</v>
      </c>
      <c r="L1914" t="s">
        <v>19</v>
      </c>
      <c r="M1914">
        <v>1.4604600000000001</v>
      </c>
      <c r="N1914">
        <v>0.65555799999999997</v>
      </c>
      <c r="O1914" t="s">
        <v>20</v>
      </c>
      <c r="P1914" t="s">
        <v>21</v>
      </c>
      <c r="Q1914" t="s">
        <v>35</v>
      </c>
    </row>
    <row r="1915" spans="1:17" x14ac:dyDescent="0.2">
      <c r="A1915" t="s">
        <v>17</v>
      </c>
      <c r="B1915">
        <v>26</v>
      </c>
      <c r="C1915">
        <v>1.6315470000000001</v>
      </c>
      <c r="D1915">
        <v>111.58862499999999</v>
      </c>
      <c r="E1915" t="s">
        <v>18</v>
      </c>
      <c r="F1915" t="s">
        <v>18</v>
      </c>
      <c r="G1915">
        <v>3</v>
      </c>
      <c r="H1915">
        <v>3</v>
      </c>
      <c r="I1915" t="s">
        <v>20</v>
      </c>
      <c r="J1915" t="s">
        <v>19</v>
      </c>
      <c r="K1915">
        <v>2.5540069999999999</v>
      </c>
      <c r="L1915" t="s">
        <v>19</v>
      </c>
      <c r="M1915">
        <v>0</v>
      </c>
      <c r="N1915">
        <v>0.252635</v>
      </c>
      <c r="O1915" t="s">
        <v>20</v>
      </c>
      <c r="P1915" t="s">
        <v>21</v>
      </c>
      <c r="Q1915" t="s">
        <v>35</v>
      </c>
    </row>
    <row r="1916" spans="1:17" x14ac:dyDescent="0.2">
      <c r="A1916" t="s">
        <v>17</v>
      </c>
      <c r="B1916">
        <v>26</v>
      </c>
      <c r="C1916">
        <v>1.6359049999999999</v>
      </c>
      <c r="D1916">
        <v>111.57107600000001</v>
      </c>
      <c r="E1916" t="s">
        <v>18</v>
      </c>
      <c r="F1916" t="s">
        <v>18</v>
      </c>
      <c r="G1916">
        <v>3</v>
      </c>
      <c r="H1916">
        <v>3</v>
      </c>
      <c r="I1916" t="s">
        <v>20</v>
      </c>
      <c r="J1916" t="s">
        <v>19</v>
      </c>
      <c r="K1916">
        <v>2.5113989999999999</v>
      </c>
      <c r="L1916" t="s">
        <v>19</v>
      </c>
      <c r="M1916">
        <v>0</v>
      </c>
      <c r="N1916">
        <v>0.25847199999999998</v>
      </c>
      <c r="O1916" t="s">
        <v>20</v>
      </c>
      <c r="P1916" t="s">
        <v>21</v>
      </c>
      <c r="Q1916" t="s">
        <v>35</v>
      </c>
    </row>
    <row r="1917" spans="1:17" x14ac:dyDescent="0.2">
      <c r="A1917" t="s">
        <v>17</v>
      </c>
      <c r="B1917">
        <v>26</v>
      </c>
      <c r="C1917">
        <v>1.6169750000000001</v>
      </c>
      <c r="D1917">
        <v>104.84621799999999</v>
      </c>
      <c r="E1917" t="s">
        <v>18</v>
      </c>
      <c r="F1917" t="s">
        <v>18</v>
      </c>
      <c r="G1917">
        <v>3</v>
      </c>
      <c r="H1917">
        <v>3</v>
      </c>
      <c r="I1917" t="s">
        <v>20</v>
      </c>
      <c r="J1917" t="s">
        <v>19</v>
      </c>
      <c r="K1917">
        <v>2.6535630000000001</v>
      </c>
      <c r="L1917" t="s">
        <v>19</v>
      </c>
      <c r="M1917">
        <v>0</v>
      </c>
      <c r="N1917">
        <v>0.55415000000000003</v>
      </c>
      <c r="O1917" t="s">
        <v>20</v>
      </c>
      <c r="P1917" t="s">
        <v>21</v>
      </c>
      <c r="Q1917" t="s">
        <v>35</v>
      </c>
    </row>
    <row r="1918" spans="1:17" x14ac:dyDescent="0.2">
      <c r="A1918" t="s">
        <v>17</v>
      </c>
      <c r="B1918">
        <v>26</v>
      </c>
      <c r="C1918">
        <v>1.62788</v>
      </c>
      <c r="D1918">
        <v>104.92057</v>
      </c>
      <c r="E1918" t="s">
        <v>18</v>
      </c>
      <c r="F1918" t="s">
        <v>18</v>
      </c>
      <c r="G1918">
        <v>3</v>
      </c>
      <c r="H1918">
        <v>3</v>
      </c>
      <c r="I1918" t="s">
        <v>20</v>
      </c>
      <c r="J1918" t="s">
        <v>19</v>
      </c>
      <c r="K1918">
        <v>2.5881069999999999</v>
      </c>
      <c r="L1918" t="s">
        <v>19</v>
      </c>
      <c r="M1918">
        <v>0</v>
      </c>
      <c r="N1918">
        <v>0.46560699999999999</v>
      </c>
      <c r="O1918" t="s">
        <v>20</v>
      </c>
      <c r="P1918" t="s">
        <v>21</v>
      </c>
      <c r="Q1918" t="s">
        <v>35</v>
      </c>
    </row>
    <row r="1919" spans="1:17" x14ac:dyDescent="0.2">
      <c r="A1919" t="s">
        <v>17</v>
      </c>
      <c r="B1919">
        <v>21.768153000000002</v>
      </c>
      <c r="C1919">
        <v>1.76416</v>
      </c>
      <c r="D1919">
        <v>133.88862900000001</v>
      </c>
      <c r="E1919" t="s">
        <v>18</v>
      </c>
      <c r="F1919" t="s">
        <v>18</v>
      </c>
      <c r="G1919">
        <v>3</v>
      </c>
      <c r="H1919">
        <v>3</v>
      </c>
      <c r="I1919" t="s">
        <v>20</v>
      </c>
      <c r="J1919" t="s">
        <v>19</v>
      </c>
      <c r="K1919">
        <v>2.3250199999999999</v>
      </c>
      <c r="L1919" t="s">
        <v>19</v>
      </c>
      <c r="M1919">
        <v>1.441791</v>
      </c>
      <c r="N1919">
        <v>0.91846799999999995</v>
      </c>
      <c r="O1919" t="s">
        <v>20</v>
      </c>
      <c r="P1919" t="s">
        <v>21</v>
      </c>
      <c r="Q1919" t="s">
        <v>35</v>
      </c>
    </row>
    <row r="1920" spans="1:17" x14ac:dyDescent="0.2">
      <c r="A1920" t="s">
        <v>17</v>
      </c>
      <c r="B1920">
        <v>21.238416000000001</v>
      </c>
      <c r="C1920">
        <v>1.7638469999999999</v>
      </c>
      <c r="D1920">
        <v>133.937873</v>
      </c>
      <c r="E1920" t="s">
        <v>18</v>
      </c>
      <c r="F1920" t="s">
        <v>18</v>
      </c>
      <c r="G1920">
        <v>3</v>
      </c>
      <c r="H1920">
        <v>3</v>
      </c>
      <c r="I1920" t="s">
        <v>20</v>
      </c>
      <c r="J1920" t="s">
        <v>19</v>
      </c>
      <c r="K1920">
        <v>2.8367909999999998</v>
      </c>
      <c r="L1920" t="s">
        <v>19</v>
      </c>
      <c r="M1920">
        <v>1.4678199999999999</v>
      </c>
      <c r="N1920">
        <v>0.89052699999999996</v>
      </c>
      <c r="O1920" t="s">
        <v>20</v>
      </c>
      <c r="P1920" t="s">
        <v>21</v>
      </c>
      <c r="Q1920" t="s">
        <v>35</v>
      </c>
    </row>
    <row r="1921" spans="1:17" x14ac:dyDescent="0.2">
      <c r="A1921" t="s">
        <v>17</v>
      </c>
      <c r="B1921">
        <v>25.930375999999999</v>
      </c>
      <c r="C1921">
        <v>1.608808</v>
      </c>
      <c r="D1921">
        <v>102.08396399999999</v>
      </c>
      <c r="E1921" t="s">
        <v>18</v>
      </c>
      <c r="F1921" t="s">
        <v>18</v>
      </c>
      <c r="G1921">
        <v>3</v>
      </c>
      <c r="H1921">
        <v>3</v>
      </c>
      <c r="I1921" t="s">
        <v>20</v>
      </c>
      <c r="J1921" t="s">
        <v>19</v>
      </c>
      <c r="K1921">
        <v>1.019684</v>
      </c>
      <c r="L1921" t="s">
        <v>19</v>
      </c>
      <c r="M1921">
        <v>2.6033000000000001E-2</v>
      </c>
      <c r="N1921">
        <v>1</v>
      </c>
      <c r="O1921" t="s">
        <v>20</v>
      </c>
      <c r="P1921" t="s">
        <v>21</v>
      </c>
      <c r="Q1921" t="s">
        <v>35</v>
      </c>
    </row>
    <row r="1922" spans="1:17" x14ac:dyDescent="0.2">
      <c r="A1922" t="s">
        <v>17</v>
      </c>
      <c r="B1922">
        <v>25.919571000000001</v>
      </c>
      <c r="C1922">
        <v>1.6104879999999999</v>
      </c>
      <c r="D1922">
        <v>102.174953</v>
      </c>
      <c r="E1922" t="s">
        <v>18</v>
      </c>
      <c r="F1922" t="s">
        <v>18</v>
      </c>
      <c r="G1922">
        <v>3</v>
      </c>
      <c r="H1922">
        <v>3</v>
      </c>
      <c r="I1922" t="s">
        <v>20</v>
      </c>
      <c r="J1922" t="s">
        <v>19</v>
      </c>
      <c r="K1922">
        <v>1.032834</v>
      </c>
      <c r="L1922" t="s">
        <v>19</v>
      </c>
      <c r="M1922">
        <v>4.5249999999999999E-2</v>
      </c>
      <c r="N1922">
        <v>0.92274900000000004</v>
      </c>
      <c r="O1922" t="s">
        <v>20</v>
      </c>
      <c r="P1922" t="s">
        <v>21</v>
      </c>
      <c r="Q1922" t="s">
        <v>35</v>
      </c>
    </row>
    <row r="1923" spans="1:17" x14ac:dyDescent="0.2">
      <c r="A1923" t="s">
        <v>17</v>
      </c>
      <c r="B1923">
        <v>25.918524000000001</v>
      </c>
      <c r="C1923">
        <v>1.6212310000000001</v>
      </c>
      <c r="D1923">
        <v>104.98679199999999</v>
      </c>
      <c r="E1923" t="s">
        <v>18</v>
      </c>
      <c r="F1923" t="s">
        <v>18</v>
      </c>
      <c r="G1923">
        <v>3</v>
      </c>
      <c r="H1923">
        <v>3</v>
      </c>
      <c r="I1923" t="s">
        <v>20</v>
      </c>
      <c r="J1923" t="s">
        <v>19</v>
      </c>
      <c r="K1923">
        <v>1.653049</v>
      </c>
      <c r="L1923" t="s">
        <v>19</v>
      </c>
      <c r="M1923">
        <v>0.139159</v>
      </c>
      <c r="N1923">
        <v>0.71133100000000005</v>
      </c>
      <c r="O1923" t="s">
        <v>20</v>
      </c>
      <c r="P1923" t="s">
        <v>21</v>
      </c>
      <c r="Q1923" t="s">
        <v>35</v>
      </c>
    </row>
    <row r="1924" spans="1:17" x14ac:dyDescent="0.2">
      <c r="A1924" t="s">
        <v>17</v>
      </c>
      <c r="B1924">
        <v>25.565662</v>
      </c>
      <c r="C1924">
        <v>1.6423920000000001</v>
      </c>
      <c r="D1924">
        <v>104.98808200000001</v>
      </c>
      <c r="E1924" t="s">
        <v>18</v>
      </c>
      <c r="F1924" t="s">
        <v>18</v>
      </c>
      <c r="G1924">
        <v>3</v>
      </c>
      <c r="H1924">
        <v>3</v>
      </c>
      <c r="I1924" t="s">
        <v>20</v>
      </c>
      <c r="J1924" t="s">
        <v>19</v>
      </c>
      <c r="K1924">
        <v>1.2040550000000001</v>
      </c>
      <c r="L1924" t="s">
        <v>19</v>
      </c>
      <c r="M1924">
        <v>9.4851000000000005E-2</v>
      </c>
      <c r="N1924">
        <v>0.60373600000000005</v>
      </c>
      <c r="O1924" t="s">
        <v>20</v>
      </c>
      <c r="P1924" t="s">
        <v>21</v>
      </c>
      <c r="Q1924" t="s">
        <v>35</v>
      </c>
    </row>
    <row r="1925" spans="1:17" x14ac:dyDescent="0.2">
      <c r="A1925" t="s">
        <v>17</v>
      </c>
      <c r="B1925">
        <v>18.744914000000001</v>
      </c>
      <c r="C1925">
        <v>1.8019829999999999</v>
      </c>
      <c r="D1925">
        <v>138.034526</v>
      </c>
      <c r="E1925" t="s">
        <v>18</v>
      </c>
      <c r="F1925" t="s">
        <v>18</v>
      </c>
      <c r="G1925">
        <v>3</v>
      </c>
      <c r="H1925">
        <v>3</v>
      </c>
      <c r="I1925" t="s">
        <v>20</v>
      </c>
      <c r="J1925" t="s">
        <v>19</v>
      </c>
      <c r="K1925">
        <v>2.6915909999999998</v>
      </c>
      <c r="L1925" t="s">
        <v>19</v>
      </c>
      <c r="M1925">
        <v>1.1683680000000001</v>
      </c>
      <c r="N1925">
        <v>0.73537200000000003</v>
      </c>
      <c r="O1925" t="s">
        <v>20</v>
      </c>
      <c r="P1925" t="s">
        <v>21</v>
      </c>
      <c r="Q1925" t="s">
        <v>35</v>
      </c>
    </row>
    <row r="1926" spans="1:17" x14ac:dyDescent="0.2">
      <c r="A1926" t="s">
        <v>17</v>
      </c>
      <c r="B1926">
        <v>21.704699000000002</v>
      </c>
      <c r="C1926">
        <v>1.787614</v>
      </c>
      <c r="D1926">
        <v>137.85825399999999</v>
      </c>
      <c r="E1926" t="s">
        <v>18</v>
      </c>
      <c r="F1926" t="s">
        <v>18</v>
      </c>
      <c r="G1926">
        <v>3</v>
      </c>
      <c r="H1926">
        <v>3</v>
      </c>
      <c r="I1926" t="s">
        <v>20</v>
      </c>
      <c r="J1926" t="s">
        <v>19</v>
      </c>
      <c r="K1926">
        <v>2.5314559999999999</v>
      </c>
      <c r="L1926" t="s">
        <v>19</v>
      </c>
      <c r="M1926">
        <v>1.9807380000000001</v>
      </c>
      <c r="N1926">
        <v>0.83577100000000004</v>
      </c>
      <c r="O1926" t="s">
        <v>20</v>
      </c>
      <c r="P1926" t="s">
        <v>21</v>
      </c>
      <c r="Q1926" t="s">
        <v>35</v>
      </c>
    </row>
    <row r="1927" spans="1:17" x14ac:dyDescent="0.2">
      <c r="A1927" t="s">
        <v>17</v>
      </c>
      <c r="B1927">
        <v>20.089969</v>
      </c>
      <c r="C1927">
        <v>1.8014779999999999</v>
      </c>
      <c r="D1927">
        <v>151.417292</v>
      </c>
      <c r="E1927" t="s">
        <v>18</v>
      </c>
      <c r="F1927" t="s">
        <v>18</v>
      </c>
      <c r="G1927">
        <v>3</v>
      </c>
      <c r="H1927">
        <v>3</v>
      </c>
      <c r="I1927" t="s">
        <v>20</v>
      </c>
      <c r="J1927" t="s">
        <v>19</v>
      </c>
      <c r="K1927">
        <v>2.2260810000000002</v>
      </c>
      <c r="L1927" t="s">
        <v>19</v>
      </c>
      <c r="M1927">
        <v>1.881761</v>
      </c>
      <c r="N1927">
        <v>0.93396400000000002</v>
      </c>
      <c r="O1927" t="s">
        <v>20</v>
      </c>
      <c r="P1927" t="s">
        <v>21</v>
      </c>
      <c r="Q1927" t="s">
        <v>35</v>
      </c>
    </row>
    <row r="1928" spans="1:17" x14ac:dyDescent="0.2">
      <c r="A1928" t="s">
        <v>17</v>
      </c>
      <c r="B1928">
        <v>18.120739</v>
      </c>
      <c r="C1928">
        <v>1.8075760000000001</v>
      </c>
      <c r="D1928">
        <v>152.56767099999999</v>
      </c>
      <c r="E1928" t="s">
        <v>18</v>
      </c>
      <c r="F1928" t="s">
        <v>18</v>
      </c>
      <c r="G1928">
        <v>3</v>
      </c>
      <c r="H1928">
        <v>3</v>
      </c>
      <c r="I1928" t="s">
        <v>20</v>
      </c>
      <c r="J1928" t="s">
        <v>19</v>
      </c>
      <c r="K1928">
        <v>2.1647180000000001</v>
      </c>
      <c r="L1928" t="s">
        <v>19</v>
      </c>
      <c r="M1928">
        <v>1.9996309999999999</v>
      </c>
      <c r="N1928">
        <v>0.94133599999999995</v>
      </c>
      <c r="O1928" t="s">
        <v>20</v>
      </c>
      <c r="P1928" t="s">
        <v>21</v>
      </c>
      <c r="Q1928" t="s">
        <v>35</v>
      </c>
    </row>
    <row r="1929" spans="1:17" x14ac:dyDescent="0.2">
      <c r="A1929" t="s">
        <v>17</v>
      </c>
      <c r="B1929">
        <v>26</v>
      </c>
      <c r="C1929">
        <v>1.6501250000000001</v>
      </c>
      <c r="D1929">
        <v>111.939671</v>
      </c>
      <c r="E1929" t="s">
        <v>18</v>
      </c>
      <c r="F1929" t="s">
        <v>18</v>
      </c>
      <c r="G1929">
        <v>3</v>
      </c>
      <c r="H1929">
        <v>3</v>
      </c>
      <c r="I1929" t="s">
        <v>20</v>
      </c>
      <c r="J1929" t="s">
        <v>19</v>
      </c>
      <c r="K1929">
        <v>2.7707320000000002</v>
      </c>
      <c r="L1929" t="s">
        <v>19</v>
      </c>
      <c r="M1929">
        <v>0</v>
      </c>
      <c r="N1929">
        <v>0.12523500000000001</v>
      </c>
      <c r="O1929" t="s">
        <v>20</v>
      </c>
      <c r="P1929" t="s">
        <v>21</v>
      </c>
      <c r="Q1929" t="s">
        <v>35</v>
      </c>
    </row>
    <row r="1930" spans="1:17" x14ac:dyDescent="0.2">
      <c r="A1930" t="s">
        <v>17</v>
      </c>
      <c r="B1930">
        <v>26</v>
      </c>
      <c r="C1930">
        <v>1.652674</v>
      </c>
      <c r="D1930">
        <v>111.919155</v>
      </c>
      <c r="E1930" t="s">
        <v>18</v>
      </c>
      <c r="F1930" t="s">
        <v>18</v>
      </c>
      <c r="G1930">
        <v>3</v>
      </c>
      <c r="H1930">
        <v>3</v>
      </c>
      <c r="I1930" t="s">
        <v>20</v>
      </c>
      <c r="J1930" t="s">
        <v>19</v>
      </c>
      <c r="K1930">
        <v>2.8145169999999999</v>
      </c>
      <c r="L1930" t="s">
        <v>19</v>
      </c>
      <c r="M1930">
        <v>0</v>
      </c>
      <c r="N1930">
        <v>0.10159799999999999</v>
      </c>
      <c r="O1930" t="s">
        <v>20</v>
      </c>
      <c r="P1930" t="s">
        <v>21</v>
      </c>
      <c r="Q1930" t="s">
        <v>35</v>
      </c>
    </row>
    <row r="1931" spans="1:17" x14ac:dyDescent="0.2">
      <c r="A1931" t="s">
        <v>17</v>
      </c>
      <c r="B1931">
        <v>25.986184999999999</v>
      </c>
      <c r="C1931">
        <v>1.663632</v>
      </c>
      <c r="D1931">
        <v>105.12210899999999</v>
      </c>
      <c r="E1931" t="s">
        <v>18</v>
      </c>
      <c r="F1931" t="s">
        <v>18</v>
      </c>
      <c r="G1931">
        <v>3</v>
      </c>
      <c r="H1931">
        <v>3</v>
      </c>
      <c r="I1931" t="s">
        <v>20</v>
      </c>
      <c r="J1931" t="s">
        <v>19</v>
      </c>
      <c r="K1931">
        <v>1.6264670000000001</v>
      </c>
      <c r="L1931" t="s">
        <v>19</v>
      </c>
      <c r="M1931">
        <v>1.0182999999999999E-2</v>
      </c>
      <c r="N1931">
        <v>0.41280600000000001</v>
      </c>
      <c r="O1931" t="s">
        <v>20</v>
      </c>
      <c r="P1931" t="s">
        <v>21</v>
      </c>
      <c r="Q1931" t="s">
        <v>35</v>
      </c>
    </row>
    <row r="1932" spans="1:17" x14ac:dyDescent="0.2">
      <c r="A1932" t="s">
        <v>17</v>
      </c>
      <c r="B1932">
        <v>25.982112999999998</v>
      </c>
      <c r="C1932">
        <v>1.627818</v>
      </c>
      <c r="D1932">
        <v>105.428628</v>
      </c>
      <c r="E1932" t="s">
        <v>18</v>
      </c>
      <c r="F1932" t="s">
        <v>18</v>
      </c>
      <c r="G1932">
        <v>3</v>
      </c>
      <c r="H1932">
        <v>3</v>
      </c>
      <c r="I1932" t="s">
        <v>20</v>
      </c>
      <c r="J1932" t="s">
        <v>19</v>
      </c>
      <c r="K1932">
        <v>1.48075</v>
      </c>
      <c r="L1932" t="s">
        <v>19</v>
      </c>
      <c r="M1932">
        <v>9.8043000000000005E-2</v>
      </c>
      <c r="N1932">
        <v>0.66349199999999997</v>
      </c>
      <c r="O1932" t="s">
        <v>20</v>
      </c>
      <c r="P1932" t="s">
        <v>21</v>
      </c>
      <c r="Q1932" t="s">
        <v>35</v>
      </c>
    </row>
    <row r="1933" spans="1:17" x14ac:dyDescent="0.2">
      <c r="A1933" t="s">
        <v>17</v>
      </c>
      <c r="B1933">
        <v>25.748626999999999</v>
      </c>
      <c r="C1933">
        <v>1.6687700000000001</v>
      </c>
      <c r="D1933">
        <v>104.77414400000001</v>
      </c>
      <c r="E1933" t="s">
        <v>18</v>
      </c>
      <c r="F1933" t="s">
        <v>18</v>
      </c>
      <c r="G1933">
        <v>3</v>
      </c>
      <c r="H1933">
        <v>3</v>
      </c>
      <c r="I1933" t="s">
        <v>20</v>
      </c>
      <c r="J1933" t="s">
        <v>19</v>
      </c>
      <c r="K1933">
        <v>1.526416</v>
      </c>
      <c r="L1933" t="s">
        <v>19</v>
      </c>
      <c r="M1933">
        <v>0.18015800000000001</v>
      </c>
      <c r="N1933">
        <v>0.74790900000000005</v>
      </c>
      <c r="O1933" t="s">
        <v>20</v>
      </c>
      <c r="P1933" t="s">
        <v>21</v>
      </c>
      <c r="Q1933" t="s">
        <v>35</v>
      </c>
    </row>
    <row r="1934" spans="1:17" x14ac:dyDescent="0.2">
      <c r="A1934" t="s">
        <v>17</v>
      </c>
      <c r="B1934">
        <v>25.959772000000001</v>
      </c>
      <c r="C1934">
        <v>1.6420980000000001</v>
      </c>
      <c r="D1934">
        <v>104.966758</v>
      </c>
      <c r="E1934" t="s">
        <v>18</v>
      </c>
      <c r="F1934" t="s">
        <v>18</v>
      </c>
      <c r="G1934">
        <v>3</v>
      </c>
      <c r="H1934">
        <v>3</v>
      </c>
      <c r="I1934" t="s">
        <v>20</v>
      </c>
      <c r="J1934" t="s">
        <v>19</v>
      </c>
      <c r="K1934">
        <v>1.482002</v>
      </c>
      <c r="L1934" t="s">
        <v>19</v>
      </c>
      <c r="M1934">
        <v>0.20410800000000001</v>
      </c>
      <c r="N1934">
        <v>0.65722100000000006</v>
      </c>
      <c r="O1934" t="s">
        <v>20</v>
      </c>
      <c r="P1934" t="s">
        <v>21</v>
      </c>
      <c r="Q1934" t="s">
        <v>35</v>
      </c>
    </row>
    <row r="1935" spans="1:17" x14ac:dyDescent="0.2">
      <c r="A1935" t="s">
        <v>17</v>
      </c>
      <c r="B1935">
        <v>25.653233</v>
      </c>
      <c r="C1935">
        <v>1.65757</v>
      </c>
      <c r="D1935">
        <v>109.93123300000001</v>
      </c>
      <c r="E1935" t="s">
        <v>18</v>
      </c>
      <c r="F1935" t="s">
        <v>18</v>
      </c>
      <c r="G1935">
        <v>3</v>
      </c>
      <c r="H1935">
        <v>3</v>
      </c>
      <c r="I1935" t="s">
        <v>20</v>
      </c>
      <c r="J1935" t="s">
        <v>19</v>
      </c>
      <c r="K1935">
        <v>1.6104719999999999</v>
      </c>
      <c r="L1935" t="s">
        <v>19</v>
      </c>
      <c r="M1935">
        <v>2.9728000000000001E-2</v>
      </c>
      <c r="N1935">
        <v>0.47234300000000001</v>
      </c>
      <c r="O1935" t="s">
        <v>20</v>
      </c>
      <c r="P1935" t="s">
        <v>21</v>
      </c>
      <c r="Q1935" t="s">
        <v>35</v>
      </c>
    </row>
    <row r="1936" spans="1:17" x14ac:dyDescent="0.2">
      <c r="A1936" t="s">
        <v>17</v>
      </c>
      <c r="B1936">
        <v>25.783864999999999</v>
      </c>
      <c r="C1936">
        <v>1.643111</v>
      </c>
      <c r="D1936">
        <v>109.91001199999999</v>
      </c>
      <c r="E1936" t="s">
        <v>18</v>
      </c>
      <c r="F1936" t="s">
        <v>18</v>
      </c>
      <c r="G1936">
        <v>3</v>
      </c>
      <c r="H1936">
        <v>3</v>
      </c>
      <c r="I1936" t="s">
        <v>20</v>
      </c>
      <c r="J1936" t="s">
        <v>19</v>
      </c>
      <c r="K1936">
        <v>1.5309919999999999</v>
      </c>
      <c r="L1936" t="s">
        <v>19</v>
      </c>
      <c r="M1936">
        <v>1.5859999999999999E-2</v>
      </c>
      <c r="N1936">
        <v>0.44549499999999997</v>
      </c>
      <c r="O1936" t="s">
        <v>20</v>
      </c>
      <c r="P1936" t="s">
        <v>21</v>
      </c>
      <c r="Q1936" t="s">
        <v>35</v>
      </c>
    </row>
    <row r="1937" spans="1:17" x14ac:dyDescent="0.2">
      <c r="A1937" t="s">
        <v>17</v>
      </c>
      <c r="B1937">
        <v>21.412434000000001</v>
      </c>
      <c r="C1937">
        <v>1.675562</v>
      </c>
      <c r="D1937">
        <v>121.639178</v>
      </c>
      <c r="E1937" t="s">
        <v>18</v>
      </c>
      <c r="F1937" t="s">
        <v>18</v>
      </c>
      <c r="G1937">
        <v>3</v>
      </c>
      <c r="H1937">
        <v>3</v>
      </c>
      <c r="I1937" t="s">
        <v>20</v>
      </c>
      <c r="J1937" t="s">
        <v>19</v>
      </c>
      <c r="K1937">
        <v>1.4849380000000001</v>
      </c>
      <c r="L1937" t="s">
        <v>19</v>
      </c>
      <c r="M1937">
        <v>0.74224999999999997</v>
      </c>
      <c r="N1937">
        <v>0.60469200000000001</v>
      </c>
      <c r="O1937" t="s">
        <v>20</v>
      </c>
      <c r="P1937" t="s">
        <v>21</v>
      </c>
      <c r="Q1937" t="s">
        <v>35</v>
      </c>
    </row>
    <row r="1938" spans="1:17" x14ac:dyDescent="0.2">
      <c r="A1938" t="s">
        <v>17</v>
      </c>
      <c r="B1938">
        <v>22.777889999999999</v>
      </c>
      <c r="C1938">
        <v>1.6614150000000001</v>
      </c>
      <c r="D1938">
        <v>120.74821300000001</v>
      </c>
      <c r="E1938" t="s">
        <v>18</v>
      </c>
      <c r="F1938" t="s">
        <v>18</v>
      </c>
      <c r="G1938">
        <v>3</v>
      </c>
      <c r="H1938">
        <v>3</v>
      </c>
      <c r="I1938" t="s">
        <v>20</v>
      </c>
      <c r="J1938" t="s">
        <v>19</v>
      </c>
      <c r="K1938">
        <v>1.91039</v>
      </c>
      <c r="L1938" t="s">
        <v>19</v>
      </c>
      <c r="M1938">
        <v>0.21745500000000001</v>
      </c>
      <c r="N1938">
        <v>0.77581999999999995</v>
      </c>
      <c r="O1938" t="s">
        <v>20</v>
      </c>
      <c r="P1938" t="s">
        <v>21</v>
      </c>
      <c r="Q1938" t="s">
        <v>35</v>
      </c>
    </row>
    <row r="1939" spans="1:17" x14ac:dyDescent="0.2">
      <c r="A1939" t="s">
        <v>17</v>
      </c>
      <c r="B1939">
        <v>21.140165</v>
      </c>
      <c r="C1939">
        <v>1.713133</v>
      </c>
      <c r="D1939">
        <v>133.73588899999999</v>
      </c>
      <c r="E1939" t="s">
        <v>18</v>
      </c>
      <c r="F1939" t="s">
        <v>18</v>
      </c>
      <c r="G1939">
        <v>3</v>
      </c>
      <c r="H1939">
        <v>3</v>
      </c>
      <c r="I1939" t="s">
        <v>20</v>
      </c>
      <c r="J1939" t="s">
        <v>19</v>
      </c>
      <c r="K1939">
        <v>1.411365</v>
      </c>
      <c r="L1939" t="s">
        <v>19</v>
      </c>
      <c r="M1939">
        <v>1.5646180000000001</v>
      </c>
      <c r="N1939">
        <v>0.91068300000000002</v>
      </c>
      <c r="O1939" t="s">
        <v>20</v>
      </c>
      <c r="P1939" t="s">
        <v>21</v>
      </c>
      <c r="Q1939" t="s">
        <v>35</v>
      </c>
    </row>
    <row r="1940" spans="1:17" x14ac:dyDescent="0.2">
      <c r="A1940" t="s">
        <v>17</v>
      </c>
      <c r="B1940">
        <v>21.413498000000001</v>
      </c>
      <c r="C1940">
        <v>1.7199</v>
      </c>
      <c r="D1940">
        <v>133.886031</v>
      </c>
      <c r="E1940" t="s">
        <v>18</v>
      </c>
      <c r="F1940" t="s">
        <v>18</v>
      </c>
      <c r="G1940">
        <v>3</v>
      </c>
      <c r="H1940">
        <v>3</v>
      </c>
      <c r="I1940" t="s">
        <v>20</v>
      </c>
      <c r="J1940" t="s">
        <v>19</v>
      </c>
      <c r="K1940">
        <v>2.4175200000000001</v>
      </c>
      <c r="L1940" t="s">
        <v>19</v>
      </c>
      <c r="M1940">
        <v>1.556155</v>
      </c>
      <c r="N1940">
        <v>0.87393600000000005</v>
      </c>
      <c r="O1940" t="s">
        <v>20</v>
      </c>
      <c r="P1940" t="s">
        <v>21</v>
      </c>
      <c r="Q1940" t="s">
        <v>35</v>
      </c>
    </row>
    <row r="1941" spans="1:17" x14ac:dyDescent="0.2">
      <c r="A1941" t="s">
        <v>17</v>
      </c>
      <c r="B1941">
        <v>26</v>
      </c>
      <c r="C1941">
        <v>1.6227009999999999</v>
      </c>
      <c r="D1941">
        <v>109.982692</v>
      </c>
      <c r="E1941" t="s">
        <v>18</v>
      </c>
      <c r="F1941" t="s">
        <v>18</v>
      </c>
      <c r="G1941">
        <v>3</v>
      </c>
      <c r="H1941">
        <v>3</v>
      </c>
      <c r="I1941" t="s">
        <v>20</v>
      </c>
      <c r="J1941" t="s">
        <v>19</v>
      </c>
      <c r="K1941">
        <v>2.6882290000000002</v>
      </c>
      <c r="L1941" t="s">
        <v>19</v>
      </c>
      <c r="M1941">
        <v>0</v>
      </c>
      <c r="N1941">
        <v>0.45137699999999997</v>
      </c>
      <c r="O1941" t="s">
        <v>20</v>
      </c>
      <c r="P1941" t="s">
        <v>21</v>
      </c>
      <c r="Q1941" t="s">
        <v>35</v>
      </c>
    </row>
    <row r="1942" spans="1:17" x14ac:dyDescent="0.2">
      <c r="A1942" t="s">
        <v>17</v>
      </c>
      <c r="B1942">
        <v>26</v>
      </c>
      <c r="C1942">
        <v>1.622468</v>
      </c>
      <c r="D1942">
        <v>110.400847</v>
      </c>
      <c r="E1942" t="s">
        <v>18</v>
      </c>
      <c r="F1942" t="s">
        <v>18</v>
      </c>
      <c r="G1942">
        <v>3</v>
      </c>
      <c r="H1942">
        <v>3</v>
      </c>
      <c r="I1942" t="s">
        <v>20</v>
      </c>
      <c r="J1942" t="s">
        <v>19</v>
      </c>
      <c r="K1942">
        <v>2.6950940000000001</v>
      </c>
      <c r="L1942" t="s">
        <v>19</v>
      </c>
      <c r="M1942">
        <v>0</v>
      </c>
      <c r="N1942">
        <v>0.41347400000000001</v>
      </c>
      <c r="O1942" t="s">
        <v>20</v>
      </c>
      <c r="P1942" t="s">
        <v>21</v>
      </c>
      <c r="Q1942" t="s">
        <v>35</v>
      </c>
    </row>
    <row r="1943" spans="1:17" x14ac:dyDescent="0.2">
      <c r="A1943" t="s">
        <v>17</v>
      </c>
      <c r="B1943">
        <v>26</v>
      </c>
      <c r="C1943">
        <v>1.6188670000000001</v>
      </c>
      <c r="D1943">
        <v>110.77739099999999</v>
      </c>
      <c r="E1943" t="s">
        <v>18</v>
      </c>
      <c r="F1943" t="s">
        <v>18</v>
      </c>
      <c r="G1943">
        <v>3</v>
      </c>
      <c r="H1943">
        <v>3</v>
      </c>
      <c r="I1943" t="s">
        <v>20</v>
      </c>
      <c r="J1943" t="s">
        <v>19</v>
      </c>
      <c r="K1943">
        <v>2.618198</v>
      </c>
      <c r="L1943" t="s">
        <v>19</v>
      </c>
      <c r="M1943">
        <v>0</v>
      </c>
      <c r="N1943">
        <v>0.38069500000000001</v>
      </c>
      <c r="O1943" t="s">
        <v>20</v>
      </c>
      <c r="P1943" t="s">
        <v>21</v>
      </c>
      <c r="Q1943" t="s">
        <v>35</v>
      </c>
    </row>
    <row r="1944" spans="1:17" x14ac:dyDescent="0.2">
      <c r="A1944" t="s">
        <v>17</v>
      </c>
      <c r="B1944">
        <v>26</v>
      </c>
      <c r="C1944">
        <v>1.600905</v>
      </c>
      <c r="D1944">
        <v>110.074946</v>
      </c>
      <c r="E1944" t="s">
        <v>18</v>
      </c>
      <c r="F1944" t="s">
        <v>18</v>
      </c>
      <c r="G1944">
        <v>3</v>
      </c>
      <c r="H1944">
        <v>3</v>
      </c>
      <c r="I1944" t="s">
        <v>20</v>
      </c>
      <c r="J1944" t="s">
        <v>19</v>
      </c>
      <c r="K1944">
        <v>2.5551889999999999</v>
      </c>
      <c r="L1944" t="s">
        <v>19</v>
      </c>
      <c r="M1944">
        <v>0</v>
      </c>
      <c r="N1944">
        <v>0.46297300000000002</v>
      </c>
      <c r="O1944" t="s">
        <v>20</v>
      </c>
      <c r="P1944" t="s">
        <v>21</v>
      </c>
      <c r="Q1944" t="s">
        <v>35</v>
      </c>
    </row>
    <row r="1945" spans="1:17" x14ac:dyDescent="0.2">
      <c r="A1945" t="s">
        <v>17</v>
      </c>
      <c r="B1945">
        <v>21.391370999999999</v>
      </c>
      <c r="C1945">
        <v>1.7306360000000001</v>
      </c>
      <c r="D1945">
        <v>131.902591</v>
      </c>
      <c r="E1945" t="s">
        <v>18</v>
      </c>
      <c r="F1945" t="s">
        <v>18</v>
      </c>
      <c r="G1945">
        <v>3</v>
      </c>
      <c r="H1945">
        <v>3</v>
      </c>
      <c r="I1945" t="s">
        <v>20</v>
      </c>
      <c r="J1945" t="s">
        <v>19</v>
      </c>
      <c r="K1945">
        <v>1.419136</v>
      </c>
      <c r="L1945" t="s">
        <v>19</v>
      </c>
      <c r="M1945">
        <v>1.7008890000000001</v>
      </c>
      <c r="N1945">
        <v>0.93088800000000005</v>
      </c>
      <c r="O1945" t="s">
        <v>20</v>
      </c>
      <c r="P1945" t="s">
        <v>21</v>
      </c>
      <c r="Q1945" t="s">
        <v>35</v>
      </c>
    </row>
    <row r="1946" spans="1:17" x14ac:dyDescent="0.2">
      <c r="A1946" t="s">
        <v>17</v>
      </c>
      <c r="B1946">
        <v>21.051981999999999</v>
      </c>
      <c r="C1946">
        <v>1.729719</v>
      </c>
      <c r="D1946">
        <v>131.87755799999999</v>
      </c>
      <c r="E1946" t="s">
        <v>18</v>
      </c>
      <c r="F1946" t="s">
        <v>18</v>
      </c>
      <c r="G1946">
        <v>3</v>
      </c>
      <c r="H1946">
        <v>3</v>
      </c>
      <c r="I1946" t="s">
        <v>20</v>
      </c>
      <c r="J1946" t="s">
        <v>19</v>
      </c>
      <c r="K1946">
        <v>1.4224829999999999</v>
      </c>
      <c r="L1946" t="s">
        <v>19</v>
      </c>
      <c r="M1946">
        <v>1.708971</v>
      </c>
      <c r="N1946">
        <v>0.67300899999999997</v>
      </c>
      <c r="O1946" t="s">
        <v>20</v>
      </c>
      <c r="P1946" t="s">
        <v>21</v>
      </c>
      <c r="Q1946" t="s">
        <v>35</v>
      </c>
    </row>
    <row r="1947" spans="1:17" x14ac:dyDescent="0.2">
      <c r="A1947" t="s">
        <v>17</v>
      </c>
      <c r="B1947">
        <v>23.455303000000001</v>
      </c>
      <c r="C1947">
        <v>1.6776720000000001</v>
      </c>
      <c r="D1947">
        <v>114.470482</v>
      </c>
      <c r="E1947" t="s">
        <v>18</v>
      </c>
      <c r="F1947" t="s">
        <v>18</v>
      </c>
      <c r="G1947">
        <v>3</v>
      </c>
      <c r="H1947">
        <v>3</v>
      </c>
      <c r="I1947" t="s">
        <v>20</v>
      </c>
      <c r="J1947" t="s">
        <v>19</v>
      </c>
      <c r="K1947">
        <v>2.426094</v>
      </c>
      <c r="L1947" t="s">
        <v>19</v>
      </c>
      <c r="M1947">
        <v>0.294763</v>
      </c>
      <c r="N1947">
        <v>0.73722600000000005</v>
      </c>
      <c r="O1947" t="s">
        <v>20</v>
      </c>
      <c r="P1947" t="s">
        <v>21</v>
      </c>
      <c r="Q1947" t="s">
        <v>35</v>
      </c>
    </row>
    <row r="1948" spans="1:17" x14ac:dyDescent="0.2">
      <c r="A1948" t="s">
        <v>17</v>
      </c>
      <c r="B1948">
        <v>23.694839999999999</v>
      </c>
      <c r="C1948">
        <v>1.637524</v>
      </c>
      <c r="D1948">
        <v>113.90506000000001</v>
      </c>
      <c r="E1948" t="s">
        <v>18</v>
      </c>
      <c r="F1948" t="s">
        <v>18</v>
      </c>
      <c r="G1948">
        <v>3</v>
      </c>
      <c r="H1948">
        <v>3</v>
      </c>
      <c r="I1948" t="s">
        <v>20</v>
      </c>
      <c r="J1948" t="s">
        <v>19</v>
      </c>
      <c r="K1948">
        <v>2.4959609999999999</v>
      </c>
      <c r="L1948" t="s">
        <v>19</v>
      </c>
      <c r="M1948">
        <v>0.189831</v>
      </c>
      <c r="N1948">
        <v>0.65228900000000001</v>
      </c>
      <c r="O1948" t="s">
        <v>20</v>
      </c>
      <c r="P1948" t="s">
        <v>21</v>
      </c>
      <c r="Q1948" t="s">
        <v>35</v>
      </c>
    </row>
    <row r="1949" spans="1:17" x14ac:dyDescent="0.2">
      <c r="A1949" t="s">
        <v>17</v>
      </c>
      <c r="B1949">
        <v>20.601222</v>
      </c>
      <c r="C1949">
        <v>1.7387170000000001</v>
      </c>
      <c r="D1949">
        <v>128.114161</v>
      </c>
      <c r="E1949" t="s">
        <v>18</v>
      </c>
      <c r="F1949" t="s">
        <v>18</v>
      </c>
      <c r="G1949">
        <v>3</v>
      </c>
      <c r="H1949">
        <v>3</v>
      </c>
      <c r="I1949" t="s">
        <v>20</v>
      </c>
      <c r="J1949" t="s">
        <v>19</v>
      </c>
      <c r="K1949">
        <v>1.7970410000000001</v>
      </c>
      <c r="L1949" t="s">
        <v>19</v>
      </c>
      <c r="M1949">
        <v>1.427413</v>
      </c>
      <c r="N1949">
        <v>0.96618099999999996</v>
      </c>
      <c r="O1949" t="s">
        <v>20</v>
      </c>
      <c r="P1949" t="s">
        <v>21</v>
      </c>
      <c r="Q1949" t="s">
        <v>35</v>
      </c>
    </row>
    <row r="1950" spans="1:17" x14ac:dyDescent="0.2">
      <c r="A1950" t="s">
        <v>17</v>
      </c>
      <c r="B1950">
        <v>20.811579999999999</v>
      </c>
      <c r="C1950">
        <v>1.741193</v>
      </c>
      <c r="D1950">
        <v>128.76384300000001</v>
      </c>
      <c r="E1950" t="s">
        <v>18</v>
      </c>
      <c r="F1950" t="s">
        <v>18</v>
      </c>
      <c r="G1950">
        <v>3</v>
      </c>
      <c r="H1950">
        <v>3</v>
      </c>
      <c r="I1950" t="s">
        <v>20</v>
      </c>
      <c r="J1950" t="s">
        <v>19</v>
      </c>
      <c r="K1950">
        <v>1.768111</v>
      </c>
      <c r="L1950" t="s">
        <v>19</v>
      </c>
      <c r="M1950">
        <v>0.61650300000000002</v>
      </c>
      <c r="N1950">
        <v>0.96815099999999998</v>
      </c>
      <c r="O1950" t="s">
        <v>20</v>
      </c>
      <c r="P1950" t="s">
        <v>21</v>
      </c>
      <c r="Q1950" t="s">
        <v>35</v>
      </c>
    </row>
    <row r="1951" spans="1:17" x14ac:dyDescent="0.2">
      <c r="A1951" t="s">
        <v>17</v>
      </c>
      <c r="B1951">
        <v>19.993565</v>
      </c>
      <c r="C1951">
        <v>1.7928329999999999</v>
      </c>
      <c r="D1951">
        <v>152.43563</v>
      </c>
      <c r="E1951" t="s">
        <v>18</v>
      </c>
      <c r="F1951" t="s">
        <v>18</v>
      </c>
      <c r="G1951">
        <v>3</v>
      </c>
      <c r="H1951">
        <v>3</v>
      </c>
      <c r="I1951" t="s">
        <v>20</v>
      </c>
      <c r="J1951" t="s">
        <v>19</v>
      </c>
      <c r="K1951">
        <v>2.3651879999999998</v>
      </c>
      <c r="L1951" t="s">
        <v>19</v>
      </c>
      <c r="M1951">
        <v>1.2561150000000001</v>
      </c>
      <c r="N1951">
        <v>0.76009099999999996</v>
      </c>
      <c r="O1951" t="s">
        <v>20</v>
      </c>
      <c r="P1951" t="s">
        <v>21</v>
      </c>
      <c r="Q1951" t="s">
        <v>35</v>
      </c>
    </row>
    <row r="1952" spans="1:17" x14ac:dyDescent="0.2">
      <c r="A1952" t="s">
        <v>17</v>
      </c>
      <c r="B1952">
        <v>20.074449000000001</v>
      </c>
      <c r="C1952">
        <v>1.810427</v>
      </c>
      <c r="D1952">
        <v>152.21713500000001</v>
      </c>
      <c r="E1952" t="s">
        <v>18</v>
      </c>
      <c r="F1952" t="s">
        <v>18</v>
      </c>
      <c r="G1952">
        <v>3</v>
      </c>
      <c r="H1952">
        <v>3</v>
      </c>
      <c r="I1952" t="s">
        <v>20</v>
      </c>
      <c r="J1952" t="s">
        <v>19</v>
      </c>
      <c r="K1952">
        <v>2.299156</v>
      </c>
      <c r="L1952" t="s">
        <v>19</v>
      </c>
      <c r="M1952">
        <v>1.6990559999999999</v>
      </c>
      <c r="N1952">
        <v>0.72972199999999998</v>
      </c>
      <c r="O1952" t="s">
        <v>20</v>
      </c>
      <c r="P1952" t="s">
        <v>21</v>
      </c>
      <c r="Q1952" t="s">
        <v>35</v>
      </c>
    </row>
    <row r="1953" spans="1:17" x14ac:dyDescent="0.2">
      <c r="A1953" t="s">
        <v>17</v>
      </c>
      <c r="B1953">
        <v>18.904036999999999</v>
      </c>
      <c r="C1953">
        <v>1.7435890000000001</v>
      </c>
      <c r="D1953">
        <v>133.28133299999999</v>
      </c>
      <c r="E1953" t="s">
        <v>18</v>
      </c>
      <c r="F1953" t="s">
        <v>18</v>
      </c>
      <c r="G1953">
        <v>3</v>
      </c>
      <c r="H1953">
        <v>3</v>
      </c>
      <c r="I1953" t="s">
        <v>20</v>
      </c>
      <c r="J1953" t="s">
        <v>19</v>
      </c>
      <c r="K1953">
        <v>2.6848190000000001</v>
      </c>
      <c r="L1953" t="s">
        <v>19</v>
      </c>
      <c r="M1953">
        <v>1.4652499999999999</v>
      </c>
      <c r="N1953">
        <v>0.80449099999999996</v>
      </c>
      <c r="O1953" t="s">
        <v>20</v>
      </c>
      <c r="P1953" t="s">
        <v>21</v>
      </c>
      <c r="Q1953" t="s">
        <v>35</v>
      </c>
    </row>
    <row r="1954" spans="1:17" x14ac:dyDescent="0.2">
      <c r="A1954" t="s">
        <v>17</v>
      </c>
      <c r="B1954">
        <v>19.783234</v>
      </c>
      <c r="C1954">
        <v>1.747962</v>
      </c>
      <c r="D1954">
        <v>133.93653499999999</v>
      </c>
      <c r="E1954" t="s">
        <v>18</v>
      </c>
      <c r="F1954" t="s">
        <v>18</v>
      </c>
      <c r="G1954">
        <v>3</v>
      </c>
      <c r="H1954">
        <v>3</v>
      </c>
      <c r="I1954" t="s">
        <v>20</v>
      </c>
      <c r="J1954" t="s">
        <v>19</v>
      </c>
      <c r="K1954">
        <v>2.8417400000000002</v>
      </c>
      <c r="L1954" t="s">
        <v>19</v>
      </c>
      <c r="M1954">
        <v>1.4292560000000001</v>
      </c>
      <c r="N1954">
        <v>0.77537800000000001</v>
      </c>
      <c r="O1954" t="s">
        <v>20</v>
      </c>
      <c r="P1954" t="s">
        <v>21</v>
      </c>
      <c r="Q1954" t="s">
        <v>35</v>
      </c>
    </row>
    <row r="1955" spans="1:17" x14ac:dyDescent="0.2">
      <c r="A1955" t="s">
        <v>17</v>
      </c>
      <c r="B1955">
        <v>24.291205000000001</v>
      </c>
      <c r="C1955">
        <v>1.71146</v>
      </c>
      <c r="D1955">
        <v>113.372851</v>
      </c>
      <c r="E1955" t="s">
        <v>18</v>
      </c>
      <c r="F1955" t="s">
        <v>18</v>
      </c>
      <c r="G1955">
        <v>3</v>
      </c>
      <c r="H1955">
        <v>3</v>
      </c>
      <c r="I1955" t="s">
        <v>20</v>
      </c>
      <c r="J1955" t="s">
        <v>19</v>
      </c>
      <c r="K1955">
        <v>2.796894</v>
      </c>
      <c r="L1955" t="s">
        <v>19</v>
      </c>
      <c r="M1955">
        <v>0.382189</v>
      </c>
      <c r="N1955">
        <v>0.16778999999999999</v>
      </c>
      <c r="O1955" t="s">
        <v>20</v>
      </c>
      <c r="P1955" t="s">
        <v>21</v>
      </c>
      <c r="Q1955" t="s">
        <v>35</v>
      </c>
    </row>
    <row r="1956" spans="1:17" x14ac:dyDescent="0.2">
      <c r="A1956" t="s">
        <v>17</v>
      </c>
      <c r="B1956">
        <v>25.311534000000002</v>
      </c>
      <c r="C1956">
        <v>1.6854819999999999</v>
      </c>
      <c r="D1956">
        <v>113.451224</v>
      </c>
      <c r="E1956" t="s">
        <v>18</v>
      </c>
      <c r="F1956" t="s">
        <v>18</v>
      </c>
      <c r="G1956">
        <v>3</v>
      </c>
      <c r="H1956">
        <v>3</v>
      </c>
      <c r="I1956" t="s">
        <v>20</v>
      </c>
      <c r="J1956" t="s">
        <v>19</v>
      </c>
      <c r="K1956">
        <v>2.9877180000000001</v>
      </c>
      <c r="L1956" t="s">
        <v>19</v>
      </c>
      <c r="M1956">
        <v>0.38707399999999997</v>
      </c>
      <c r="N1956">
        <v>0.283804</v>
      </c>
      <c r="O1956" t="s">
        <v>20</v>
      </c>
      <c r="P1956" t="s">
        <v>21</v>
      </c>
      <c r="Q1956" t="s">
        <v>35</v>
      </c>
    </row>
    <row r="1957" spans="1:17" x14ac:dyDescent="0.2">
      <c r="A1957" t="s">
        <v>17</v>
      </c>
      <c r="B1957">
        <v>26</v>
      </c>
      <c r="C1957">
        <v>1.639251</v>
      </c>
      <c r="D1957">
        <v>111.927001</v>
      </c>
      <c r="E1957" t="s">
        <v>18</v>
      </c>
      <c r="F1957" t="s">
        <v>18</v>
      </c>
      <c r="G1957">
        <v>3</v>
      </c>
      <c r="H1957">
        <v>3</v>
      </c>
      <c r="I1957" t="s">
        <v>20</v>
      </c>
      <c r="J1957" t="s">
        <v>19</v>
      </c>
      <c r="K1957">
        <v>2.675567</v>
      </c>
      <c r="L1957" t="s">
        <v>19</v>
      </c>
      <c r="M1957">
        <v>0</v>
      </c>
      <c r="N1957">
        <v>8.1929000000000002E-2</v>
      </c>
      <c r="O1957" t="s">
        <v>20</v>
      </c>
      <c r="P1957" t="s">
        <v>21</v>
      </c>
      <c r="Q1957" t="s">
        <v>35</v>
      </c>
    </row>
    <row r="1958" spans="1:17" x14ac:dyDescent="0.2">
      <c r="A1958" t="s">
        <v>17</v>
      </c>
      <c r="B1958">
        <v>26</v>
      </c>
      <c r="C1958">
        <v>1.654784</v>
      </c>
      <c r="D1958">
        <v>111.93315200000001</v>
      </c>
      <c r="E1958" t="s">
        <v>18</v>
      </c>
      <c r="F1958" t="s">
        <v>18</v>
      </c>
      <c r="G1958">
        <v>3</v>
      </c>
      <c r="H1958">
        <v>3</v>
      </c>
      <c r="I1958" t="s">
        <v>20</v>
      </c>
      <c r="J1958" t="s">
        <v>19</v>
      </c>
      <c r="K1958">
        <v>2.7701250000000002</v>
      </c>
      <c r="L1958" t="s">
        <v>19</v>
      </c>
      <c r="M1958">
        <v>0</v>
      </c>
      <c r="N1958">
        <v>8.8235999999999995E-2</v>
      </c>
      <c r="O1958" t="s">
        <v>20</v>
      </c>
      <c r="P1958" t="s">
        <v>21</v>
      </c>
      <c r="Q1958" t="s">
        <v>35</v>
      </c>
    </row>
    <row r="1959" spans="1:17" x14ac:dyDescent="0.2">
      <c r="A1959" t="s">
        <v>17</v>
      </c>
      <c r="B1959">
        <v>26</v>
      </c>
      <c r="C1959">
        <v>1.6412089999999999</v>
      </c>
      <c r="D1959">
        <v>111.856492</v>
      </c>
      <c r="E1959" t="s">
        <v>18</v>
      </c>
      <c r="F1959" t="s">
        <v>18</v>
      </c>
      <c r="G1959">
        <v>3</v>
      </c>
      <c r="H1959">
        <v>3</v>
      </c>
      <c r="I1959" t="s">
        <v>20</v>
      </c>
      <c r="J1959" t="s">
        <v>19</v>
      </c>
      <c r="K1959">
        <v>2.621877</v>
      </c>
      <c r="L1959" t="s">
        <v>19</v>
      </c>
      <c r="M1959">
        <v>0</v>
      </c>
      <c r="N1959">
        <v>0.153669</v>
      </c>
      <c r="O1959" t="s">
        <v>20</v>
      </c>
      <c r="P1959" t="s">
        <v>21</v>
      </c>
      <c r="Q1959" t="s">
        <v>35</v>
      </c>
    </row>
    <row r="1960" spans="1:17" x14ac:dyDescent="0.2">
      <c r="A1960" t="s">
        <v>17</v>
      </c>
      <c r="B1960">
        <v>26</v>
      </c>
      <c r="C1960">
        <v>1.643167</v>
      </c>
      <c r="D1960">
        <v>111.894229</v>
      </c>
      <c r="E1960" t="s">
        <v>18</v>
      </c>
      <c r="F1960" t="s">
        <v>18</v>
      </c>
      <c r="G1960">
        <v>3</v>
      </c>
      <c r="H1960">
        <v>3</v>
      </c>
      <c r="I1960" t="s">
        <v>20</v>
      </c>
      <c r="J1960" t="s">
        <v>19</v>
      </c>
      <c r="K1960">
        <v>2.7200500000000001</v>
      </c>
      <c r="L1960" t="s">
        <v>19</v>
      </c>
      <c r="M1960">
        <v>0</v>
      </c>
      <c r="N1960">
        <v>0.127443</v>
      </c>
      <c r="O1960" t="s">
        <v>20</v>
      </c>
      <c r="P1960" t="s">
        <v>21</v>
      </c>
      <c r="Q1960" t="s">
        <v>35</v>
      </c>
    </row>
    <row r="1961" spans="1:17" x14ac:dyDescent="0.2">
      <c r="A1961" t="s">
        <v>17</v>
      </c>
      <c r="B1961">
        <v>25.966504</v>
      </c>
      <c r="C1961">
        <v>1.63073</v>
      </c>
      <c r="D1961">
        <v>104.790549</v>
      </c>
      <c r="E1961" t="s">
        <v>18</v>
      </c>
      <c r="F1961" t="s">
        <v>18</v>
      </c>
      <c r="G1961">
        <v>3</v>
      </c>
      <c r="H1961">
        <v>3</v>
      </c>
      <c r="I1961" t="s">
        <v>20</v>
      </c>
      <c r="J1961" t="s">
        <v>19</v>
      </c>
      <c r="K1961">
        <v>2.4360970000000002</v>
      </c>
      <c r="L1961" t="s">
        <v>19</v>
      </c>
      <c r="M1961">
        <v>0.12917799999999999</v>
      </c>
      <c r="N1961">
        <v>0.68373600000000001</v>
      </c>
      <c r="O1961" t="s">
        <v>20</v>
      </c>
      <c r="P1961" t="s">
        <v>21</v>
      </c>
      <c r="Q1961" t="s">
        <v>35</v>
      </c>
    </row>
    <row r="1962" spans="1:17" x14ac:dyDescent="0.2">
      <c r="A1962" t="s">
        <v>17</v>
      </c>
      <c r="B1962">
        <v>25.950897999999999</v>
      </c>
      <c r="C1962">
        <v>1.649867</v>
      </c>
      <c r="D1962">
        <v>104.79103499999999</v>
      </c>
      <c r="E1962" t="s">
        <v>18</v>
      </c>
      <c r="F1962" t="s">
        <v>18</v>
      </c>
      <c r="G1962">
        <v>3</v>
      </c>
      <c r="H1962">
        <v>3</v>
      </c>
      <c r="I1962" t="s">
        <v>20</v>
      </c>
      <c r="J1962" t="s">
        <v>19</v>
      </c>
      <c r="K1962">
        <v>2.5356290000000001</v>
      </c>
      <c r="L1962" t="s">
        <v>19</v>
      </c>
      <c r="M1962">
        <v>0.15271299999999999</v>
      </c>
      <c r="N1962">
        <v>0.7702</v>
      </c>
      <c r="O1962" t="s">
        <v>20</v>
      </c>
      <c r="P1962" t="s">
        <v>21</v>
      </c>
      <c r="Q1962" t="s">
        <v>35</v>
      </c>
    </row>
    <row r="1963" spans="1:17" x14ac:dyDescent="0.2">
      <c r="A1963" t="s">
        <v>17</v>
      </c>
      <c r="B1963">
        <v>26</v>
      </c>
      <c r="C1963">
        <v>1.6135740000000001</v>
      </c>
      <c r="D1963">
        <v>107.01225599999999</v>
      </c>
      <c r="E1963" t="s">
        <v>18</v>
      </c>
      <c r="F1963" t="s">
        <v>18</v>
      </c>
      <c r="G1963">
        <v>3</v>
      </c>
      <c r="H1963">
        <v>3</v>
      </c>
      <c r="I1963" t="s">
        <v>20</v>
      </c>
      <c r="J1963" t="s">
        <v>19</v>
      </c>
      <c r="K1963">
        <v>2.678779</v>
      </c>
      <c r="L1963" t="s">
        <v>19</v>
      </c>
      <c r="M1963">
        <v>0</v>
      </c>
      <c r="N1963">
        <v>0.50884799999999997</v>
      </c>
      <c r="O1963" t="s">
        <v>20</v>
      </c>
      <c r="P1963" t="s">
        <v>21</v>
      </c>
      <c r="Q1963" t="s">
        <v>35</v>
      </c>
    </row>
    <row r="1964" spans="1:17" x14ac:dyDescent="0.2">
      <c r="A1964" t="s">
        <v>17</v>
      </c>
      <c r="B1964">
        <v>26</v>
      </c>
      <c r="C1964">
        <v>1.627532</v>
      </c>
      <c r="D1964">
        <v>106.69053</v>
      </c>
      <c r="E1964" t="s">
        <v>18</v>
      </c>
      <c r="F1964" t="s">
        <v>18</v>
      </c>
      <c r="G1964">
        <v>3</v>
      </c>
      <c r="H1964">
        <v>3</v>
      </c>
      <c r="I1964" t="s">
        <v>20</v>
      </c>
      <c r="J1964" t="s">
        <v>19</v>
      </c>
      <c r="K1964">
        <v>2.5697130000000001</v>
      </c>
      <c r="L1964" t="s">
        <v>19</v>
      </c>
      <c r="M1964">
        <v>0</v>
      </c>
      <c r="N1964">
        <v>0.39697199999999999</v>
      </c>
      <c r="O1964" t="s">
        <v>20</v>
      </c>
      <c r="P1964" t="s">
        <v>21</v>
      </c>
      <c r="Q1964" t="s">
        <v>35</v>
      </c>
    </row>
    <row r="1965" spans="1:17" x14ac:dyDescent="0.2">
      <c r="A1965" t="s">
        <v>17</v>
      </c>
      <c r="B1965">
        <v>20.848607999999999</v>
      </c>
      <c r="C1965">
        <v>1.7266060000000001</v>
      </c>
      <c r="D1965">
        <v>131.76806999999999</v>
      </c>
      <c r="E1965" t="s">
        <v>18</v>
      </c>
      <c r="F1965" t="s">
        <v>18</v>
      </c>
      <c r="G1965">
        <v>3</v>
      </c>
      <c r="H1965">
        <v>3</v>
      </c>
      <c r="I1965" t="s">
        <v>20</v>
      </c>
      <c r="J1965" t="s">
        <v>19</v>
      </c>
      <c r="K1965">
        <v>1.759352</v>
      </c>
      <c r="L1965" t="s">
        <v>19</v>
      </c>
      <c r="M1965">
        <v>1.4699279999999999</v>
      </c>
      <c r="N1965">
        <v>0.95043800000000001</v>
      </c>
      <c r="O1965" t="s">
        <v>20</v>
      </c>
      <c r="P1965" t="s">
        <v>21</v>
      </c>
      <c r="Q1965" t="s">
        <v>35</v>
      </c>
    </row>
    <row r="1966" spans="1:17" x14ac:dyDescent="0.2">
      <c r="A1966" t="s">
        <v>17</v>
      </c>
      <c r="B1966">
        <v>20.801791000000001</v>
      </c>
      <c r="C1966">
        <v>1.721476</v>
      </c>
      <c r="D1966">
        <v>131.04227399999999</v>
      </c>
      <c r="E1966" t="s">
        <v>18</v>
      </c>
      <c r="F1966" t="s">
        <v>18</v>
      </c>
      <c r="G1966">
        <v>3</v>
      </c>
      <c r="H1966">
        <v>3</v>
      </c>
      <c r="I1966" t="s">
        <v>20</v>
      </c>
      <c r="J1966" t="s">
        <v>19</v>
      </c>
      <c r="K1966">
        <v>1.8371839999999999</v>
      </c>
      <c r="L1966" t="s">
        <v>19</v>
      </c>
      <c r="M1966">
        <v>1.5251650000000001</v>
      </c>
      <c r="N1966">
        <v>0.92644300000000002</v>
      </c>
      <c r="O1966" t="s">
        <v>20</v>
      </c>
      <c r="P1966" t="s">
        <v>21</v>
      </c>
      <c r="Q1966" t="s">
        <v>35</v>
      </c>
    </row>
    <row r="1967" spans="1:17" x14ac:dyDescent="0.2">
      <c r="A1967" t="s">
        <v>17</v>
      </c>
      <c r="B1967">
        <v>23.712641000000001</v>
      </c>
      <c r="C1967">
        <v>1.742901</v>
      </c>
      <c r="D1967">
        <v>132.80709999999999</v>
      </c>
      <c r="E1967" t="s">
        <v>18</v>
      </c>
      <c r="F1967" t="s">
        <v>18</v>
      </c>
      <c r="G1967">
        <v>3</v>
      </c>
      <c r="H1967">
        <v>3</v>
      </c>
      <c r="I1967" t="s">
        <v>20</v>
      </c>
      <c r="J1967" t="s">
        <v>19</v>
      </c>
      <c r="K1967">
        <v>2.856795</v>
      </c>
      <c r="L1967" t="s">
        <v>19</v>
      </c>
      <c r="M1967">
        <v>1.0464629999999999</v>
      </c>
      <c r="N1967">
        <v>0.58616299999999999</v>
      </c>
      <c r="O1967" t="s">
        <v>20</v>
      </c>
      <c r="P1967" t="s">
        <v>21</v>
      </c>
      <c r="Q1967" t="s">
        <v>35</v>
      </c>
    </row>
    <row r="1968" spans="1:17" x14ac:dyDescent="0.2">
      <c r="A1968" t="s">
        <v>17</v>
      </c>
      <c r="B1968">
        <v>24.063873999999998</v>
      </c>
      <c r="C1968">
        <v>1.7373130000000001</v>
      </c>
      <c r="D1968">
        <v>133.166595</v>
      </c>
      <c r="E1968" t="s">
        <v>18</v>
      </c>
      <c r="F1968" t="s">
        <v>18</v>
      </c>
      <c r="G1968">
        <v>3</v>
      </c>
      <c r="H1968">
        <v>3</v>
      </c>
      <c r="I1968" t="s">
        <v>20</v>
      </c>
      <c r="J1968" t="s">
        <v>19</v>
      </c>
      <c r="K1968">
        <v>2.8462589999999999</v>
      </c>
      <c r="L1968" t="s">
        <v>19</v>
      </c>
      <c r="M1968">
        <v>1.2957590000000001</v>
      </c>
      <c r="N1968">
        <v>0.72315399999999996</v>
      </c>
      <c r="O1968" t="s">
        <v>20</v>
      </c>
      <c r="P1968" t="s">
        <v>21</v>
      </c>
      <c r="Q1968" t="s">
        <v>35</v>
      </c>
    </row>
    <row r="1969" spans="1:17" x14ac:dyDescent="0.2">
      <c r="A1969" t="s">
        <v>17</v>
      </c>
      <c r="B1969">
        <v>25.957740000000001</v>
      </c>
      <c r="C1969">
        <v>1.6241399999999999</v>
      </c>
      <c r="D1969">
        <v>102.233445</v>
      </c>
      <c r="E1969" t="s">
        <v>18</v>
      </c>
      <c r="F1969" t="s">
        <v>18</v>
      </c>
      <c r="G1969">
        <v>3</v>
      </c>
      <c r="H1969">
        <v>3</v>
      </c>
      <c r="I1969" t="s">
        <v>20</v>
      </c>
      <c r="J1969" t="s">
        <v>19</v>
      </c>
      <c r="K1969">
        <v>1.0677160000000001</v>
      </c>
      <c r="L1969" t="s">
        <v>19</v>
      </c>
      <c r="M1969">
        <v>3.0540999999999999E-2</v>
      </c>
      <c r="N1969">
        <v>1</v>
      </c>
      <c r="O1969" t="s">
        <v>20</v>
      </c>
      <c r="P1969" t="s">
        <v>21</v>
      </c>
      <c r="Q1969" t="s">
        <v>35</v>
      </c>
    </row>
    <row r="1970" spans="1:17" x14ac:dyDescent="0.2">
      <c r="A1970" t="s">
        <v>17</v>
      </c>
      <c r="B1970">
        <v>25.909352999999999</v>
      </c>
      <c r="C1970">
        <v>1.6440779999999999</v>
      </c>
      <c r="D1970">
        <v>102.277765</v>
      </c>
      <c r="E1970" t="s">
        <v>18</v>
      </c>
      <c r="F1970" t="s">
        <v>18</v>
      </c>
      <c r="G1970">
        <v>3</v>
      </c>
      <c r="H1970">
        <v>3</v>
      </c>
      <c r="I1970" t="s">
        <v>20</v>
      </c>
      <c r="J1970" t="s">
        <v>19</v>
      </c>
      <c r="K1970">
        <v>1.0292410000000001</v>
      </c>
      <c r="L1970" t="s">
        <v>19</v>
      </c>
      <c r="M1970">
        <v>7.5775999999999996E-2</v>
      </c>
      <c r="N1970">
        <v>1</v>
      </c>
      <c r="O1970" t="s">
        <v>20</v>
      </c>
      <c r="P1970" t="s">
        <v>21</v>
      </c>
      <c r="Q1970" t="s">
        <v>35</v>
      </c>
    </row>
    <row r="1971" spans="1:17" x14ac:dyDescent="0.2">
      <c r="A1971" t="s">
        <v>17</v>
      </c>
      <c r="B1971">
        <v>25.954995</v>
      </c>
      <c r="C1971">
        <v>1.5925290000000001</v>
      </c>
      <c r="D1971">
        <v>102.874549</v>
      </c>
      <c r="E1971" t="s">
        <v>18</v>
      </c>
      <c r="F1971" t="s">
        <v>18</v>
      </c>
      <c r="G1971">
        <v>3</v>
      </c>
      <c r="H1971">
        <v>3</v>
      </c>
      <c r="I1971" t="s">
        <v>20</v>
      </c>
      <c r="J1971" t="s">
        <v>19</v>
      </c>
      <c r="K1971">
        <v>1.0744119999999999</v>
      </c>
      <c r="L1971" t="s">
        <v>19</v>
      </c>
      <c r="M1971">
        <v>6.2649999999999997E-3</v>
      </c>
      <c r="N1971">
        <v>0.84563299999999997</v>
      </c>
      <c r="O1971" t="s">
        <v>20</v>
      </c>
      <c r="P1971" t="s">
        <v>21</v>
      </c>
      <c r="Q1971" t="s">
        <v>35</v>
      </c>
    </row>
    <row r="1972" spans="1:17" x14ac:dyDescent="0.2">
      <c r="A1972" t="s">
        <v>17</v>
      </c>
      <c r="B1972">
        <v>25.908829000000001</v>
      </c>
      <c r="C1972">
        <v>1.607734</v>
      </c>
      <c r="D1972">
        <v>102.305767</v>
      </c>
      <c r="E1972" t="s">
        <v>18</v>
      </c>
      <c r="F1972" t="s">
        <v>18</v>
      </c>
      <c r="G1972">
        <v>3</v>
      </c>
      <c r="H1972">
        <v>3</v>
      </c>
      <c r="I1972" t="s">
        <v>20</v>
      </c>
      <c r="J1972" t="s">
        <v>19</v>
      </c>
      <c r="K1972">
        <v>1.0305009999999999</v>
      </c>
      <c r="L1972" t="s">
        <v>19</v>
      </c>
      <c r="M1972">
        <v>6.5820000000000004E-2</v>
      </c>
      <c r="N1972">
        <v>0.99147300000000005</v>
      </c>
      <c r="O1972" t="s">
        <v>20</v>
      </c>
      <c r="P1972" t="s">
        <v>21</v>
      </c>
      <c r="Q1972" t="s">
        <v>35</v>
      </c>
    </row>
    <row r="1973" spans="1:17" x14ac:dyDescent="0.2">
      <c r="A1973" t="s">
        <v>17</v>
      </c>
      <c r="B1973">
        <v>19.297004000000001</v>
      </c>
      <c r="C1973">
        <v>1.8172710000000001</v>
      </c>
      <c r="D1973">
        <v>141.91780199999999</v>
      </c>
      <c r="E1973" t="s">
        <v>18</v>
      </c>
      <c r="F1973" t="s">
        <v>18</v>
      </c>
      <c r="G1973">
        <v>3</v>
      </c>
      <c r="H1973">
        <v>3</v>
      </c>
      <c r="I1973" t="s">
        <v>20</v>
      </c>
      <c r="J1973" t="s">
        <v>19</v>
      </c>
      <c r="K1973">
        <v>2.699675</v>
      </c>
      <c r="L1973" t="s">
        <v>19</v>
      </c>
      <c r="M1973">
        <v>1.520818</v>
      </c>
      <c r="N1973">
        <v>0.76398999999999995</v>
      </c>
      <c r="O1973" t="s">
        <v>20</v>
      </c>
      <c r="P1973" t="s">
        <v>21</v>
      </c>
      <c r="Q1973" t="s">
        <v>35</v>
      </c>
    </row>
    <row r="1974" spans="1:17" x14ac:dyDescent="0.2">
      <c r="A1974" t="s">
        <v>17</v>
      </c>
      <c r="B1974">
        <v>18.301773000000001</v>
      </c>
      <c r="C1974">
        <v>1.808765</v>
      </c>
      <c r="D1974">
        <v>140.29201800000001</v>
      </c>
      <c r="E1974" t="s">
        <v>18</v>
      </c>
      <c r="F1974" t="s">
        <v>18</v>
      </c>
      <c r="G1974">
        <v>3</v>
      </c>
      <c r="H1974">
        <v>3</v>
      </c>
      <c r="I1974" t="s">
        <v>20</v>
      </c>
      <c r="J1974" t="s">
        <v>19</v>
      </c>
      <c r="K1974">
        <v>2.830247</v>
      </c>
      <c r="L1974" t="s">
        <v>19</v>
      </c>
      <c r="M1974">
        <v>1.7831379999999999</v>
      </c>
      <c r="N1974">
        <v>0.78906399999999999</v>
      </c>
      <c r="O1974" t="s">
        <v>20</v>
      </c>
      <c r="P1974" t="s">
        <v>21</v>
      </c>
      <c r="Q1974" t="s">
        <v>35</v>
      </c>
    </row>
    <row r="1975" spans="1:17" x14ac:dyDescent="0.2">
      <c r="A1975" t="s">
        <v>17</v>
      </c>
      <c r="B1975">
        <v>19.872667</v>
      </c>
      <c r="C1975">
        <v>1.817231</v>
      </c>
      <c r="D1975">
        <v>152.37191100000001</v>
      </c>
      <c r="E1975" t="s">
        <v>18</v>
      </c>
      <c r="F1975" t="s">
        <v>18</v>
      </c>
      <c r="G1975">
        <v>3</v>
      </c>
      <c r="H1975">
        <v>3</v>
      </c>
      <c r="I1975" t="s">
        <v>20</v>
      </c>
      <c r="J1975" t="s">
        <v>19</v>
      </c>
      <c r="K1975">
        <v>2.3055210000000002</v>
      </c>
      <c r="L1975" t="s">
        <v>19</v>
      </c>
      <c r="M1975">
        <v>1.956278</v>
      </c>
      <c r="N1975">
        <v>0.92376000000000003</v>
      </c>
      <c r="O1975" t="s">
        <v>20</v>
      </c>
      <c r="P1975" t="s">
        <v>21</v>
      </c>
      <c r="Q1975" t="s">
        <v>35</v>
      </c>
    </row>
    <row r="1976" spans="1:17" x14ac:dyDescent="0.2">
      <c r="A1976" t="s">
        <v>17</v>
      </c>
      <c r="B1976">
        <v>18.137820000000001</v>
      </c>
      <c r="C1976">
        <v>1.819728</v>
      </c>
      <c r="D1976">
        <v>151.27853200000001</v>
      </c>
      <c r="E1976" t="s">
        <v>18</v>
      </c>
      <c r="F1976" t="s">
        <v>18</v>
      </c>
      <c r="G1976">
        <v>3</v>
      </c>
      <c r="H1976">
        <v>3</v>
      </c>
      <c r="I1976" t="s">
        <v>20</v>
      </c>
      <c r="J1976" t="s">
        <v>19</v>
      </c>
      <c r="K1976">
        <v>2.155926</v>
      </c>
      <c r="L1976" t="s">
        <v>19</v>
      </c>
      <c r="M1976">
        <v>1.9998359999999999</v>
      </c>
      <c r="N1976">
        <v>0.94603000000000004</v>
      </c>
      <c r="O1976" t="s">
        <v>20</v>
      </c>
      <c r="P1976" t="s">
        <v>21</v>
      </c>
      <c r="Q1976" t="s">
        <v>35</v>
      </c>
    </row>
    <row r="1977" spans="1:17" x14ac:dyDescent="0.2">
      <c r="A1977" t="s">
        <v>17</v>
      </c>
      <c r="B1977">
        <v>26</v>
      </c>
      <c r="C1977">
        <v>1.6564650000000001</v>
      </c>
      <c r="D1977">
        <v>111.949972</v>
      </c>
      <c r="E1977" t="s">
        <v>18</v>
      </c>
      <c r="F1977" t="s">
        <v>18</v>
      </c>
      <c r="G1977">
        <v>3</v>
      </c>
      <c r="H1977">
        <v>3</v>
      </c>
      <c r="I1977" t="s">
        <v>20</v>
      </c>
      <c r="J1977" t="s">
        <v>19</v>
      </c>
      <c r="K1977">
        <v>2.784303</v>
      </c>
      <c r="L1977" t="s">
        <v>19</v>
      </c>
      <c r="M1977">
        <v>0</v>
      </c>
      <c r="N1977">
        <v>0.127775</v>
      </c>
      <c r="O1977" t="s">
        <v>20</v>
      </c>
      <c r="P1977" t="s">
        <v>21</v>
      </c>
      <c r="Q1977" t="s">
        <v>35</v>
      </c>
    </row>
    <row r="1978" spans="1:17" x14ac:dyDescent="0.2">
      <c r="A1978" t="s">
        <v>17</v>
      </c>
      <c r="B1978">
        <v>26</v>
      </c>
      <c r="C1978">
        <v>1.6481429999999999</v>
      </c>
      <c r="D1978">
        <v>111.950113</v>
      </c>
      <c r="E1978" t="s">
        <v>18</v>
      </c>
      <c r="F1978" t="s">
        <v>18</v>
      </c>
      <c r="G1978">
        <v>3</v>
      </c>
      <c r="H1978">
        <v>3</v>
      </c>
      <c r="I1978" t="s">
        <v>20</v>
      </c>
      <c r="J1978" t="s">
        <v>19</v>
      </c>
      <c r="K1978">
        <v>2.7864170000000001</v>
      </c>
      <c r="L1978" t="s">
        <v>19</v>
      </c>
      <c r="M1978">
        <v>0</v>
      </c>
      <c r="N1978">
        <v>7.9672999999999994E-2</v>
      </c>
      <c r="O1978" t="s">
        <v>20</v>
      </c>
      <c r="P1978" t="s">
        <v>21</v>
      </c>
      <c r="Q1978" t="s">
        <v>35</v>
      </c>
    </row>
    <row r="1979" spans="1:17" x14ac:dyDescent="0.2">
      <c r="A1979" t="s">
        <v>17</v>
      </c>
      <c r="B1979">
        <v>26</v>
      </c>
      <c r="C1979">
        <v>1.622703</v>
      </c>
      <c r="D1979">
        <v>111.21619200000001</v>
      </c>
      <c r="E1979" t="s">
        <v>18</v>
      </c>
      <c r="F1979" t="s">
        <v>18</v>
      </c>
      <c r="G1979">
        <v>3</v>
      </c>
      <c r="H1979">
        <v>3</v>
      </c>
      <c r="I1979" t="s">
        <v>20</v>
      </c>
      <c r="J1979" t="s">
        <v>19</v>
      </c>
      <c r="K1979">
        <v>2.707201</v>
      </c>
      <c r="L1979" t="s">
        <v>19</v>
      </c>
      <c r="M1979">
        <v>0</v>
      </c>
      <c r="N1979">
        <v>0.167272</v>
      </c>
      <c r="O1979" t="s">
        <v>20</v>
      </c>
      <c r="P1979" t="s">
        <v>21</v>
      </c>
      <c r="Q1979" t="s">
        <v>35</v>
      </c>
    </row>
    <row r="1980" spans="1:17" x14ac:dyDescent="0.2">
      <c r="A1980" t="s">
        <v>17</v>
      </c>
      <c r="B1980">
        <v>26</v>
      </c>
      <c r="C1980">
        <v>1.640606</v>
      </c>
      <c r="D1980">
        <v>111.03688099999999</v>
      </c>
      <c r="E1980" t="s">
        <v>18</v>
      </c>
      <c r="F1980" t="s">
        <v>18</v>
      </c>
      <c r="G1980">
        <v>3</v>
      </c>
      <c r="H1980">
        <v>3</v>
      </c>
      <c r="I1980" t="s">
        <v>20</v>
      </c>
      <c r="J1980" t="s">
        <v>19</v>
      </c>
      <c r="K1980">
        <v>2.7094279999999999</v>
      </c>
      <c r="L1980" t="s">
        <v>19</v>
      </c>
      <c r="M1980">
        <v>0</v>
      </c>
      <c r="N1980">
        <v>0.22848599999999999</v>
      </c>
      <c r="O1980" t="s">
        <v>20</v>
      </c>
      <c r="P1980" t="s">
        <v>21</v>
      </c>
      <c r="Q1980" t="s">
        <v>35</v>
      </c>
    </row>
    <row r="1981" spans="1:17" x14ac:dyDescent="0.2">
      <c r="A1981" t="s">
        <v>17</v>
      </c>
      <c r="B1981">
        <v>25.427240000000001</v>
      </c>
      <c r="C1981">
        <v>1.6835020000000001</v>
      </c>
      <c r="D1981">
        <v>104.759643</v>
      </c>
      <c r="E1981" t="s">
        <v>18</v>
      </c>
      <c r="F1981" t="s">
        <v>18</v>
      </c>
      <c r="G1981">
        <v>3</v>
      </c>
      <c r="H1981">
        <v>3</v>
      </c>
      <c r="I1981" t="s">
        <v>20</v>
      </c>
      <c r="J1981" t="s">
        <v>19</v>
      </c>
      <c r="K1981">
        <v>1.5251269999999999</v>
      </c>
      <c r="L1981" t="s">
        <v>19</v>
      </c>
      <c r="M1981">
        <v>0.22082499999999999</v>
      </c>
      <c r="N1981">
        <v>0.89610500000000004</v>
      </c>
      <c r="O1981" t="s">
        <v>20</v>
      </c>
      <c r="P1981" t="s">
        <v>21</v>
      </c>
      <c r="Q1981" t="s">
        <v>35</v>
      </c>
    </row>
    <row r="1982" spans="1:17" x14ac:dyDescent="0.2">
      <c r="A1982" t="s">
        <v>17</v>
      </c>
      <c r="B1982">
        <v>25.795186999999999</v>
      </c>
      <c r="C1982">
        <v>1.6690389999999999</v>
      </c>
      <c r="D1982">
        <v>104.593929</v>
      </c>
      <c r="E1982" t="s">
        <v>18</v>
      </c>
      <c r="F1982" t="s">
        <v>18</v>
      </c>
      <c r="G1982">
        <v>3</v>
      </c>
      <c r="H1982">
        <v>3</v>
      </c>
      <c r="I1982" t="s">
        <v>20</v>
      </c>
      <c r="J1982" t="s">
        <v>19</v>
      </c>
      <c r="K1982">
        <v>1.5549249999999999</v>
      </c>
      <c r="L1982" t="s">
        <v>19</v>
      </c>
      <c r="M1982">
        <v>0.20958599999999999</v>
      </c>
      <c r="N1982">
        <v>0.82306900000000005</v>
      </c>
      <c r="O1982" t="s">
        <v>20</v>
      </c>
      <c r="P1982" t="s">
        <v>21</v>
      </c>
      <c r="Q1982" t="s">
        <v>35</v>
      </c>
    </row>
    <row r="1983" spans="1:17" x14ac:dyDescent="0.2">
      <c r="A1983" t="s">
        <v>17</v>
      </c>
      <c r="B1983">
        <v>25.493586000000001</v>
      </c>
      <c r="C1983">
        <v>1.673665</v>
      </c>
      <c r="D1983">
        <v>104.704707</v>
      </c>
      <c r="E1983" t="s">
        <v>18</v>
      </c>
      <c r="F1983" t="s">
        <v>18</v>
      </c>
      <c r="G1983">
        <v>3</v>
      </c>
      <c r="H1983">
        <v>3</v>
      </c>
      <c r="I1983" t="s">
        <v>20</v>
      </c>
      <c r="J1983" t="s">
        <v>19</v>
      </c>
      <c r="K1983">
        <v>1.170515</v>
      </c>
      <c r="L1983" t="s">
        <v>19</v>
      </c>
      <c r="M1983">
        <v>0.26483099999999998</v>
      </c>
      <c r="N1983">
        <v>0.89684200000000003</v>
      </c>
      <c r="O1983" t="s">
        <v>20</v>
      </c>
      <c r="P1983" t="s">
        <v>21</v>
      </c>
      <c r="Q1983" t="s">
        <v>35</v>
      </c>
    </row>
    <row r="1984" spans="1:17" x14ac:dyDescent="0.2">
      <c r="A1984" t="s">
        <v>17</v>
      </c>
      <c r="B1984">
        <v>25.524336000000002</v>
      </c>
      <c r="C1984">
        <v>1.6689309999999999</v>
      </c>
      <c r="D1984">
        <v>104.76831799999999</v>
      </c>
      <c r="E1984" t="s">
        <v>18</v>
      </c>
      <c r="F1984" t="s">
        <v>18</v>
      </c>
      <c r="G1984">
        <v>3</v>
      </c>
      <c r="H1984">
        <v>3</v>
      </c>
      <c r="I1984" t="s">
        <v>20</v>
      </c>
      <c r="J1984" t="s">
        <v>19</v>
      </c>
      <c r="K1984">
        <v>1.4366159999999999</v>
      </c>
      <c r="L1984" t="s">
        <v>19</v>
      </c>
      <c r="M1984">
        <v>0.16708600000000001</v>
      </c>
      <c r="N1984">
        <v>0.76471699999999998</v>
      </c>
      <c r="O1984" t="s">
        <v>20</v>
      </c>
      <c r="P1984" t="s">
        <v>21</v>
      </c>
      <c r="Q1984" t="s">
        <v>35</v>
      </c>
    </row>
    <row r="1985" spans="1:17" x14ac:dyDescent="0.2">
      <c r="A1985" t="s">
        <v>17</v>
      </c>
      <c r="B1985">
        <v>20.908785000000002</v>
      </c>
      <c r="C1985">
        <v>1.700996</v>
      </c>
      <c r="D1985">
        <v>126.490236</v>
      </c>
      <c r="E1985" t="s">
        <v>18</v>
      </c>
      <c r="F1985" t="s">
        <v>18</v>
      </c>
      <c r="G1985">
        <v>3</v>
      </c>
      <c r="H1985">
        <v>3</v>
      </c>
      <c r="I1985" t="s">
        <v>20</v>
      </c>
      <c r="J1985" t="s">
        <v>19</v>
      </c>
      <c r="K1985">
        <v>1.2428319999999999</v>
      </c>
      <c r="L1985" t="s">
        <v>19</v>
      </c>
      <c r="M1985">
        <v>0.53092499999999998</v>
      </c>
      <c r="N1985">
        <v>0.57596899999999995</v>
      </c>
      <c r="O1985" t="s">
        <v>20</v>
      </c>
      <c r="P1985" t="s">
        <v>21</v>
      </c>
      <c r="Q1985" t="s">
        <v>35</v>
      </c>
    </row>
    <row r="1986" spans="1:17" x14ac:dyDescent="0.2">
      <c r="A1986" t="s">
        <v>17</v>
      </c>
      <c r="B1986">
        <v>20.781751</v>
      </c>
      <c r="C1986">
        <v>1.734092</v>
      </c>
      <c r="D1986">
        <v>125.117633</v>
      </c>
      <c r="E1986" t="s">
        <v>18</v>
      </c>
      <c r="F1986" t="s">
        <v>18</v>
      </c>
      <c r="G1986">
        <v>3</v>
      </c>
      <c r="H1986">
        <v>3</v>
      </c>
      <c r="I1986" t="s">
        <v>20</v>
      </c>
      <c r="J1986" t="s">
        <v>19</v>
      </c>
      <c r="K1986">
        <v>1.5424899999999999</v>
      </c>
      <c r="L1986" t="s">
        <v>19</v>
      </c>
      <c r="M1986">
        <v>0.62770000000000004</v>
      </c>
      <c r="N1986">
        <v>0.45047900000000002</v>
      </c>
      <c r="O1986" t="s">
        <v>20</v>
      </c>
      <c r="P1986" t="s">
        <v>21</v>
      </c>
      <c r="Q1986" t="s">
        <v>35</v>
      </c>
    </row>
    <row r="1987" spans="1:17" x14ac:dyDescent="0.2">
      <c r="A1987" t="s">
        <v>17</v>
      </c>
      <c r="B1987">
        <v>21.289103999999998</v>
      </c>
      <c r="C1987">
        <v>1.708291</v>
      </c>
      <c r="D1987">
        <v>130.98633799999999</v>
      </c>
      <c r="E1987" t="s">
        <v>18</v>
      </c>
      <c r="F1987" t="s">
        <v>18</v>
      </c>
      <c r="G1987">
        <v>3</v>
      </c>
      <c r="H1987">
        <v>3</v>
      </c>
      <c r="I1987" t="s">
        <v>20</v>
      </c>
      <c r="J1987" t="s">
        <v>19</v>
      </c>
      <c r="K1987">
        <v>1.2055480000000001</v>
      </c>
      <c r="L1987" t="s">
        <v>19</v>
      </c>
      <c r="M1987">
        <v>1.7239340000000001</v>
      </c>
      <c r="N1987">
        <v>0.95235199999999998</v>
      </c>
      <c r="O1987" t="s">
        <v>20</v>
      </c>
      <c r="P1987" t="s">
        <v>21</v>
      </c>
      <c r="Q1987" t="s">
        <v>35</v>
      </c>
    </row>
    <row r="1988" spans="1:17" x14ac:dyDescent="0.2">
      <c r="A1988" t="s">
        <v>17</v>
      </c>
      <c r="B1988">
        <v>21.210732</v>
      </c>
      <c r="C1988">
        <v>1.7164969999999999</v>
      </c>
      <c r="D1988">
        <v>130.871127</v>
      </c>
      <c r="E1988" t="s">
        <v>18</v>
      </c>
      <c r="F1988" t="s">
        <v>18</v>
      </c>
      <c r="G1988">
        <v>3</v>
      </c>
      <c r="H1988">
        <v>3</v>
      </c>
      <c r="I1988" t="s">
        <v>20</v>
      </c>
      <c r="J1988" t="s">
        <v>19</v>
      </c>
      <c r="K1988">
        <v>1.3016570000000001</v>
      </c>
      <c r="L1988" t="s">
        <v>19</v>
      </c>
      <c r="M1988">
        <v>1.7185429999999999</v>
      </c>
      <c r="N1988">
        <v>0.94788399999999995</v>
      </c>
      <c r="O1988" t="s">
        <v>20</v>
      </c>
      <c r="P1988" t="s">
        <v>21</v>
      </c>
      <c r="Q1988" t="s">
        <v>35</v>
      </c>
    </row>
    <row r="1989" spans="1:17" x14ac:dyDescent="0.2">
      <c r="A1989" t="s">
        <v>17</v>
      </c>
      <c r="B1989">
        <v>26</v>
      </c>
      <c r="C1989">
        <v>1.6249499999999999</v>
      </c>
      <c r="D1989">
        <v>111.00492</v>
      </c>
      <c r="E1989" t="s">
        <v>18</v>
      </c>
      <c r="F1989" t="s">
        <v>18</v>
      </c>
      <c r="G1989">
        <v>3</v>
      </c>
      <c r="H1989">
        <v>3</v>
      </c>
      <c r="I1989" t="s">
        <v>20</v>
      </c>
      <c r="J1989" t="s">
        <v>19</v>
      </c>
      <c r="K1989">
        <v>2.7043149999999998</v>
      </c>
      <c r="L1989" t="s">
        <v>19</v>
      </c>
      <c r="M1989">
        <v>0</v>
      </c>
      <c r="N1989">
        <v>0.32266600000000001</v>
      </c>
      <c r="O1989" t="s">
        <v>20</v>
      </c>
      <c r="P1989" t="s">
        <v>21</v>
      </c>
      <c r="Q1989" t="s">
        <v>35</v>
      </c>
    </row>
    <row r="1990" spans="1:17" x14ac:dyDescent="0.2">
      <c r="A1990" t="s">
        <v>17</v>
      </c>
      <c r="B1990">
        <v>26</v>
      </c>
      <c r="C1990">
        <v>1.594776</v>
      </c>
      <c r="D1990">
        <v>110.640929</v>
      </c>
      <c r="E1990" t="s">
        <v>18</v>
      </c>
      <c r="F1990" t="s">
        <v>18</v>
      </c>
      <c r="G1990">
        <v>3</v>
      </c>
      <c r="H1990">
        <v>3</v>
      </c>
      <c r="I1990" t="s">
        <v>20</v>
      </c>
      <c r="J1990" t="s">
        <v>19</v>
      </c>
      <c r="K1990">
        <v>2.6398160000000002</v>
      </c>
      <c r="L1990" t="s">
        <v>19</v>
      </c>
      <c r="M1990">
        <v>0</v>
      </c>
      <c r="N1990">
        <v>0.45223600000000003</v>
      </c>
      <c r="O1990" t="s">
        <v>20</v>
      </c>
      <c r="P1990" t="s">
        <v>21</v>
      </c>
      <c r="Q1990" t="s">
        <v>35</v>
      </c>
    </row>
    <row r="1991" spans="1:17" x14ac:dyDescent="0.2">
      <c r="A1991" t="s">
        <v>17</v>
      </c>
      <c r="B1991">
        <v>26</v>
      </c>
      <c r="C1991">
        <v>1.626503</v>
      </c>
      <c r="D1991">
        <v>110.81875700000001</v>
      </c>
      <c r="E1991" t="s">
        <v>18</v>
      </c>
      <c r="F1991" t="s">
        <v>18</v>
      </c>
      <c r="G1991">
        <v>3</v>
      </c>
      <c r="H1991">
        <v>3</v>
      </c>
      <c r="I1991" t="s">
        <v>20</v>
      </c>
      <c r="J1991" t="s">
        <v>19</v>
      </c>
      <c r="K1991">
        <v>2.7089270000000001</v>
      </c>
      <c r="L1991" t="s">
        <v>19</v>
      </c>
      <c r="M1991">
        <v>0</v>
      </c>
      <c r="N1991">
        <v>0.27896199999999999</v>
      </c>
      <c r="O1991" t="s">
        <v>20</v>
      </c>
      <c r="P1991" t="s">
        <v>21</v>
      </c>
      <c r="Q1991" t="s">
        <v>35</v>
      </c>
    </row>
    <row r="1992" spans="1:17" x14ac:dyDescent="0.2">
      <c r="A1992" t="s">
        <v>17</v>
      </c>
      <c r="B1992">
        <v>26</v>
      </c>
      <c r="C1992">
        <v>1.624576</v>
      </c>
      <c r="D1992">
        <v>110.803117</v>
      </c>
      <c r="E1992" t="s">
        <v>18</v>
      </c>
      <c r="F1992" t="s">
        <v>18</v>
      </c>
      <c r="G1992">
        <v>3</v>
      </c>
      <c r="H1992">
        <v>3</v>
      </c>
      <c r="I1992" t="s">
        <v>20</v>
      </c>
      <c r="J1992" t="s">
        <v>19</v>
      </c>
      <c r="K1992">
        <v>2.7048269999999999</v>
      </c>
      <c r="L1992" t="s">
        <v>19</v>
      </c>
      <c r="M1992">
        <v>0</v>
      </c>
      <c r="N1992">
        <v>0.26957700000000001</v>
      </c>
      <c r="O1992" t="s">
        <v>20</v>
      </c>
      <c r="P1992" t="s">
        <v>21</v>
      </c>
      <c r="Q1992" t="s">
        <v>35</v>
      </c>
    </row>
    <row r="1993" spans="1:17" x14ac:dyDescent="0.2">
      <c r="A1993" t="s">
        <v>17</v>
      </c>
      <c r="B1993">
        <v>21.656907</v>
      </c>
      <c r="C1993">
        <v>1.7290989999999999</v>
      </c>
      <c r="D1993">
        <v>134.84265600000001</v>
      </c>
      <c r="E1993" t="s">
        <v>18</v>
      </c>
      <c r="F1993" t="s">
        <v>18</v>
      </c>
      <c r="G1993">
        <v>3</v>
      </c>
      <c r="H1993">
        <v>3</v>
      </c>
      <c r="I1993" t="s">
        <v>20</v>
      </c>
      <c r="J1993" t="s">
        <v>19</v>
      </c>
      <c r="K1993">
        <v>1.3954</v>
      </c>
      <c r="L1993" t="s">
        <v>19</v>
      </c>
      <c r="M1993">
        <v>1.931173</v>
      </c>
      <c r="N1993">
        <v>0.87825799999999998</v>
      </c>
      <c r="O1993" t="s">
        <v>20</v>
      </c>
      <c r="P1993" t="s">
        <v>21</v>
      </c>
      <c r="Q1993" t="s">
        <v>35</v>
      </c>
    </row>
    <row r="1994" spans="1:17" x14ac:dyDescent="0.2">
      <c r="A1994" t="s">
        <v>17</v>
      </c>
      <c r="B1994">
        <v>21.760733999999999</v>
      </c>
      <c r="C1994">
        <v>1.7358100000000001</v>
      </c>
      <c r="D1994">
        <v>135.346677</v>
      </c>
      <c r="E1994" t="s">
        <v>18</v>
      </c>
      <c r="F1994" t="s">
        <v>18</v>
      </c>
      <c r="G1994">
        <v>3</v>
      </c>
      <c r="H1994">
        <v>3</v>
      </c>
      <c r="I1994" t="s">
        <v>20</v>
      </c>
      <c r="J1994" t="s">
        <v>19</v>
      </c>
      <c r="K1994">
        <v>2.6116540000000001</v>
      </c>
      <c r="L1994" t="s">
        <v>19</v>
      </c>
      <c r="M1994">
        <v>1.618512</v>
      </c>
      <c r="N1994">
        <v>0.868788</v>
      </c>
      <c r="O1994" t="s">
        <v>20</v>
      </c>
      <c r="P1994" t="s">
        <v>21</v>
      </c>
      <c r="Q1994" t="s">
        <v>35</v>
      </c>
    </row>
    <row r="1995" spans="1:17" x14ac:dyDescent="0.2">
      <c r="A1995" t="s">
        <v>17</v>
      </c>
      <c r="B1995">
        <v>21.028988999999999</v>
      </c>
      <c r="C1995">
        <v>1.748524</v>
      </c>
      <c r="D1995">
        <v>133.87884299999999</v>
      </c>
      <c r="E1995" t="s">
        <v>18</v>
      </c>
      <c r="F1995" t="s">
        <v>18</v>
      </c>
      <c r="G1995">
        <v>3</v>
      </c>
      <c r="H1995">
        <v>3</v>
      </c>
      <c r="I1995" t="s">
        <v>20</v>
      </c>
      <c r="J1995" t="s">
        <v>19</v>
      </c>
      <c r="K1995">
        <v>2.8681670000000001</v>
      </c>
      <c r="L1995" t="s">
        <v>19</v>
      </c>
      <c r="M1995">
        <v>1.4837199999999999</v>
      </c>
      <c r="N1995">
        <v>0.83509</v>
      </c>
      <c r="O1995" t="s">
        <v>20</v>
      </c>
      <c r="P1995" t="s">
        <v>21</v>
      </c>
      <c r="Q1995" t="s">
        <v>35</v>
      </c>
    </row>
    <row r="1996" spans="1:17" x14ac:dyDescent="0.2">
      <c r="A1996" t="s">
        <v>17</v>
      </c>
      <c r="B1996">
        <v>21.282238</v>
      </c>
      <c r="C1996">
        <v>1.7489509999999999</v>
      </c>
      <c r="D1996">
        <v>133.66258300000001</v>
      </c>
      <c r="E1996" t="s">
        <v>18</v>
      </c>
      <c r="F1996" t="s">
        <v>18</v>
      </c>
      <c r="G1996">
        <v>3</v>
      </c>
      <c r="H1996">
        <v>3</v>
      </c>
      <c r="I1996" t="s">
        <v>20</v>
      </c>
      <c r="J1996" t="s">
        <v>19</v>
      </c>
      <c r="K1996">
        <v>2.2479789999999999</v>
      </c>
      <c r="L1996" t="s">
        <v>19</v>
      </c>
      <c r="M1996">
        <v>1.6099380000000001</v>
      </c>
      <c r="N1996">
        <v>0.84923599999999999</v>
      </c>
      <c r="O1996" t="s">
        <v>20</v>
      </c>
      <c r="P1996" t="s">
        <v>21</v>
      </c>
      <c r="Q1996" t="s">
        <v>35</v>
      </c>
    </row>
    <row r="1997" spans="1:17" x14ac:dyDescent="0.2">
      <c r="A1997" t="s">
        <v>17</v>
      </c>
      <c r="B1997">
        <v>20.388048999999999</v>
      </c>
      <c r="C1997">
        <v>1.777971</v>
      </c>
      <c r="D1997">
        <v>137.78502700000001</v>
      </c>
      <c r="E1997" t="s">
        <v>18</v>
      </c>
      <c r="F1997" t="s">
        <v>18</v>
      </c>
      <c r="G1997">
        <v>3</v>
      </c>
      <c r="H1997">
        <v>3</v>
      </c>
      <c r="I1997" t="s">
        <v>20</v>
      </c>
      <c r="J1997" t="s">
        <v>19</v>
      </c>
      <c r="K1997">
        <v>2.7027890000000001</v>
      </c>
      <c r="L1997" t="s">
        <v>19</v>
      </c>
      <c r="M1997">
        <v>1.606109</v>
      </c>
      <c r="N1997">
        <v>0.731213</v>
      </c>
      <c r="O1997" t="s">
        <v>20</v>
      </c>
      <c r="P1997" t="s">
        <v>21</v>
      </c>
      <c r="Q1997" t="s">
        <v>35</v>
      </c>
    </row>
    <row r="1998" spans="1:17" x14ac:dyDescent="0.2">
      <c r="A1998" t="s">
        <v>17</v>
      </c>
      <c r="B1998">
        <v>21.022206000000001</v>
      </c>
      <c r="C1998">
        <v>1.7399500000000001</v>
      </c>
      <c r="D1998">
        <v>135.69338099999999</v>
      </c>
      <c r="E1998" t="s">
        <v>18</v>
      </c>
      <c r="F1998" t="s">
        <v>18</v>
      </c>
      <c r="G1998">
        <v>3</v>
      </c>
      <c r="H1998">
        <v>3</v>
      </c>
      <c r="I1998" t="s">
        <v>20</v>
      </c>
      <c r="J1998" t="s">
        <v>19</v>
      </c>
      <c r="K1998">
        <v>1.6632130000000001</v>
      </c>
      <c r="L1998" t="s">
        <v>19</v>
      </c>
      <c r="M1998">
        <v>1.0940350000000001</v>
      </c>
      <c r="N1998">
        <v>0.78666499999999995</v>
      </c>
      <c r="O1998" t="s">
        <v>20</v>
      </c>
      <c r="P1998" t="s">
        <v>21</v>
      </c>
      <c r="Q1998" t="s">
        <v>35</v>
      </c>
    </row>
    <row r="1999" spans="1:17" x14ac:dyDescent="0.2">
      <c r="A1999" t="s">
        <v>17</v>
      </c>
      <c r="B1999">
        <v>20.102240999999999</v>
      </c>
      <c r="C1999">
        <v>1.8168679999999999</v>
      </c>
      <c r="D1999">
        <v>153.959945</v>
      </c>
      <c r="E1999" t="s">
        <v>18</v>
      </c>
      <c r="F1999" t="s">
        <v>18</v>
      </c>
      <c r="G1999">
        <v>3</v>
      </c>
      <c r="H1999">
        <v>3</v>
      </c>
      <c r="I1999" t="s">
        <v>20</v>
      </c>
      <c r="J1999" t="s">
        <v>19</v>
      </c>
      <c r="K1999">
        <v>2.414739</v>
      </c>
      <c r="L1999" t="s">
        <v>19</v>
      </c>
      <c r="M1999">
        <v>1.917014</v>
      </c>
      <c r="N1999">
        <v>0.92798199999999997</v>
      </c>
      <c r="O1999" t="s">
        <v>20</v>
      </c>
      <c r="P1999" t="s">
        <v>21</v>
      </c>
      <c r="Q1999" t="s">
        <v>35</v>
      </c>
    </row>
    <row r="2000" spans="1:17" x14ac:dyDescent="0.2">
      <c r="A2000" t="s">
        <v>17</v>
      </c>
      <c r="B2000">
        <v>21.291969000000002</v>
      </c>
      <c r="C2000">
        <v>1.8002</v>
      </c>
      <c r="D2000">
        <v>155.242672</v>
      </c>
      <c r="E2000" t="s">
        <v>18</v>
      </c>
      <c r="F2000" t="s">
        <v>18</v>
      </c>
      <c r="G2000">
        <v>3</v>
      </c>
      <c r="H2000">
        <v>3</v>
      </c>
      <c r="I2000" t="s">
        <v>20</v>
      </c>
      <c r="J2000" t="s">
        <v>19</v>
      </c>
      <c r="K2000">
        <v>2.3511929999999999</v>
      </c>
      <c r="L2000" t="s">
        <v>19</v>
      </c>
      <c r="M2000">
        <v>1.0518890000000001</v>
      </c>
      <c r="N2000">
        <v>0.68649099999999996</v>
      </c>
      <c r="O2000" t="s">
        <v>20</v>
      </c>
      <c r="P2000" t="s">
        <v>21</v>
      </c>
      <c r="Q2000" t="s">
        <v>35</v>
      </c>
    </row>
    <row r="2001" spans="1:17" x14ac:dyDescent="0.2">
      <c r="A2001" t="s">
        <v>17</v>
      </c>
      <c r="B2001">
        <v>20.530998</v>
      </c>
      <c r="C2001">
        <v>1.74647</v>
      </c>
      <c r="D2001">
        <v>133.644711</v>
      </c>
      <c r="E2001" t="s">
        <v>18</v>
      </c>
      <c r="F2001" t="s">
        <v>18</v>
      </c>
      <c r="G2001">
        <v>3</v>
      </c>
      <c r="H2001">
        <v>3</v>
      </c>
      <c r="I2001" t="s">
        <v>20</v>
      </c>
      <c r="J2001" t="s">
        <v>19</v>
      </c>
      <c r="K2001">
        <v>2.8960880000000002</v>
      </c>
      <c r="L2001" t="s">
        <v>19</v>
      </c>
      <c r="M2001">
        <v>1.612741</v>
      </c>
      <c r="N2001">
        <v>0.77319000000000004</v>
      </c>
      <c r="O2001" t="s">
        <v>20</v>
      </c>
      <c r="P2001" t="s">
        <v>21</v>
      </c>
      <c r="Q2001" t="s">
        <v>35</v>
      </c>
    </row>
    <row r="2002" spans="1:17" x14ac:dyDescent="0.2">
      <c r="A2002" t="s">
        <v>17</v>
      </c>
      <c r="B2002">
        <v>18.976967999999999</v>
      </c>
      <c r="C2002">
        <v>1.759091</v>
      </c>
      <c r="D2002">
        <v>133.90361200000001</v>
      </c>
      <c r="E2002" t="s">
        <v>18</v>
      </c>
      <c r="F2002" t="s">
        <v>18</v>
      </c>
      <c r="G2002">
        <v>3</v>
      </c>
      <c r="H2002">
        <v>3</v>
      </c>
      <c r="I2002" t="s">
        <v>20</v>
      </c>
      <c r="J2002" t="s">
        <v>19</v>
      </c>
      <c r="K2002">
        <v>2.8624079999999998</v>
      </c>
      <c r="L2002" t="s">
        <v>19</v>
      </c>
      <c r="M2002">
        <v>1.456933</v>
      </c>
      <c r="N2002">
        <v>0.74242300000000006</v>
      </c>
      <c r="O2002" t="s">
        <v>20</v>
      </c>
      <c r="P2002" t="s">
        <v>21</v>
      </c>
      <c r="Q2002" t="s">
        <v>35</v>
      </c>
    </row>
    <row r="2003" spans="1:17" x14ac:dyDescent="0.2">
      <c r="A2003" t="s">
        <v>17</v>
      </c>
      <c r="B2003">
        <v>20.924956000000002</v>
      </c>
      <c r="C2003">
        <v>1.7525310000000001</v>
      </c>
      <c r="D2003">
        <v>133.618706</v>
      </c>
      <c r="E2003" t="s">
        <v>18</v>
      </c>
      <c r="F2003" t="s">
        <v>18</v>
      </c>
      <c r="G2003">
        <v>3</v>
      </c>
      <c r="H2003">
        <v>3</v>
      </c>
      <c r="I2003" t="s">
        <v>20</v>
      </c>
      <c r="J2003" t="s">
        <v>19</v>
      </c>
      <c r="K2003">
        <v>2.8876590000000002</v>
      </c>
      <c r="L2003" t="s">
        <v>19</v>
      </c>
      <c r="M2003">
        <v>1.4809190000000001</v>
      </c>
      <c r="N2003">
        <v>0.77964100000000003</v>
      </c>
      <c r="O2003" t="s">
        <v>20</v>
      </c>
      <c r="P2003" t="s">
        <v>21</v>
      </c>
      <c r="Q2003" t="s">
        <v>35</v>
      </c>
    </row>
    <row r="2004" spans="1:17" x14ac:dyDescent="0.2">
      <c r="A2004" t="s">
        <v>17</v>
      </c>
      <c r="B2004">
        <v>21.282530000000001</v>
      </c>
      <c r="C2004">
        <v>1.761773</v>
      </c>
      <c r="D2004">
        <v>133.903469</v>
      </c>
      <c r="E2004" t="s">
        <v>18</v>
      </c>
      <c r="F2004" t="s">
        <v>18</v>
      </c>
      <c r="G2004">
        <v>3</v>
      </c>
      <c r="H2004">
        <v>3</v>
      </c>
      <c r="I2004" t="s">
        <v>20</v>
      </c>
      <c r="J2004" t="s">
        <v>19</v>
      </c>
      <c r="K2004">
        <v>2.893062</v>
      </c>
      <c r="L2004" t="s">
        <v>19</v>
      </c>
      <c r="M2004">
        <v>1.408177</v>
      </c>
      <c r="N2004">
        <v>0.80745699999999998</v>
      </c>
      <c r="O2004" t="s">
        <v>20</v>
      </c>
      <c r="P2004" t="s">
        <v>21</v>
      </c>
      <c r="Q2004" t="s">
        <v>35</v>
      </c>
    </row>
    <row r="2005" spans="1:17" x14ac:dyDescent="0.2">
      <c r="A2005" t="s">
        <v>17</v>
      </c>
      <c r="B2005">
        <v>26</v>
      </c>
      <c r="C2005">
        <v>1.633195</v>
      </c>
      <c r="D2005">
        <v>111.883747</v>
      </c>
      <c r="E2005" t="s">
        <v>18</v>
      </c>
      <c r="F2005" t="s">
        <v>18</v>
      </c>
      <c r="G2005">
        <v>3</v>
      </c>
      <c r="H2005">
        <v>3</v>
      </c>
      <c r="I2005" t="s">
        <v>20</v>
      </c>
      <c r="J2005" t="s">
        <v>19</v>
      </c>
      <c r="K2005">
        <v>2.6195170000000001</v>
      </c>
      <c r="L2005" t="s">
        <v>19</v>
      </c>
      <c r="M2005">
        <v>0</v>
      </c>
      <c r="N2005">
        <v>0.14036799999999999</v>
      </c>
      <c r="O2005" t="s">
        <v>20</v>
      </c>
      <c r="P2005" t="s">
        <v>21</v>
      </c>
      <c r="Q2005" t="s">
        <v>35</v>
      </c>
    </row>
    <row r="2006" spans="1:17" x14ac:dyDescent="0.2">
      <c r="A2006" t="s">
        <v>17</v>
      </c>
      <c r="B2006">
        <v>26</v>
      </c>
      <c r="C2006">
        <v>1.633945</v>
      </c>
      <c r="D2006">
        <v>111.9307</v>
      </c>
      <c r="E2006" t="s">
        <v>18</v>
      </c>
      <c r="F2006" t="s">
        <v>18</v>
      </c>
      <c r="G2006">
        <v>3</v>
      </c>
      <c r="H2006">
        <v>3</v>
      </c>
      <c r="I2006" t="s">
        <v>20</v>
      </c>
      <c r="J2006" t="s">
        <v>19</v>
      </c>
      <c r="K2006">
        <v>2.682804</v>
      </c>
      <c r="L2006" t="s">
        <v>19</v>
      </c>
      <c r="M2006">
        <v>0</v>
      </c>
      <c r="N2006">
        <v>0.15171000000000001</v>
      </c>
      <c r="O2006" t="s">
        <v>20</v>
      </c>
      <c r="P2006" t="s">
        <v>21</v>
      </c>
      <c r="Q2006" t="s">
        <v>35</v>
      </c>
    </row>
    <row r="2007" spans="1:17" x14ac:dyDescent="0.2">
      <c r="A2007" t="s">
        <v>17</v>
      </c>
      <c r="B2007">
        <v>26</v>
      </c>
      <c r="C2007">
        <v>1.6416010000000001</v>
      </c>
      <c r="D2007">
        <v>111.830924</v>
      </c>
      <c r="E2007" t="s">
        <v>18</v>
      </c>
      <c r="F2007" t="s">
        <v>18</v>
      </c>
      <c r="G2007">
        <v>3</v>
      </c>
      <c r="H2007">
        <v>3</v>
      </c>
      <c r="I2007" t="s">
        <v>20</v>
      </c>
      <c r="J2007" t="s">
        <v>19</v>
      </c>
      <c r="K2007">
        <v>2.5523880000000001</v>
      </c>
      <c r="L2007" t="s">
        <v>19</v>
      </c>
      <c r="M2007">
        <v>0</v>
      </c>
      <c r="N2007">
        <v>0.19628799999999999</v>
      </c>
      <c r="O2007" t="s">
        <v>20</v>
      </c>
      <c r="P2007" t="s">
        <v>21</v>
      </c>
      <c r="Q2007" t="s">
        <v>35</v>
      </c>
    </row>
    <row r="2008" spans="1:17" x14ac:dyDescent="0.2">
      <c r="A2008" t="s">
        <v>17</v>
      </c>
      <c r="B2008">
        <v>26</v>
      </c>
      <c r="C2008">
        <v>1.641132</v>
      </c>
      <c r="D2008">
        <v>111.841706</v>
      </c>
      <c r="E2008" t="s">
        <v>18</v>
      </c>
      <c r="F2008" t="s">
        <v>18</v>
      </c>
      <c r="G2008">
        <v>3</v>
      </c>
      <c r="H2008">
        <v>3</v>
      </c>
      <c r="I2008" t="s">
        <v>20</v>
      </c>
      <c r="J2008" t="s">
        <v>19</v>
      </c>
      <c r="K2008">
        <v>2.6174010000000001</v>
      </c>
      <c r="L2008" t="s">
        <v>19</v>
      </c>
      <c r="M2008">
        <v>0</v>
      </c>
      <c r="N2008">
        <v>0.200379</v>
      </c>
      <c r="O2008" t="s">
        <v>20</v>
      </c>
      <c r="P2008" t="s">
        <v>21</v>
      </c>
      <c r="Q2008" t="s">
        <v>35</v>
      </c>
    </row>
    <row r="2009" spans="1:17" x14ac:dyDescent="0.2">
      <c r="A2009" t="s">
        <v>17</v>
      </c>
      <c r="B2009">
        <v>25.999174</v>
      </c>
      <c r="C2009">
        <v>1.638218</v>
      </c>
      <c r="D2009">
        <v>104.810024</v>
      </c>
      <c r="E2009" t="s">
        <v>18</v>
      </c>
      <c r="F2009" t="s">
        <v>18</v>
      </c>
      <c r="G2009">
        <v>3</v>
      </c>
      <c r="H2009">
        <v>3</v>
      </c>
      <c r="I2009" t="s">
        <v>20</v>
      </c>
      <c r="J2009" t="s">
        <v>19</v>
      </c>
      <c r="K2009">
        <v>2.654636</v>
      </c>
      <c r="L2009" t="s">
        <v>19</v>
      </c>
      <c r="M2009">
        <v>6.9237999999999994E-2</v>
      </c>
      <c r="N2009">
        <v>0.62957799999999997</v>
      </c>
      <c r="O2009" t="s">
        <v>20</v>
      </c>
      <c r="P2009" t="s">
        <v>21</v>
      </c>
      <c r="Q2009" t="s">
        <v>35</v>
      </c>
    </row>
    <row r="2010" spans="1:17" x14ac:dyDescent="0.2">
      <c r="A2010" t="s">
        <v>17</v>
      </c>
      <c r="B2010">
        <v>25.999942000000001</v>
      </c>
      <c r="C2010">
        <v>1.627483</v>
      </c>
      <c r="D2010">
        <v>104.88199400000001</v>
      </c>
      <c r="E2010" t="s">
        <v>18</v>
      </c>
      <c r="F2010" t="s">
        <v>18</v>
      </c>
      <c r="G2010">
        <v>3</v>
      </c>
      <c r="H2010">
        <v>3</v>
      </c>
      <c r="I2010" t="s">
        <v>20</v>
      </c>
      <c r="J2010" t="s">
        <v>19</v>
      </c>
      <c r="K2010">
        <v>2.5693640000000002</v>
      </c>
      <c r="L2010" t="s">
        <v>19</v>
      </c>
      <c r="M2010">
        <v>0.15925500000000001</v>
      </c>
      <c r="N2010">
        <v>0.41944599999999999</v>
      </c>
      <c r="O2010" t="s">
        <v>20</v>
      </c>
      <c r="P2010" t="s">
        <v>21</v>
      </c>
      <c r="Q2010" t="s">
        <v>35</v>
      </c>
    </row>
    <row r="2011" spans="1:17" x14ac:dyDescent="0.2">
      <c r="A2011" t="s">
        <v>17</v>
      </c>
      <c r="B2011">
        <v>26</v>
      </c>
      <c r="C2011">
        <v>1.610225</v>
      </c>
      <c r="D2011">
        <v>104.936381</v>
      </c>
      <c r="E2011" t="s">
        <v>18</v>
      </c>
      <c r="F2011" t="s">
        <v>18</v>
      </c>
      <c r="G2011">
        <v>3</v>
      </c>
      <c r="H2011">
        <v>3</v>
      </c>
      <c r="I2011" t="s">
        <v>20</v>
      </c>
      <c r="J2011" t="s">
        <v>19</v>
      </c>
      <c r="K2011">
        <v>1.322004</v>
      </c>
      <c r="L2011" t="s">
        <v>19</v>
      </c>
      <c r="M2011">
        <v>0</v>
      </c>
      <c r="N2011">
        <v>0.53987600000000002</v>
      </c>
      <c r="O2011" t="s">
        <v>20</v>
      </c>
      <c r="P2011" t="s">
        <v>21</v>
      </c>
      <c r="Q2011" t="s">
        <v>35</v>
      </c>
    </row>
    <row r="2012" spans="1:17" x14ac:dyDescent="0.2">
      <c r="A2012" t="s">
        <v>17</v>
      </c>
      <c r="B2012">
        <v>26</v>
      </c>
      <c r="C2012">
        <v>1.6173900000000001</v>
      </c>
      <c r="D2012">
        <v>105.013901</v>
      </c>
      <c r="E2012" t="s">
        <v>18</v>
      </c>
      <c r="F2012" t="s">
        <v>18</v>
      </c>
      <c r="G2012">
        <v>3</v>
      </c>
      <c r="H2012">
        <v>3</v>
      </c>
      <c r="I2012" t="s">
        <v>20</v>
      </c>
      <c r="J2012" t="s">
        <v>19</v>
      </c>
      <c r="K2012">
        <v>1.2924789999999999</v>
      </c>
      <c r="L2012" t="s">
        <v>19</v>
      </c>
      <c r="M2012">
        <v>0</v>
      </c>
      <c r="N2012">
        <v>0.54130900000000004</v>
      </c>
      <c r="O2012" t="s">
        <v>20</v>
      </c>
      <c r="P2012" t="s">
        <v>21</v>
      </c>
      <c r="Q2012" t="s">
        <v>35</v>
      </c>
    </row>
    <row r="2013" spans="1:17" x14ac:dyDescent="0.2">
      <c r="A2013" t="s">
        <v>17</v>
      </c>
      <c r="B2013">
        <v>23.365041000000002</v>
      </c>
      <c r="C2013">
        <v>1.744319</v>
      </c>
      <c r="D2013">
        <v>133.45249000000001</v>
      </c>
      <c r="E2013" t="s">
        <v>18</v>
      </c>
      <c r="F2013" t="s">
        <v>18</v>
      </c>
      <c r="G2013">
        <v>3</v>
      </c>
      <c r="H2013">
        <v>3</v>
      </c>
      <c r="I2013" t="s">
        <v>20</v>
      </c>
      <c r="J2013" t="s">
        <v>19</v>
      </c>
      <c r="K2013">
        <v>2.8390689999999998</v>
      </c>
      <c r="L2013" t="s">
        <v>19</v>
      </c>
      <c r="M2013">
        <v>1.231031</v>
      </c>
      <c r="N2013">
        <v>0.79249599999999998</v>
      </c>
      <c r="O2013" t="s">
        <v>20</v>
      </c>
      <c r="P2013" t="s">
        <v>21</v>
      </c>
      <c r="Q2013" t="s">
        <v>35</v>
      </c>
    </row>
    <row r="2014" spans="1:17" x14ac:dyDescent="0.2">
      <c r="A2014" t="s">
        <v>17</v>
      </c>
      <c r="B2014">
        <v>23.421726</v>
      </c>
      <c r="C2014">
        <v>1.7554670000000001</v>
      </c>
      <c r="D2014">
        <v>133.478611</v>
      </c>
      <c r="E2014" t="s">
        <v>18</v>
      </c>
      <c r="F2014" t="s">
        <v>18</v>
      </c>
      <c r="G2014">
        <v>3</v>
      </c>
      <c r="H2014">
        <v>3</v>
      </c>
      <c r="I2014" t="s">
        <v>20</v>
      </c>
      <c r="J2014" t="s">
        <v>19</v>
      </c>
      <c r="K2014">
        <v>2.843782</v>
      </c>
      <c r="L2014" t="s">
        <v>19</v>
      </c>
      <c r="M2014">
        <v>1.3025070000000001</v>
      </c>
      <c r="N2014">
        <v>0.77380700000000002</v>
      </c>
      <c r="O2014" t="s">
        <v>20</v>
      </c>
      <c r="P2014" t="s">
        <v>21</v>
      </c>
      <c r="Q2014" t="s">
        <v>35</v>
      </c>
    </row>
    <row r="2015" spans="1:17" x14ac:dyDescent="0.2">
      <c r="A2015" t="s">
        <v>17</v>
      </c>
      <c r="B2015">
        <v>18.826782000000001</v>
      </c>
      <c r="C2015">
        <v>1.746416</v>
      </c>
      <c r="D2015">
        <v>133.74701200000001</v>
      </c>
      <c r="E2015" t="s">
        <v>18</v>
      </c>
      <c r="F2015" t="s">
        <v>18</v>
      </c>
      <c r="G2015">
        <v>3</v>
      </c>
      <c r="H2015">
        <v>3</v>
      </c>
      <c r="I2015" t="s">
        <v>20</v>
      </c>
      <c r="J2015" t="s">
        <v>19</v>
      </c>
      <c r="K2015">
        <v>2.8583889999999998</v>
      </c>
      <c r="L2015" t="s">
        <v>19</v>
      </c>
      <c r="M2015">
        <v>1.4443820000000001</v>
      </c>
      <c r="N2015">
        <v>0.71382299999999999</v>
      </c>
      <c r="O2015" t="s">
        <v>20</v>
      </c>
      <c r="P2015" t="s">
        <v>21</v>
      </c>
      <c r="Q2015" t="s">
        <v>35</v>
      </c>
    </row>
    <row r="2016" spans="1:17" x14ac:dyDescent="0.2">
      <c r="A2016" t="s">
        <v>17</v>
      </c>
      <c r="B2016">
        <v>18.940930000000002</v>
      </c>
      <c r="C2016">
        <v>1.7464109999999999</v>
      </c>
      <c r="D2016">
        <v>133.67666299999999</v>
      </c>
      <c r="E2016" t="s">
        <v>18</v>
      </c>
      <c r="F2016" t="s">
        <v>18</v>
      </c>
      <c r="G2016">
        <v>3</v>
      </c>
      <c r="H2016">
        <v>3</v>
      </c>
      <c r="I2016" t="s">
        <v>20</v>
      </c>
      <c r="J2016" t="s">
        <v>19</v>
      </c>
      <c r="K2016">
        <v>2.8649330000000002</v>
      </c>
      <c r="L2016" t="s">
        <v>19</v>
      </c>
      <c r="M2016">
        <v>1.501647</v>
      </c>
      <c r="N2016">
        <v>0.78684600000000005</v>
      </c>
      <c r="O2016" t="s">
        <v>20</v>
      </c>
      <c r="P2016" t="s">
        <v>21</v>
      </c>
      <c r="Q2016" t="s">
        <v>35</v>
      </c>
    </row>
    <row r="2017" spans="1:17" x14ac:dyDescent="0.2">
      <c r="A2017" t="s">
        <v>17</v>
      </c>
      <c r="B2017">
        <v>25.921678</v>
      </c>
      <c r="C2017">
        <v>1.6114520000000001</v>
      </c>
      <c r="D2017">
        <v>102.36314900000001</v>
      </c>
      <c r="E2017" t="s">
        <v>18</v>
      </c>
      <c r="F2017" t="s">
        <v>18</v>
      </c>
      <c r="G2017">
        <v>3</v>
      </c>
      <c r="H2017">
        <v>3</v>
      </c>
      <c r="I2017" t="s">
        <v>20</v>
      </c>
      <c r="J2017" t="s">
        <v>19</v>
      </c>
      <c r="K2017">
        <v>1.031701</v>
      </c>
      <c r="L2017" t="s">
        <v>19</v>
      </c>
      <c r="M2017">
        <v>3.465E-2</v>
      </c>
      <c r="N2017">
        <v>0.91234499999999996</v>
      </c>
      <c r="O2017" t="s">
        <v>20</v>
      </c>
      <c r="P2017" t="s">
        <v>21</v>
      </c>
      <c r="Q2017" t="s">
        <v>35</v>
      </c>
    </row>
    <row r="2018" spans="1:17" x14ac:dyDescent="0.2">
      <c r="A2018" t="s">
        <v>17</v>
      </c>
      <c r="B2018">
        <v>25.940152999999999</v>
      </c>
      <c r="C2018">
        <v>1.596813</v>
      </c>
      <c r="D2018">
        <v>102.320437</v>
      </c>
      <c r="E2018" t="s">
        <v>18</v>
      </c>
      <c r="F2018" t="s">
        <v>18</v>
      </c>
      <c r="G2018">
        <v>3</v>
      </c>
      <c r="H2018">
        <v>3</v>
      </c>
      <c r="I2018" t="s">
        <v>20</v>
      </c>
      <c r="J2018" t="s">
        <v>19</v>
      </c>
      <c r="K2018">
        <v>1.0005360000000001</v>
      </c>
      <c r="L2018" t="s">
        <v>19</v>
      </c>
      <c r="M2018">
        <v>5.9389999999999998E-3</v>
      </c>
      <c r="N2018">
        <v>0.566353</v>
      </c>
      <c r="O2018" t="s">
        <v>20</v>
      </c>
      <c r="P2018" t="s">
        <v>21</v>
      </c>
      <c r="Q2018" t="s">
        <v>35</v>
      </c>
    </row>
    <row r="2019" spans="1:17" x14ac:dyDescent="0.2">
      <c r="A2019" t="s">
        <v>17</v>
      </c>
      <c r="B2019">
        <v>25.999635999999999</v>
      </c>
      <c r="C2019">
        <v>1.6101259999999999</v>
      </c>
      <c r="D2019">
        <v>102.686908</v>
      </c>
      <c r="E2019" t="s">
        <v>18</v>
      </c>
      <c r="F2019" t="s">
        <v>18</v>
      </c>
      <c r="G2019">
        <v>3</v>
      </c>
      <c r="H2019">
        <v>3</v>
      </c>
      <c r="I2019" t="s">
        <v>20</v>
      </c>
      <c r="J2019" t="s">
        <v>19</v>
      </c>
      <c r="K2019">
        <v>1.020313</v>
      </c>
      <c r="L2019" t="s">
        <v>19</v>
      </c>
      <c r="M2019">
        <v>0.108386</v>
      </c>
      <c r="N2019">
        <v>1</v>
      </c>
      <c r="O2019" t="s">
        <v>20</v>
      </c>
      <c r="P2019" t="s">
        <v>21</v>
      </c>
      <c r="Q2019" t="s">
        <v>35</v>
      </c>
    </row>
    <row r="2020" spans="1:17" x14ac:dyDescent="0.2">
      <c r="A2020" t="s">
        <v>17</v>
      </c>
      <c r="B2020">
        <v>25.907833</v>
      </c>
      <c r="C2020">
        <v>1.623113</v>
      </c>
      <c r="D2020">
        <v>102.555691</v>
      </c>
      <c r="E2020" t="s">
        <v>18</v>
      </c>
      <c r="F2020" t="s">
        <v>18</v>
      </c>
      <c r="G2020">
        <v>3</v>
      </c>
      <c r="H2020">
        <v>3</v>
      </c>
      <c r="I2020" t="s">
        <v>20</v>
      </c>
      <c r="J2020" t="s">
        <v>19</v>
      </c>
      <c r="K2020">
        <v>1.0634220000000001</v>
      </c>
      <c r="L2020" t="s">
        <v>19</v>
      </c>
      <c r="M2020">
        <v>5.1096999999999997E-2</v>
      </c>
      <c r="N2020">
        <v>0.54311799999999999</v>
      </c>
      <c r="O2020" t="s">
        <v>20</v>
      </c>
      <c r="P2020" t="s">
        <v>21</v>
      </c>
      <c r="Q2020" t="s">
        <v>35</v>
      </c>
    </row>
    <row r="2021" spans="1:17" x14ac:dyDescent="0.2">
      <c r="A2021" t="s">
        <v>17</v>
      </c>
      <c r="B2021">
        <v>25.991194</v>
      </c>
      <c r="C2021">
        <v>1.6183479999999999</v>
      </c>
      <c r="D2021">
        <v>104.94582</v>
      </c>
      <c r="E2021" t="s">
        <v>18</v>
      </c>
      <c r="F2021" t="s">
        <v>18</v>
      </c>
      <c r="G2021">
        <v>3</v>
      </c>
      <c r="H2021">
        <v>3</v>
      </c>
      <c r="I2021" t="s">
        <v>20</v>
      </c>
      <c r="J2021" t="s">
        <v>19</v>
      </c>
      <c r="K2021">
        <v>2.45126</v>
      </c>
      <c r="L2021" t="s">
        <v>19</v>
      </c>
      <c r="M2021">
        <v>4.3688999999999999E-2</v>
      </c>
      <c r="N2021">
        <v>0.67040200000000005</v>
      </c>
      <c r="O2021" t="s">
        <v>20</v>
      </c>
      <c r="P2021" t="s">
        <v>21</v>
      </c>
      <c r="Q2021" t="s">
        <v>35</v>
      </c>
    </row>
    <row r="2022" spans="1:17" x14ac:dyDescent="0.2">
      <c r="A2022" t="s">
        <v>17</v>
      </c>
      <c r="B2022">
        <v>25.993154000000001</v>
      </c>
      <c r="C2022">
        <v>1.6094010000000001</v>
      </c>
      <c r="D2022">
        <v>104.854928</v>
      </c>
      <c r="E2022" t="s">
        <v>18</v>
      </c>
      <c r="F2022" t="s">
        <v>18</v>
      </c>
      <c r="G2022">
        <v>3</v>
      </c>
      <c r="H2022">
        <v>3</v>
      </c>
      <c r="I2022" t="s">
        <v>20</v>
      </c>
      <c r="J2022" t="s">
        <v>19</v>
      </c>
      <c r="K2022">
        <v>2.6135039999999998</v>
      </c>
      <c r="L2022" t="s">
        <v>19</v>
      </c>
      <c r="M2022">
        <v>6.7985000000000004E-2</v>
      </c>
      <c r="N2022">
        <v>0.77863199999999999</v>
      </c>
      <c r="O2022" t="s">
        <v>20</v>
      </c>
      <c r="P2022" t="s">
        <v>21</v>
      </c>
      <c r="Q2022" t="s">
        <v>35</v>
      </c>
    </row>
    <row r="2023" spans="1:17" x14ac:dyDescent="0.2">
      <c r="A2023" t="s">
        <v>17</v>
      </c>
      <c r="B2023">
        <v>25.988668000000001</v>
      </c>
      <c r="C2023">
        <v>1.6216710000000001</v>
      </c>
      <c r="D2023">
        <v>105.31396700000001</v>
      </c>
      <c r="E2023" t="s">
        <v>18</v>
      </c>
      <c r="F2023" t="s">
        <v>18</v>
      </c>
      <c r="G2023">
        <v>3</v>
      </c>
      <c r="H2023">
        <v>3</v>
      </c>
      <c r="I2023" t="s">
        <v>20</v>
      </c>
      <c r="J2023" t="s">
        <v>19</v>
      </c>
      <c r="K2023">
        <v>1.0429889999999999</v>
      </c>
      <c r="L2023" t="s">
        <v>19</v>
      </c>
      <c r="M2023">
        <v>9.7114000000000006E-2</v>
      </c>
      <c r="N2023">
        <v>0.42953999999999998</v>
      </c>
      <c r="O2023" t="s">
        <v>20</v>
      </c>
      <c r="P2023" t="s">
        <v>21</v>
      </c>
      <c r="Q2023" t="s">
        <v>35</v>
      </c>
    </row>
    <row r="2024" spans="1:17" x14ac:dyDescent="0.2">
      <c r="A2024" t="s">
        <v>17</v>
      </c>
      <c r="B2024">
        <v>25.976209000000001</v>
      </c>
      <c r="C2024">
        <v>1.614484</v>
      </c>
      <c r="D2024">
        <v>104.999403</v>
      </c>
      <c r="E2024" t="s">
        <v>18</v>
      </c>
      <c r="F2024" t="s">
        <v>18</v>
      </c>
      <c r="G2024">
        <v>3</v>
      </c>
      <c r="H2024">
        <v>3</v>
      </c>
      <c r="I2024" t="s">
        <v>20</v>
      </c>
      <c r="J2024" t="s">
        <v>19</v>
      </c>
      <c r="K2024">
        <v>1.237557</v>
      </c>
      <c r="L2024" t="s">
        <v>19</v>
      </c>
      <c r="M2024">
        <v>8.3674999999999999E-2</v>
      </c>
      <c r="N2024">
        <v>0.54376100000000005</v>
      </c>
      <c r="O2024" t="s">
        <v>20</v>
      </c>
      <c r="P2024" t="s">
        <v>21</v>
      </c>
      <c r="Q2024" t="s">
        <v>35</v>
      </c>
    </row>
    <row r="2025" spans="1:17" x14ac:dyDescent="0.2">
      <c r="A2025" t="s">
        <v>17</v>
      </c>
      <c r="B2025">
        <v>18.743587000000002</v>
      </c>
      <c r="C2025">
        <v>1.7891429999999999</v>
      </c>
      <c r="D2025">
        <v>138.20286899999999</v>
      </c>
      <c r="E2025" t="s">
        <v>18</v>
      </c>
      <c r="F2025" t="s">
        <v>18</v>
      </c>
      <c r="G2025">
        <v>3</v>
      </c>
      <c r="H2025">
        <v>3</v>
      </c>
      <c r="I2025" t="s">
        <v>20</v>
      </c>
      <c r="J2025" t="s">
        <v>19</v>
      </c>
      <c r="K2025">
        <v>2.8337699999999999</v>
      </c>
      <c r="L2025" t="s">
        <v>19</v>
      </c>
      <c r="M2025">
        <v>0.80642199999999997</v>
      </c>
      <c r="N2025">
        <v>0.67251300000000003</v>
      </c>
      <c r="O2025" t="s">
        <v>20</v>
      </c>
      <c r="P2025" t="s">
        <v>21</v>
      </c>
      <c r="Q2025" t="s">
        <v>35</v>
      </c>
    </row>
    <row r="2026" spans="1:17" x14ac:dyDescent="0.2">
      <c r="A2026" t="s">
        <v>17</v>
      </c>
      <c r="B2026">
        <v>20.323767</v>
      </c>
      <c r="C2026">
        <v>1.7742070000000001</v>
      </c>
      <c r="D2026">
        <v>138.14316199999999</v>
      </c>
      <c r="E2026" t="s">
        <v>18</v>
      </c>
      <c r="F2026" t="s">
        <v>18</v>
      </c>
      <c r="G2026">
        <v>3</v>
      </c>
      <c r="H2026">
        <v>3</v>
      </c>
      <c r="I2026" t="s">
        <v>20</v>
      </c>
      <c r="J2026" t="s">
        <v>19</v>
      </c>
      <c r="K2026">
        <v>2.816052</v>
      </c>
      <c r="L2026" t="s">
        <v>19</v>
      </c>
      <c r="M2026">
        <v>1.5718650000000001</v>
      </c>
      <c r="N2026">
        <v>0.68805799999999995</v>
      </c>
      <c r="O2026" t="s">
        <v>20</v>
      </c>
      <c r="P2026" t="s">
        <v>21</v>
      </c>
      <c r="Q2026" t="s">
        <v>35</v>
      </c>
    </row>
    <row r="2027" spans="1:17" x14ac:dyDescent="0.2">
      <c r="A2027" t="s">
        <v>17</v>
      </c>
      <c r="B2027">
        <v>21.394047</v>
      </c>
      <c r="C2027">
        <v>1.7929330000000001</v>
      </c>
      <c r="D2027">
        <v>137.832414</v>
      </c>
      <c r="E2027" t="s">
        <v>18</v>
      </c>
      <c r="F2027" t="s">
        <v>18</v>
      </c>
      <c r="G2027">
        <v>3</v>
      </c>
      <c r="H2027">
        <v>3</v>
      </c>
      <c r="I2027" t="s">
        <v>20</v>
      </c>
      <c r="J2027" t="s">
        <v>19</v>
      </c>
      <c r="K2027">
        <v>2.682909</v>
      </c>
      <c r="L2027" t="s">
        <v>19</v>
      </c>
      <c r="M2027">
        <v>1.318743</v>
      </c>
      <c r="N2027">
        <v>0.90049699999999999</v>
      </c>
      <c r="O2027" t="s">
        <v>20</v>
      </c>
      <c r="P2027" t="s">
        <v>21</v>
      </c>
      <c r="Q2027" t="s">
        <v>35</v>
      </c>
    </row>
    <row r="2028" spans="1:17" x14ac:dyDescent="0.2">
      <c r="A2028" t="s">
        <v>17</v>
      </c>
      <c r="B2028">
        <v>21.838322999999999</v>
      </c>
      <c r="C2028">
        <v>1.7589589999999999</v>
      </c>
      <c r="D2028">
        <v>137.79299</v>
      </c>
      <c r="E2028" t="s">
        <v>18</v>
      </c>
      <c r="F2028" t="s">
        <v>18</v>
      </c>
      <c r="G2028">
        <v>3</v>
      </c>
      <c r="H2028">
        <v>3</v>
      </c>
      <c r="I2028" t="s">
        <v>20</v>
      </c>
      <c r="J2028" t="s">
        <v>19</v>
      </c>
      <c r="K2028">
        <v>2.640539</v>
      </c>
      <c r="L2028" t="s">
        <v>19</v>
      </c>
      <c r="M2028">
        <v>1.879818</v>
      </c>
      <c r="N2028">
        <v>0.88599300000000003</v>
      </c>
      <c r="O2028" t="s">
        <v>20</v>
      </c>
      <c r="P2028" t="s">
        <v>21</v>
      </c>
      <c r="Q2028" t="s">
        <v>35</v>
      </c>
    </row>
    <row r="2029" spans="1:17" x14ac:dyDescent="0.2">
      <c r="A2029" t="s">
        <v>17</v>
      </c>
      <c r="B2029">
        <v>18.206340000000001</v>
      </c>
      <c r="C2029">
        <v>1.8074060000000001</v>
      </c>
      <c r="D2029">
        <v>141.799429</v>
      </c>
      <c r="E2029" t="s">
        <v>18</v>
      </c>
      <c r="F2029" t="s">
        <v>18</v>
      </c>
      <c r="G2029">
        <v>3</v>
      </c>
      <c r="H2029">
        <v>3</v>
      </c>
      <c r="I2029" t="s">
        <v>20</v>
      </c>
      <c r="J2029" t="s">
        <v>19</v>
      </c>
      <c r="K2029">
        <v>2.4729030000000001</v>
      </c>
      <c r="L2029" t="s">
        <v>19</v>
      </c>
      <c r="M2029">
        <v>1.9980469999999999</v>
      </c>
      <c r="N2029">
        <v>0.84091099999999996</v>
      </c>
      <c r="O2029" t="s">
        <v>20</v>
      </c>
      <c r="P2029" t="s">
        <v>21</v>
      </c>
      <c r="Q2029" t="s">
        <v>35</v>
      </c>
    </row>
    <row r="2030" spans="1:17" x14ac:dyDescent="0.2">
      <c r="A2030" t="s">
        <v>17</v>
      </c>
      <c r="B2030">
        <v>18.532826</v>
      </c>
      <c r="C2030">
        <v>1.75091</v>
      </c>
      <c r="D2030">
        <v>142.54518300000001</v>
      </c>
      <c r="E2030" t="s">
        <v>18</v>
      </c>
      <c r="F2030" t="s">
        <v>18</v>
      </c>
      <c r="G2030">
        <v>3</v>
      </c>
      <c r="H2030">
        <v>3</v>
      </c>
      <c r="I2030" t="s">
        <v>20</v>
      </c>
      <c r="J2030" t="s">
        <v>19</v>
      </c>
      <c r="K2030">
        <v>2.372058</v>
      </c>
      <c r="L2030" t="s">
        <v>19</v>
      </c>
      <c r="M2030">
        <v>1.324805</v>
      </c>
      <c r="N2030">
        <v>0.87079499999999999</v>
      </c>
      <c r="O2030" t="s">
        <v>20</v>
      </c>
      <c r="P2030" t="s">
        <v>21</v>
      </c>
      <c r="Q2030" t="s">
        <v>35</v>
      </c>
    </row>
    <row r="2031" spans="1:17" x14ac:dyDescent="0.2">
      <c r="A2031" t="s">
        <v>17</v>
      </c>
      <c r="B2031">
        <v>20.438478</v>
      </c>
      <c r="C2031">
        <v>1.805803</v>
      </c>
      <c r="D2031">
        <v>153.14949100000001</v>
      </c>
      <c r="E2031" t="s">
        <v>18</v>
      </c>
      <c r="F2031" t="s">
        <v>18</v>
      </c>
      <c r="G2031">
        <v>3</v>
      </c>
      <c r="H2031">
        <v>3</v>
      </c>
      <c r="I2031" t="s">
        <v>20</v>
      </c>
      <c r="J2031" t="s">
        <v>19</v>
      </c>
      <c r="K2031">
        <v>2.387991</v>
      </c>
      <c r="L2031" t="s">
        <v>19</v>
      </c>
      <c r="M2031">
        <v>0.850715</v>
      </c>
      <c r="N2031">
        <v>0.65649100000000005</v>
      </c>
      <c r="O2031" t="s">
        <v>20</v>
      </c>
      <c r="P2031" t="s">
        <v>21</v>
      </c>
      <c r="Q2031" t="s">
        <v>35</v>
      </c>
    </row>
    <row r="2032" spans="1:17" x14ac:dyDescent="0.2">
      <c r="A2032" t="s">
        <v>17</v>
      </c>
      <c r="B2032">
        <v>20.796265999999999</v>
      </c>
      <c r="C2032">
        <v>1.796538</v>
      </c>
      <c r="D2032">
        <v>152.47367499999999</v>
      </c>
      <c r="E2032" t="s">
        <v>18</v>
      </c>
      <c r="F2032" t="s">
        <v>18</v>
      </c>
      <c r="G2032">
        <v>3</v>
      </c>
      <c r="H2032">
        <v>3</v>
      </c>
      <c r="I2032" t="s">
        <v>20</v>
      </c>
      <c r="J2032" t="s">
        <v>19</v>
      </c>
      <c r="K2032">
        <v>2.322003</v>
      </c>
      <c r="L2032" t="s">
        <v>19</v>
      </c>
      <c r="M2032">
        <v>0.886602</v>
      </c>
      <c r="N2032">
        <v>0.843283</v>
      </c>
      <c r="O2032" t="s">
        <v>20</v>
      </c>
      <c r="P2032" t="s">
        <v>21</v>
      </c>
      <c r="Q2032" t="s">
        <v>35</v>
      </c>
    </row>
    <row r="2033" spans="1:17" x14ac:dyDescent="0.2">
      <c r="A2033" t="s">
        <v>17</v>
      </c>
      <c r="B2033">
        <v>26</v>
      </c>
      <c r="C2033">
        <v>1.6348940000000001</v>
      </c>
      <c r="D2033">
        <v>111.946321</v>
      </c>
      <c r="E2033" t="s">
        <v>18</v>
      </c>
      <c r="F2033" t="s">
        <v>18</v>
      </c>
      <c r="G2033">
        <v>3</v>
      </c>
      <c r="H2033">
        <v>3</v>
      </c>
      <c r="I2033" t="s">
        <v>20</v>
      </c>
      <c r="J2033" t="s">
        <v>19</v>
      </c>
      <c r="K2033">
        <v>2.7373530000000001</v>
      </c>
      <c r="L2033" t="s">
        <v>19</v>
      </c>
      <c r="M2033">
        <v>0</v>
      </c>
      <c r="N2033">
        <v>7.6093999999999995E-2</v>
      </c>
      <c r="O2033" t="s">
        <v>20</v>
      </c>
      <c r="P2033" t="s">
        <v>21</v>
      </c>
      <c r="Q2033" t="s">
        <v>35</v>
      </c>
    </row>
    <row r="2034" spans="1:17" x14ac:dyDescent="0.2">
      <c r="A2034" t="s">
        <v>17</v>
      </c>
      <c r="B2034">
        <v>26</v>
      </c>
      <c r="C2034">
        <v>1.639524</v>
      </c>
      <c r="D2034">
        <v>111.945588</v>
      </c>
      <c r="E2034" t="s">
        <v>18</v>
      </c>
      <c r="F2034" t="s">
        <v>18</v>
      </c>
      <c r="G2034">
        <v>3</v>
      </c>
      <c r="H2034">
        <v>3</v>
      </c>
      <c r="I2034" t="s">
        <v>20</v>
      </c>
      <c r="J2034" t="s">
        <v>19</v>
      </c>
      <c r="K2034">
        <v>2.7393510000000001</v>
      </c>
      <c r="L2034" t="s">
        <v>19</v>
      </c>
      <c r="M2034">
        <v>0</v>
      </c>
      <c r="N2034">
        <v>6.4768999999999993E-2</v>
      </c>
      <c r="O2034" t="s">
        <v>20</v>
      </c>
      <c r="P2034" t="s">
        <v>21</v>
      </c>
      <c r="Q2034" t="s">
        <v>35</v>
      </c>
    </row>
    <row r="2035" spans="1:17" x14ac:dyDescent="0.2">
      <c r="A2035" t="s">
        <v>17</v>
      </c>
      <c r="B2035">
        <v>26</v>
      </c>
      <c r="C2035">
        <v>1.6430169999999999</v>
      </c>
      <c r="D2035">
        <v>111.72023799999999</v>
      </c>
      <c r="E2035" t="s">
        <v>18</v>
      </c>
      <c r="F2035" t="s">
        <v>18</v>
      </c>
      <c r="G2035">
        <v>3</v>
      </c>
      <c r="H2035">
        <v>3</v>
      </c>
      <c r="I2035" t="s">
        <v>20</v>
      </c>
      <c r="J2035" t="s">
        <v>19</v>
      </c>
      <c r="K2035">
        <v>2.632498</v>
      </c>
      <c r="L2035" t="s">
        <v>19</v>
      </c>
      <c r="M2035">
        <v>0</v>
      </c>
      <c r="N2035">
        <v>0.140792</v>
      </c>
      <c r="O2035" t="s">
        <v>20</v>
      </c>
      <c r="P2035" t="s">
        <v>21</v>
      </c>
      <c r="Q2035" t="s">
        <v>35</v>
      </c>
    </row>
    <row r="2036" spans="1:17" x14ac:dyDescent="0.2">
      <c r="A2036" t="s">
        <v>17</v>
      </c>
      <c r="B2036">
        <v>26</v>
      </c>
      <c r="C2036">
        <v>1.6418489999999999</v>
      </c>
      <c r="D2036">
        <v>111.682693</v>
      </c>
      <c r="E2036" t="s">
        <v>18</v>
      </c>
      <c r="F2036" t="s">
        <v>18</v>
      </c>
      <c r="G2036">
        <v>3</v>
      </c>
      <c r="H2036">
        <v>3</v>
      </c>
      <c r="I2036" t="s">
        <v>20</v>
      </c>
      <c r="J2036" t="s">
        <v>19</v>
      </c>
      <c r="K2036">
        <v>2.632253</v>
      </c>
      <c r="L2036" t="s">
        <v>19</v>
      </c>
      <c r="M2036">
        <v>0</v>
      </c>
      <c r="N2036">
        <v>0.24420500000000001</v>
      </c>
      <c r="O2036" t="s">
        <v>20</v>
      </c>
      <c r="P2036" t="s">
        <v>21</v>
      </c>
      <c r="Q2036" t="s">
        <v>35</v>
      </c>
    </row>
    <row r="2037" spans="1:17" x14ac:dyDescent="0.2">
      <c r="A2037" t="s">
        <v>17</v>
      </c>
      <c r="B2037">
        <v>26</v>
      </c>
      <c r="C2037">
        <v>1.621167</v>
      </c>
      <c r="D2037">
        <v>104.947703</v>
      </c>
      <c r="E2037" t="s">
        <v>18</v>
      </c>
      <c r="F2037" t="s">
        <v>18</v>
      </c>
      <c r="G2037">
        <v>3</v>
      </c>
      <c r="H2037">
        <v>3</v>
      </c>
      <c r="I2037" t="s">
        <v>20</v>
      </c>
      <c r="J2037" t="s">
        <v>19</v>
      </c>
      <c r="K2037">
        <v>2.57721</v>
      </c>
      <c r="L2037" t="s">
        <v>19</v>
      </c>
      <c r="M2037">
        <v>0</v>
      </c>
      <c r="N2037">
        <v>0.40207500000000002</v>
      </c>
      <c r="O2037" t="s">
        <v>20</v>
      </c>
      <c r="P2037" t="s">
        <v>21</v>
      </c>
      <c r="Q2037" t="s">
        <v>35</v>
      </c>
    </row>
    <row r="2038" spans="1:17" x14ac:dyDescent="0.2">
      <c r="A2038" t="s">
        <v>17</v>
      </c>
      <c r="B2038">
        <v>25.992898</v>
      </c>
      <c r="C2038">
        <v>1.6380749999999999</v>
      </c>
      <c r="D2038">
        <v>105.03652200000001</v>
      </c>
      <c r="E2038" t="s">
        <v>18</v>
      </c>
      <c r="F2038" t="s">
        <v>18</v>
      </c>
      <c r="G2038">
        <v>3</v>
      </c>
      <c r="H2038">
        <v>3</v>
      </c>
      <c r="I2038" t="s">
        <v>20</v>
      </c>
      <c r="J2038" t="s">
        <v>19</v>
      </c>
      <c r="K2038">
        <v>2.4191530000000001</v>
      </c>
      <c r="L2038" t="s">
        <v>19</v>
      </c>
      <c r="M2038">
        <v>1.9404000000000001E-2</v>
      </c>
      <c r="N2038">
        <v>0.59762599999999999</v>
      </c>
      <c r="O2038" t="s">
        <v>20</v>
      </c>
      <c r="P2038" t="s">
        <v>21</v>
      </c>
      <c r="Q2038" t="s">
        <v>35</v>
      </c>
    </row>
    <row r="2039" spans="1:17" x14ac:dyDescent="0.2">
      <c r="A2039" t="s">
        <v>17</v>
      </c>
      <c r="B2039">
        <v>26</v>
      </c>
      <c r="C2039">
        <v>1.60937</v>
      </c>
      <c r="D2039">
        <v>105.407313</v>
      </c>
      <c r="E2039" t="s">
        <v>18</v>
      </c>
      <c r="F2039" t="s">
        <v>18</v>
      </c>
      <c r="G2039">
        <v>3</v>
      </c>
      <c r="H2039">
        <v>3</v>
      </c>
      <c r="I2039" t="s">
        <v>20</v>
      </c>
      <c r="J2039" t="s">
        <v>19</v>
      </c>
      <c r="K2039">
        <v>2.6090520000000001</v>
      </c>
      <c r="L2039" t="s">
        <v>19</v>
      </c>
      <c r="M2039">
        <v>0</v>
      </c>
      <c r="N2039">
        <v>0.54859000000000002</v>
      </c>
      <c r="O2039" t="s">
        <v>20</v>
      </c>
      <c r="P2039" t="s">
        <v>21</v>
      </c>
      <c r="Q2039" t="s">
        <v>35</v>
      </c>
    </row>
    <row r="2040" spans="1:17" x14ac:dyDescent="0.2">
      <c r="A2040" t="s">
        <v>17</v>
      </c>
      <c r="B2040">
        <v>26</v>
      </c>
      <c r="C2040">
        <v>1.6082829999999999</v>
      </c>
      <c r="D2040">
        <v>105.35968800000001</v>
      </c>
      <c r="E2040" t="s">
        <v>18</v>
      </c>
      <c r="F2040" t="s">
        <v>18</v>
      </c>
      <c r="G2040">
        <v>3</v>
      </c>
      <c r="H2040">
        <v>3</v>
      </c>
      <c r="I2040" t="s">
        <v>20</v>
      </c>
      <c r="J2040" t="s">
        <v>19</v>
      </c>
      <c r="K2040">
        <v>2.4760019999999998</v>
      </c>
      <c r="L2040" t="s">
        <v>19</v>
      </c>
      <c r="M2040">
        <v>0</v>
      </c>
      <c r="N2040">
        <v>0.54634499999999997</v>
      </c>
      <c r="O2040" t="s">
        <v>20</v>
      </c>
      <c r="P2040" t="s">
        <v>21</v>
      </c>
      <c r="Q2040" t="s">
        <v>35</v>
      </c>
    </row>
    <row r="2041" spans="1:17" x14ac:dyDescent="0.2">
      <c r="A2041" t="s">
        <v>17</v>
      </c>
      <c r="B2041">
        <v>25.951737000000001</v>
      </c>
      <c r="C2041">
        <v>1.6294420000000001</v>
      </c>
      <c r="D2041">
        <v>104.835346</v>
      </c>
      <c r="E2041" t="s">
        <v>18</v>
      </c>
      <c r="F2041" t="s">
        <v>18</v>
      </c>
      <c r="G2041">
        <v>3</v>
      </c>
      <c r="H2041">
        <v>3</v>
      </c>
      <c r="I2041" t="s">
        <v>20</v>
      </c>
      <c r="J2041" t="s">
        <v>19</v>
      </c>
      <c r="K2041">
        <v>2.225139</v>
      </c>
      <c r="L2041" t="s">
        <v>19</v>
      </c>
      <c r="M2041">
        <v>3.5928000000000002E-2</v>
      </c>
      <c r="N2041">
        <v>0.56531500000000001</v>
      </c>
      <c r="O2041" t="s">
        <v>20</v>
      </c>
      <c r="P2041" t="s">
        <v>21</v>
      </c>
      <c r="Q2041" t="s">
        <v>35</v>
      </c>
    </row>
    <row r="2042" spans="1:17" x14ac:dyDescent="0.2">
      <c r="A2042" t="s">
        <v>17</v>
      </c>
      <c r="B2042">
        <v>25.982261000000001</v>
      </c>
      <c r="C2042">
        <v>1.6292249999999999</v>
      </c>
      <c r="D2042">
        <v>104.838425</v>
      </c>
      <c r="E2042" t="s">
        <v>18</v>
      </c>
      <c r="F2042" t="s">
        <v>18</v>
      </c>
      <c r="G2042">
        <v>3</v>
      </c>
      <c r="H2042">
        <v>3</v>
      </c>
      <c r="I2042" t="s">
        <v>20</v>
      </c>
      <c r="J2042" t="s">
        <v>19</v>
      </c>
      <c r="K2042">
        <v>2.5560679999999998</v>
      </c>
      <c r="L2042" t="s">
        <v>19</v>
      </c>
      <c r="M2042">
        <v>1.6820000000000002E-2</v>
      </c>
      <c r="N2042">
        <v>0.58284000000000002</v>
      </c>
      <c r="O2042" t="s">
        <v>20</v>
      </c>
      <c r="P2042" t="s">
        <v>21</v>
      </c>
      <c r="Q2042" t="s">
        <v>35</v>
      </c>
    </row>
    <row r="2043" spans="1:17" x14ac:dyDescent="0.2">
      <c r="A2043" t="s">
        <v>17</v>
      </c>
      <c r="B2043">
        <v>25.470652000000001</v>
      </c>
      <c r="C2043">
        <v>1.680218</v>
      </c>
      <c r="D2043">
        <v>104.807284</v>
      </c>
      <c r="E2043" t="s">
        <v>18</v>
      </c>
      <c r="F2043" t="s">
        <v>18</v>
      </c>
      <c r="G2043">
        <v>3</v>
      </c>
      <c r="H2043">
        <v>3</v>
      </c>
      <c r="I2043" t="s">
        <v>20</v>
      </c>
      <c r="J2043" t="s">
        <v>19</v>
      </c>
      <c r="K2043">
        <v>1.423073</v>
      </c>
      <c r="L2043" t="s">
        <v>19</v>
      </c>
      <c r="M2043">
        <v>0.197993</v>
      </c>
      <c r="N2043">
        <v>0.76335900000000001</v>
      </c>
      <c r="O2043" t="s">
        <v>20</v>
      </c>
      <c r="P2043" t="s">
        <v>21</v>
      </c>
      <c r="Q2043" t="s">
        <v>35</v>
      </c>
    </row>
    <row r="2044" spans="1:17" x14ac:dyDescent="0.2">
      <c r="A2044" t="s">
        <v>17</v>
      </c>
      <c r="B2044">
        <v>25.289428000000001</v>
      </c>
      <c r="C2044">
        <v>1.6860329999999999</v>
      </c>
      <c r="D2044">
        <v>104.772164</v>
      </c>
      <c r="E2044" t="s">
        <v>18</v>
      </c>
      <c r="F2044" t="s">
        <v>18</v>
      </c>
      <c r="G2044">
        <v>3</v>
      </c>
      <c r="H2044">
        <v>3</v>
      </c>
      <c r="I2044" t="s">
        <v>20</v>
      </c>
      <c r="J2044" t="s">
        <v>19</v>
      </c>
      <c r="K2044">
        <v>1.299194</v>
      </c>
      <c r="L2044" t="s">
        <v>19</v>
      </c>
      <c r="M2044">
        <v>0.23430300000000001</v>
      </c>
      <c r="N2044">
        <v>0.94688799999999995</v>
      </c>
      <c r="O2044" t="s">
        <v>20</v>
      </c>
      <c r="P2044" t="s">
        <v>21</v>
      </c>
      <c r="Q2044" t="s">
        <v>35</v>
      </c>
    </row>
    <row r="2045" spans="1:17" x14ac:dyDescent="0.2">
      <c r="A2045" t="s">
        <v>17</v>
      </c>
      <c r="B2045">
        <v>25.696072999999998</v>
      </c>
      <c r="C2045">
        <v>1.6629780000000001</v>
      </c>
      <c r="D2045">
        <v>110.930509</v>
      </c>
      <c r="E2045" t="s">
        <v>18</v>
      </c>
      <c r="F2045" t="s">
        <v>18</v>
      </c>
      <c r="G2045">
        <v>3</v>
      </c>
      <c r="H2045">
        <v>3</v>
      </c>
      <c r="I2045" t="s">
        <v>20</v>
      </c>
      <c r="J2045" t="s">
        <v>19</v>
      </c>
      <c r="K2045">
        <v>1.679489</v>
      </c>
      <c r="L2045" t="s">
        <v>19</v>
      </c>
      <c r="M2045">
        <v>1.7804E-2</v>
      </c>
      <c r="N2045">
        <v>0.21523</v>
      </c>
      <c r="O2045" t="s">
        <v>20</v>
      </c>
      <c r="P2045" t="s">
        <v>21</v>
      </c>
      <c r="Q2045" t="s">
        <v>35</v>
      </c>
    </row>
    <row r="2046" spans="1:17" x14ac:dyDescent="0.2">
      <c r="A2046" t="s">
        <v>17</v>
      </c>
      <c r="B2046">
        <v>25.561868</v>
      </c>
      <c r="C2046">
        <v>1.6751849999999999</v>
      </c>
      <c r="D2046">
        <v>110.621723</v>
      </c>
      <c r="E2046" t="s">
        <v>18</v>
      </c>
      <c r="F2046" t="s">
        <v>18</v>
      </c>
      <c r="G2046">
        <v>3</v>
      </c>
      <c r="H2046">
        <v>3</v>
      </c>
      <c r="I2046" t="s">
        <v>20</v>
      </c>
      <c r="J2046" t="s">
        <v>19</v>
      </c>
      <c r="K2046">
        <v>1.49583</v>
      </c>
      <c r="L2046" t="s">
        <v>19</v>
      </c>
      <c r="M2046">
        <v>0.10932699999999999</v>
      </c>
      <c r="N2046">
        <v>0.384129</v>
      </c>
      <c r="O2046" t="s">
        <v>20</v>
      </c>
      <c r="P2046" t="s">
        <v>21</v>
      </c>
      <c r="Q2046" t="s">
        <v>35</v>
      </c>
    </row>
    <row r="2047" spans="1:17" x14ac:dyDescent="0.2">
      <c r="A2047" t="s">
        <v>17</v>
      </c>
      <c r="B2047">
        <v>25.834018</v>
      </c>
      <c r="C2047">
        <v>1.62456</v>
      </c>
      <c r="D2047">
        <v>110.10589</v>
      </c>
      <c r="E2047" t="s">
        <v>18</v>
      </c>
      <c r="F2047" t="s">
        <v>18</v>
      </c>
      <c r="G2047">
        <v>3</v>
      </c>
      <c r="H2047">
        <v>3</v>
      </c>
      <c r="I2047" t="s">
        <v>20</v>
      </c>
      <c r="J2047" t="s">
        <v>19</v>
      </c>
      <c r="K2047">
        <v>1.81786</v>
      </c>
      <c r="L2047" t="s">
        <v>19</v>
      </c>
      <c r="M2047">
        <v>1.1161000000000001E-2</v>
      </c>
      <c r="N2047">
        <v>0.44722400000000001</v>
      </c>
      <c r="O2047" t="s">
        <v>20</v>
      </c>
      <c r="P2047" t="s">
        <v>21</v>
      </c>
      <c r="Q2047" t="s">
        <v>35</v>
      </c>
    </row>
    <row r="2048" spans="1:17" x14ac:dyDescent="0.2">
      <c r="A2048" t="s">
        <v>17</v>
      </c>
      <c r="B2048">
        <v>25.895546</v>
      </c>
      <c r="C2048">
        <v>1.626179</v>
      </c>
      <c r="D2048">
        <v>110.07401900000001</v>
      </c>
      <c r="E2048" t="s">
        <v>18</v>
      </c>
      <c r="F2048" t="s">
        <v>18</v>
      </c>
      <c r="G2048">
        <v>3</v>
      </c>
      <c r="H2048">
        <v>3</v>
      </c>
      <c r="I2048" t="s">
        <v>20</v>
      </c>
      <c r="J2048" t="s">
        <v>19</v>
      </c>
      <c r="K2048">
        <v>1.9677070000000001</v>
      </c>
      <c r="L2048" t="s">
        <v>19</v>
      </c>
      <c r="M2048">
        <v>1.4370000000000001E-2</v>
      </c>
      <c r="N2048">
        <v>0.43407299999999999</v>
      </c>
      <c r="O2048" t="s">
        <v>20</v>
      </c>
      <c r="P2048" t="s">
        <v>21</v>
      </c>
      <c r="Q2048" t="s">
        <v>35</v>
      </c>
    </row>
    <row r="2049" spans="1:17" x14ac:dyDescent="0.2">
      <c r="A2049" t="s">
        <v>17</v>
      </c>
      <c r="B2049">
        <v>19.035557000000001</v>
      </c>
      <c r="C2049">
        <v>1.6825939999999999</v>
      </c>
      <c r="D2049">
        <v>127.427458</v>
      </c>
      <c r="E2049" t="s">
        <v>18</v>
      </c>
      <c r="F2049" t="s">
        <v>18</v>
      </c>
      <c r="G2049">
        <v>3</v>
      </c>
      <c r="H2049">
        <v>3</v>
      </c>
      <c r="I2049" t="s">
        <v>20</v>
      </c>
      <c r="J2049" t="s">
        <v>19</v>
      </c>
      <c r="K2049">
        <v>1.441289</v>
      </c>
      <c r="L2049" t="s">
        <v>19</v>
      </c>
      <c r="M2049">
        <v>1.4257120000000001</v>
      </c>
      <c r="N2049">
        <v>0.662277</v>
      </c>
      <c r="O2049" t="s">
        <v>20</v>
      </c>
      <c r="P2049" t="s">
        <v>21</v>
      </c>
      <c r="Q2049" t="s">
        <v>35</v>
      </c>
    </row>
    <row r="2050" spans="1:17" x14ac:dyDescent="0.2">
      <c r="A2050" t="s">
        <v>17</v>
      </c>
      <c r="B2050">
        <v>18.634285999999999</v>
      </c>
      <c r="C2050">
        <v>1.669354</v>
      </c>
      <c r="D2050">
        <v>126.088301</v>
      </c>
      <c r="E2050" t="s">
        <v>18</v>
      </c>
      <c r="F2050" t="s">
        <v>18</v>
      </c>
      <c r="G2050">
        <v>3</v>
      </c>
      <c r="H2050">
        <v>3</v>
      </c>
      <c r="I2050" t="s">
        <v>20</v>
      </c>
      <c r="J2050" t="s">
        <v>19</v>
      </c>
      <c r="K2050">
        <v>1.144539</v>
      </c>
      <c r="L2050" t="s">
        <v>19</v>
      </c>
      <c r="M2050">
        <v>0.922014</v>
      </c>
      <c r="N2050">
        <v>0.89967299999999994</v>
      </c>
      <c r="O2050" t="s">
        <v>20</v>
      </c>
      <c r="P2050" t="s">
        <v>21</v>
      </c>
      <c r="Q2050" t="s">
        <v>35</v>
      </c>
    </row>
    <row r="2051" spans="1:17" x14ac:dyDescent="0.2">
      <c r="A2051" t="s">
        <v>17</v>
      </c>
      <c r="B2051">
        <v>20.700876000000001</v>
      </c>
      <c r="C2051">
        <v>1.68838</v>
      </c>
      <c r="D2051">
        <v>121.889803</v>
      </c>
      <c r="E2051" t="s">
        <v>18</v>
      </c>
      <c r="F2051" t="s">
        <v>18</v>
      </c>
      <c r="G2051">
        <v>3</v>
      </c>
      <c r="H2051">
        <v>3</v>
      </c>
      <c r="I2051" t="s">
        <v>20</v>
      </c>
      <c r="J2051" t="s">
        <v>19</v>
      </c>
      <c r="K2051">
        <v>1.353167</v>
      </c>
      <c r="L2051" t="s">
        <v>19</v>
      </c>
      <c r="M2051">
        <v>1.0936790000000001</v>
      </c>
      <c r="N2051">
        <v>0.53455299999999994</v>
      </c>
      <c r="O2051" t="s">
        <v>20</v>
      </c>
      <c r="P2051" t="s">
        <v>21</v>
      </c>
      <c r="Q2051" t="s">
        <v>35</v>
      </c>
    </row>
    <row r="2052" spans="1:17" x14ac:dyDescent="0.2">
      <c r="A2052" t="s">
        <v>17</v>
      </c>
      <c r="B2052">
        <v>20.741441999999999</v>
      </c>
      <c r="C2052">
        <v>1.694439</v>
      </c>
      <c r="D2052">
        <v>122.813033</v>
      </c>
      <c r="E2052" t="s">
        <v>18</v>
      </c>
      <c r="F2052" t="s">
        <v>18</v>
      </c>
      <c r="G2052">
        <v>3</v>
      </c>
      <c r="H2052">
        <v>3</v>
      </c>
      <c r="I2052" t="s">
        <v>20</v>
      </c>
      <c r="J2052" t="s">
        <v>19</v>
      </c>
      <c r="K2052">
        <v>1.4094439999999999</v>
      </c>
      <c r="L2052" t="s">
        <v>19</v>
      </c>
      <c r="M2052">
        <v>0.93359499999999995</v>
      </c>
      <c r="N2052">
        <v>0.84039299999999995</v>
      </c>
      <c r="O2052" t="s">
        <v>20</v>
      </c>
      <c r="P2052" t="s">
        <v>21</v>
      </c>
      <c r="Q2052" t="s">
        <v>35</v>
      </c>
    </row>
    <row r="2053" spans="1:17" x14ac:dyDescent="0.2">
      <c r="A2053" t="s">
        <v>17</v>
      </c>
      <c r="B2053">
        <v>21.695892000000001</v>
      </c>
      <c r="C2053">
        <v>1.755476</v>
      </c>
      <c r="D2053">
        <v>133.87050099999999</v>
      </c>
      <c r="E2053" t="s">
        <v>18</v>
      </c>
      <c r="F2053" t="s">
        <v>18</v>
      </c>
      <c r="G2053">
        <v>3</v>
      </c>
      <c r="H2053">
        <v>3</v>
      </c>
      <c r="I2053" t="s">
        <v>20</v>
      </c>
      <c r="J2053" t="s">
        <v>19</v>
      </c>
      <c r="K2053">
        <v>1.959287</v>
      </c>
      <c r="L2053" t="s">
        <v>19</v>
      </c>
      <c r="M2053">
        <v>1.4331510000000001</v>
      </c>
      <c r="N2053">
        <v>0.91133500000000001</v>
      </c>
      <c r="O2053" t="s">
        <v>20</v>
      </c>
      <c r="P2053" t="s">
        <v>21</v>
      </c>
      <c r="Q2053" t="s">
        <v>35</v>
      </c>
    </row>
    <row r="2054" spans="1:17" x14ac:dyDescent="0.2">
      <c r="A2054" t="s">
        <v>17</v>
      </c>
      <c r="B2054">
        <v>21.635977</v>
      </c>
      <c r="C2054">
        <v>1.7481059999999999</v>
      </c>
      <c r="D2054">
        <v>133.25903299999999</v>
      </c>
      <c r="E2054" t="s">
        <v>18</v>
      </c>
      <c r="F2054" t="s">
        <v>18</v>
      </c>
      <c r="G2054">
        <v>3</v>
      </c>
      <c r="H2054">
        <v>3</v>
      </c>
      <c r="I2054" t="s">
        <v>20</v>
      </c>
      <c r="J2054" t="s">
        <v>19</v>
      </c>
      <c r="K2054">
        <v>1.931163</v>
      </c>
      <c r="L2054" t="s">
        <v>19</v>
      </c>
      <c r="M2054">
        <v>1.5622130000000001</v>
      </c>
      <c r="N2054">
        <v>0.92656499999999997</v>
      </c>
      <c r="O2054" t="s">
        <v>20</v>
      </c>
      <c r="P2054" t="s">
        <v>21</v>
      </c>
      <c r="Q2054" t="s">
        <v>35</v>
      </c>
    </row>
    <row r="2055" spans="1:17" x14ac:dyDescent="0.2">
      <c r="A2055" t="s">
        <v>17</v>
      </c>
      <c r="B2055">
        <v>21.232659000000002</v>
      </c>
      <c r="C2055">
        <v>1.719913</v>
      </c>
      <c r="D2055">
        <v>131.56748099999999</v>
      </c>
      <c r="E2055" t="s">
        <v>18</v>
      </c>
      <c r="F2055" t="s">
        <v>18</v>
      </c>
      <c r="G2055">
        <v>3</v>
      </c>
      <c r="H2055">
        <v>3</v>
      </c>
      <c r="I2055" t="s">
        <v>20</v>
      </c>
      <c r="J2055" t="s">
        <v>19</v>
      </c>
      <c r="K2055">
        <v>1.651462</v>
      </c>
      <c r="L2055" t="s">
        <v>19</v>
      </c>
      <c r="M2055">
        <v>1.655993</v>
      </c>
      <c r="N2055">
        <v>0.93998199999999998</v>
      </c>
      <c r="O2055" t="s">
        <v>20</v>
      </c>
      <c r="P2055" t="s">
        <v>21</v>
      </c>
      <c r="Q2055" t="s">
        <v>35</v>
      </c>
    </row>
    <row r="2056" spans="1:17" x14ac:dyDescent="0.2">
      <c r="A2056" t="s">
        <v>17</v>
      </c>
      <c r="B2056">
        <v>21.008296999999999</v>
      </c>
      <c r="C2056">
        <v>1.723587</v>
      </c>
      <c r="D2056">
        <v>131.92971199999999</v>
      </c>
      <c r="E2056" t="s">
        <v>18</v>
      </c>
      <c r="F2056" t="s">
        <v>18</v>
      </c>
      <c r="G2056">
        <v>3</v>
      </c>
      <c r="H2056">
        <v>3</v>
      </c>
      <c r="I2056" t="s">
        <v>20</v>
      </c>
      <c r="J2056" t="s">
        <v>19</v>
      </c>
      <c r="K2056">
        <v>1.6834480000000001</v>
      </c>
      <c r="L2056" t="s">
        <v>19</v>
      </c>
      <c r="M2056">
        <v>1.645532</v>
      </c>
      <c r="N2056">
        <v>0.85805900000000002</v>
      </c>
      <c r="O2056" t="s">
        <v>20</v>
      </c>
      <c r="P2056" t="s">
        <v>21</v>
      </c>
      <c r="Q2056" t="s">
        <v>35</v>
      </c>
    </row>
    <row r="2057" spans="1:17" x14ac:dyDescent="0.2">
      <c r="A2057" t="s">
        <v>17</v>
      </c>
      <c r="B2057">
        <v>25.962948999999998</v>
      </c>
      <c r="C2057">
        <v>1.623812</v>
      </c>
      <c r="D2057">
        <v>109.996742</v>
      </c>
      <c r="E2057" t="s">
        <v>18</v>
      </c>
      <c r="F2057" t="s">
        <v>18</v>
      </c>
      <c r="G2057">
        <v>3</v>
      </c>
      <c r="H2057">
        <v>3</v>
      </c>
      <c r="I2057" t="s">
        <v>20</v>
      </c>
      <c r="J2057" t="s">
        <v>19</v>
      </c>
      <c r="K2057">
        <v>2.3953869999999999</v>
      </c>
      <c r="L2057" t="s">
        <v>19</v>
      </c>
      <c r="M2057">
        <v>2.72E-4</v>
      </c>
      <c r="N2057">
        <v>0.461532</v>
      </c>
      <c r="O2057" t="s">
        <v>20</v>
      </c>
      <c r="P2057" t="s">
        <v>21</v>
      </c>
      <c r="Q2057" t="s">
        <v>35</v>
      </c>
    </row>
    <row r="2058" spans="1:17" x14ac:dyDescent="0.2">
      <c r="A2058" t="s">
        <v>17</v>
      </c>
      <c r="B2058">
        <v>26</v>
      </c>
      <c r="C2058">
        <v>1.624099</v>
      </c>
      <c r="D2058">
        <v>109.978402</v>
      </c>
      <c r="E2058" t="s">
        <v>18</v>
      </c>
      <c r="F2058" t="s">
        <v>18</v>
      </c>
      <c r="G2058">
        <v>3</v>
      </c>
      <c r="H2058">
        <v>3</v>
      </c>
      <c r="I2058" t="s">
        <v>20</v>
      </c>
      <c r="J2058" t="s">
        <v>19</v>
      </c>
      <c r="K2058">
        <v>2.523793</v>
      </c>
      <c r="L2058" t="s">
        <v>19</v>
      </c>
      <c r="M2058">
        <v>0</v>
      </c>
      <c r="N2058">
        <v>0.38395299999999999</v>
      </c>
      <c r="O2058" t="s">
        <v>20</v>
      </c>
      <c r="P2058" t="s">
        <v>21</v>
      </c>
      <c r="Q2058" t="s">
        <v>35</v>
      </c>
    </row>
    <row r="2059" spans="1:17" x14ac:dyDescent="0.2">
      <c r="A2059" t="s">
        <v>17</v>
      </c>
      <c r="B2059">
        <v>26</v>
      </c>
      <c r="C2059">
        <v>1.6329830000000001</v>
      </c>
      <c r="D2059">
        <v>111.157811</v>
      </c>
      <c r="E2059" t="s">
        <v>18</v>
      </c>
      <c r="F2059" t="s">
        <v>18</v>
      </c>
      <c r="G2059">
        <v>3</v>
      </c>
      <c r="H2059">
        <v>3</v>
      </c>
      <c r="I2059" t="s">
        <v>20</v>
      </c>
      <c r="J2059" t="s">
        <v>19</v>
      </c>
      <c r="K2059">
        <v>2.6388959999999999</v>
      </c>
      <c r="L2059" t="s">
        <v>19</v>
      </c>
      <c r="M2059">
        <v>0</v>
      </c>
      <c r="N2059">
        <v>0.22455900000000001</v>
      </c>
      <c r="O2059" t="s">
        <v>20</v>
      </c>
      <c r="P2059" t="s">
        <v>21</v>
      </c>
      <c r="Q2059" t="s">
        <v>35</v>
      </c>
    </row>
    <row r="2060" spans="1:17" x14ac:dyDescent="0.2">
      <c r="A2060" t="s">
        <v>17</v>
      </c>
      <c r="B2060">
        <v>26</v>
      </c>
      <c r="C2060">
        <v>1.6407449999999999</v>
      </c>
      <c r="D2060">
        <v>110.919646</v>
      </c>
      <c r="E2060" t="s">
        <v>18</v>
      </c>
      <c r="F2060" t="s">
        <v>18</v>
      </c>
      <c r="G2060">
        <v>3</v>
      </c>
      <c r="H2060">
        <v>3</v>
      </c>
      <c r="I2060" t="s">
        <v>20</v>
      </c>
      <c r="J2060" t="s">
        <v>19</v>
      </c>
      <c r="K2060">
        <v>2.6661779999999999</v>
      </c>
      <c r="L2060" t="s">
        <v>19</v>
      </c>
      <c r="M2060">
        <v>0</v>
      </c>
      <c r="N2060">
        <v>0.27690700000000001</v>
      </c>
      <c r="O2060" t="s">
        <v>20</v>
      </c>
      <c r="P2060" t="s">
        <v>21</v>
      </c>
      <c r="Q2060" t="s">
        <v>35</v>
      </c>
    </row>
    <row r="2061" spans="1:17" x14ac:dyDescent="0.2">
      <c r="A2061" t="s">
        <v>17</v>
      </c>
      <c r="B2061">
        <v>26</v>
      </c>
      <c r="C2061">
        <v>1.6297269999999999</v>
      </c>
      <c r="D2061">
        <v>111.27564599999999</v>
      </c>
      <c r="E2061" t="s">
        <v>18</v>
      </c>
      <c r="F2061" t="s">
        <v>18</v>
      </c>
      <c r="G2061">
        <v>3</v>
      </c>
      <c r="H2061">
        <v>3</v>
      </c>
      <c r="I2061" t="s">
        <v>20</v>
      </c>
      <c r="J2061" t="s">
        <v>19</v>
      </c>
      <c r="K2061">
        <v>2.495851</v>
      </c>
      <c r="L2061" t="s">
        <v>19</v>
      </c>
      <c r="M2061">
        <v>0</v>
      </c>
      <c r="N2061">
        <v>0.21864500000000001</v>
      </c>
      <c r="O2061" t="s">
        <v>20</v>
      </c>
      <c r="P2061" t="s">
        <v>21</v>
      </c>
      <c r="Q2061" t="s">
        <v>35</v>
      </c>
    </row>
    <row r="2062" spans="1:17" x14ac:dyDescent="0.2">
      <c r="A2062" t="s">
        <v>17</v>
      </c>
      <c r="B2062">
        <v>26</v>
      </c>
      <c r="C2062">
        <v>1.624134</v>
      </c>
      <c r="D2062">
        <v>111.53120800000001</v>
      </c>
      <c r="E2062" t="s">
        <v>18</v>
      </c>
      <c r="F2062" t="s">
        <v>18</v>
      </c>
      <c r="G2062">
        <v>3</v>
      </c>
      <c r="H2062">
        <v>3</v>
      </c>
      <c r="I2062" t="s">
        <v>20</v>
      </c>
      <c r="J2062" t="s">
        <v>19</v>
      </c>
      <c r="K2062">
        <v>2.6091880000000001</v>
      </c>
      <c r="L2062" t="s">
        <v>19</v>
      </c>
      <c r="M2062">
        <v>0</v>
      </c>
      <c r="N2062">
        <v>0.17402999999999999</v>
      </c>
      <c r="O2062" t="s">
        <v>20</v>
      </c>
      <c r="P2062" t="s">
        <v>21</v>
      </c>
      <c r="Q2062" t="s">
        <v>35</v>
      </c>
    </row>
    <row r="2063" spans="1:17" x14ac:dyDescent="0.2">
      <c r="A2063" t="s">
        <v>17</v>
      </c>
      <c r="B2063">
        <v>25.964787999999999</v>
      </c>
      <c r="C2063">
        <v>1.6239380000000001</v>
      </c>
      <c r="D2063">
        <v>109.984263</v>
      </c>
      <c r="E2063" t="s">
        <v>18</v>
      </c>
      <c r="F2063" t="s">
        <v>18</v>
      </c>
      <c r="G2063">
        <v>3</v>
      </c>
      <c r="H2063">
        <v>3</v>
      </c>
      <c r="I2063" t="s">
        <v>20</v>
      </c>
      <c r="J2063" t="s">
        <v>19</v>
      </c>
      <c r="K2063">
        <v>2.4717210000000001</v>
      </c>
      <c r="L2063" t="s">
        <v>19</v>
      </c>
      <c r="M2063">
        <v>9.6000000000000002E-5</v>
      </c>
      <c r="N2063">
        <v>0.43346299999999999</v>
      </c>
      <c r="O2063" t="s">
        <v>20</v>
      </c>
      <c r="P2063" t="s">
        <v>21</v>
      </c>
      <c r="Q2063" t="s">
        <v>35</v>
      </c>
    </row>
    <row r="2064" spans="1:17" x14ac:dyDescent="0.2">
      <c r="A2064" t="s">
        <v>17</v>
      </c>
      <c r="B2064">
        <v>25.994948999999998</v>
      </c>
      <c r="C2064">
        <v>1.593321</v>
      </c>
      <c r="D2064">
        <v>110.168166</v>
      </c>
      <c r="E2064" t="s">
        <v>18</v>
      </c>
      <c r="F2064" t="s">
        <v>18</v>
      </c>
      <c r="G2064">
        <v>3</v>
      </c>
      <c r="H2064">
        <v>3</v>
      </c>
      <c r="I2064" t="s">
        <v>20</v>
      </c>
      <c r="J2064" t="s">
        <v>19</v>
      </c>
      <c r="K2064">
        <v>2.4473060000000002</v>
      </c>
      <c r="L2064" t="s">
        <v>19</v>
      </c>
      <c r="M2064">
        <v>4.5399999999999998E-4</v>
      </c>
      <c r="N2064">
        <v>0.48655799999999999</v>
      </c>
      <c r="O2064" t="s">
        <v>20</v>
      </c>
      <c r="P2064" t="s">
        <v>21</v>
      </c>
      <c r="Q2064" t="s">
        <v>35</v>
      </c>
    </row>
    <row r="2065" spans="1:17" x14ac:dyDescent="0.2">
      <c r="A2065" t="s">
        <v>17</v>
      </c>
      <c r="B2065">
        <v>20.952736999999999</v>
      </c>
      <c r="C2065">
        <v>1.7303329999999999</v>
      </c>
      <c r="D2065">
        <v>132.116491</v>
      </c>
      <c r="E2065" t="s">
        <v>18</v>
      </c>
      <c r="F2065" t="s">
        <v>18</v>
      </c>
      <c r="G2065">
        <v>3</v>
      </c>
      <c r="H2065">
        <v>3</v>
      </c>
      <c r="I2065" t="s">
        <v>20</v>
      </c>
      <c r="J2065" t="s">
        <v>19</v>
      </c>
      <c r="K2065">
        <v>1.674061</v>
      </c>
      <c r="L2065" t="s">
        <v>19</v>
      </c>
      <c r="M2065">
        <v>1.683497</v>
      </c>
      <c r="N2065">
        <v>0.78019899999999998</v>
      </c>
      <c r="O2065" t="s">
        <v>20</v>
      </c>
      <c r="P2065" t="s">
        <v>21</v>
      </c>
      <c r="Q2065" t="s">
        <v>35</v>
      </c>
    </row>
    <row r="2066" spans="1:17" x14ac:dyDescent="0.2">
      <c r="A2066" t="s">
        <v>17</v>
      </c>
      <c r="B2066">
        <v>20.978166000000002</v>
      </c>
      <c r="C2066">
        <v>1.7210570000000001</v>
      </c>
      <c r="D2066">
        <v>132.05479299999999</v>
      </c>
      <c r="E2066" t="s">
        <v>18</v>
      </c>
      <c r="F2066" t="s">
        <v>18</v>
      </c>
      <c r="G2066">
        <v>3</v>
      </c>
      <c r="H2066">
        <v>3</v>
      </c>
      <c r="I2066" t="s">
        <v>20</v>
      </c>
      <c r="J2066" t="s">
        <v>19</v>
      </c>
      <c r="K2066">
        <v>1.6787909999999999</v>
      </c>
      <c r="L2066" t="s">
        <v>19</v>
      </c>
      <c r="M2066">
        <v>1.68249</v>
      </c>
      <c r="N2066">
        <v>0.81887100000000002</v>
      </c>
      <c r="O2066" t="s">
        <v>20</v>
      </c>
      <c r="P2066" t="s">
        <v>21</v>
      </c>
      <c r="Q2066" t="s">
        <v>35</v>
      </c>
    </row>
    <row r="2067" spans="1:17" x14ac:dyDescent="0.2">
      <c r="A2067" t="s">
        <v>17</v>
      </c>
      <c r="B2067">
        <v>21.674469999999999</v>
      </c>
      <c r="C2067">
        <v>1.7197800000000001</v>
      </c>
      <c r="D2067">
        <v>132.26255800000001</v>
      </c>
      <c r="E2067" t="s">
        <v>18</v>
      </c>
      <c r="F2067" t="s">
        <v>18</v>
      </c>
      <c r="G2067">
        <v>3</v>
      </c>
      <c r="H2067">
        <v>3</v>
      </c>
      <c r="I2067" t="s">
        <v>20</v>
      </c>
      <c r="J2067" t="s">
        <v>19</v>
      </c>
      <c r="K2067">
        <v>1.7778050000000001</v>
      </c>
      <c r="L2067" t="s">
        <v>19</v>
      </c>
      <c r="M2067">
        <v>1.584716</v>
      </c>
      <c r="N2067">
        <v>0.92734099999999997</v>
      </c>
      <c r="O2067" t="s">
        <v>20</v>
      </c>
      <c r="P2067" t="s">
        <v>21</v>
      </c>
      <c r="Q2067" t="s">
        <v>35</v>
      </c>
    </row>
    <row r="2068" spans="1:17" x14ac:dyDescent="0.2">
      <c r="A2068" t="s">
        <v>17</v>
      </c>
      <c r="B2068">
        <v>21.568950999999998</v>
      </c>
      <c r="C2068">
        <v>1.6993149999999999</v>
      </c>
      <c r="D2068">
        <v>133.10760999999999</v>
      </c>
      <c r="E2068" t="s">
        <v>18</v>
      </c>
      <c r="F2068" t="s">
        <v>18</v>
      </c>
      <c r="G2068">
        <v>3</v>
      </c>
      <c r="H2068">
        <v>3</v>
      </c>
      <c r="I2068" t="s">
        <v>20</v>
      </c>
      <c r="J2068" t="s">
        <v>19</v>
      </c>
      <c r="K2068">
        <v>1.733306</v>
      </c>
      <c r="L2068" t="s">
        <v>19</v>
      </c>
      <c r="M2068">
        <v>1.773304</v>
      </c>
      <c r="N2068">
        <v>0.92113599999999995</v>
      </c>
      <c r="O2068" t="s">
        <v>20</v>
      </c>
      <c r="P2068" t="s">
        <v>21</v>
      </c>
      <c r="Q2068" t="s">
        <v>35</v>
      </c>
    </row>
    <row r="2069" spans="1:17" x14ac:dyDescent="0.2">
      <c r="A2069" t="s">
        <v>17</v>
      </c>
      <c r="B2069">
        <v>23.647935</v>
      </c>
      <c r="C2069">
        <v>1.6813940000000001</v>
      </c>
      <c r="D2069">
        <v>114.47945900000001</v>
      </c>
      <c r="E2069" t="s">
        <v>18</v>
      </c>
      <c r="F2069" t="s">
        <v>18</v>
      </c>
      <c r="G2069">
        <v>3</v>
      </c>
      <c r="H2069">
        <v>3</v>
      </c>
      <c r="I2069" t="s">
        <v>20</v>
      </c>
      <c r="J2069" t="s">
        <v>19</v>
      </c>
      <c r="K2069">
        <v>2.435978</v>
      </c>
      <c r="L2069" t="s">
        <v>19</v>
      </c>
      <c r="M2069">
        <v>0.232742</v>
      </c>
      <c r="N2069">
        <v>0.692608</v>
      </c>
      <c r="O2069" t="s">
        <v>20</v>
      </c>
      <c r="P2069" t="s">
        <v>21</v>
      </c>
      <c r="Q2069" t="s">
        <v>35</v>
      </c>
    </row>
    <row r="2070" spans="1:17" x14ac:dyDescent="0.2">
      <c r="A2070" t="s">
        <v>17</v>
      </c>
      <c r="B2070">
        <v>24.196366999999999</v>
      </c>
      <c r="C2070">
        <v>1.6974210000000001</v>
      </c>
      <c r="D2070">
        <v>114.48238600000001</v>
      </c>
      <c r="E2070" t="s">
        <v>18</v>
      </c>
      <c r="F2070" t="s">
        <v>18</v>
      </c>
      <c r="G2070">
        <v>3</v>
      </c>
      <c r="H2070">
        <v>3</v>
      </c>
      <c r="I2070" t="s">
        <v>20</v>
      </c>
      <c r="J2070" t="s">
        <v>19</v>
      </c>
      <c r="K2070">
        <v>2.909675</v>
      </c>
      <c r="L2070" t="s">
        <v>19</v>
      </c>
      <c r="M2070">
        <v>0.36090800000000001</v>
      </c>
      <c r="N2070">
        <v>0.57388700000000004</v>
      </c>
      <c r="O2070" t="s">
        <v>20</v>
      </c>
      <c r="P2070" t="s">
        <v>21</v>
      </c>
      <c r="Q2070" t="s">
        <v>35</v>
      </c>
    </row>
    <row r="2071" spans="1:17" x14ac:dyDescent="0.2">
      <c r="A2071" t="s">
        <v>17</v>
      </c>
      <c r="B2071">
        <v>24.284832999999999</v>
      </c>
      <c r="C2071">
        <v>1.6507259999999999</v>
      </c>
      <c r="D2071">
        <v>113.774198</v>
      </c>
      <c r="E2071" t="s">
        <v>18</v>
      </c>
      <c r="F2071" t="s">
        <v>18</v>
      </c>
      <c r="G2071">
        <v>3</v>
      </c>
      <c r="H2071">
        <v>3</v>
      </c>
      <c r="I2071" t="s">
        <v>20</v>
      </c>
      <c r="J2071" t="s">
        <v>19</v>
      </c>
      <c r="K2071">
        <v>2.7513700000000001</v>
      </c>
      <c r="L2071" t="s">
        <v>19</v>
      </c>
      <c r="M2071">
        <v>0.32491300000000001</v>
      </c>
      <c r="N2071">
        <v>0.516764</v>
      </c>
      <c r="O2071" t="s">
        <v>20</v>
      </c>
      <c r="P2071" t="s">
        <v>21</v>
      </c>
      <c r="Q2071" t="s">
        <v>35</v>
      </c>
    </row>
    <row r="2072" spans="1:17" x14ac:dyDescent="0.2">
      <c r="A2072" t="s">
        <v>17</v>
      </c>
      <c r="B2072">
        <v>24.693107999999999</v>
      </c>
      <c r="C2072">
        <v>1.6673830000000001</v>
      </c>
      <c r="D2072">
        <v>112.98254900000001</v>
      </c>
      <c r="E2072" t="s">
        <v>18</v>
      </c>
      <c r="F2072" t="s">
        <v>18</v>
      </c>
      <c r="G2072">
        <v>3</v>
      </c>
      <c r="H2072">
        <v>3</v>
      </c>
      <c r="I2072" t="s">
        <v>20</v>
      </c>
      <c r="J2072" t="s">
        <v>19</v>
      </c>
      <c r="K2072">
        <v>2.8879090000000001</v>
      </c>
      <c r="L2072" t="s">
        <v>19</v>
      </c>
      <c r="M2072">
        <v>0.31292300000000001</v>
      </c>
      <c r="N2072">
        <v>0.21099699999999999</v>
      </c>
      <c r="O2072" t="s">
        <v>20</v>
      </c>
      <c r="P2072" t="s">
        <v>21</v>
      </c>
      <c r="Q2072" t="s">
        <v>35</v>
      </c>
    </row>
    <row r="2073" spans="1:17" x14ac:dyDescent="0.2">
      <c r="A2073" t="s">
        <v>17</v>
      </c>
      <c r="B2073">
        <v>18.862264</v>
      </c>
      <c r="C2073">
        <v>1.7462770000000001</v>
      </c>
      <c r="D2073">
        <v>128.705761</v>
      </c>
      <c r="E2073" t="s">
        <v>18</v>
      </c>
      <c r="F2073" t="s">
        <v>18</v>
      </c>
      <c r="G2073">
        <v>3</v>
      </c>
      <c r="H2073">
        <v>3</v>
      </c>
      <c r="I2073" t="s">
        <v>20</v>
      </c>
      <c r="J2073" t="s">
        <v>19</v>
      </c>
      <c r="K2073">
        <v>2.4115820000000001</v>
      </c>
      <c r="L2073" t="s">
        <v>19</v>
      </c>
      <c r="M2073">
        <v>0.98528700000000002</v>
      </c>
      <c r="N2073">
        <v>0.67507600000000001</v>
      </c>
      <c r="O2073" t="s">
        <v>20</v>
      </c>
      <c r="P2073" t="s">
        <v>21</v>
      </c>
      <c r="Q2073" t="s">
        <v>35</v>
      </c>
    </row>
    <row r="2074" spans="1:17" x14ac:dyDescent="0.2">
      <c r="A2074" t="s">
        <v>17</v>
      </c>
      <c r="B2074">
        <v>18.423482</v>
      </c>
      <c r="C2074">
        <v>1.7354609999999999</v>
      </c>
      <c r="D2074">
        <v>126.79817300000001</v>
      </c>
      <c r="E2074" t="s">
        <v>18</v>
      </c>
      <c r="F2074" t="s">
        <v>18</v>
      </c>
      <c r="G2074">
        <v>3</v>
      </c>
      <c r="H2074">
        <v>3</v>
      </c>
      <c r="I2074" t="s">
        <v>20</v>
      </c>
      <c r="J2074" t="s">
        <v>19</v>
      </c>
      <c r="K2074">
        <v>2.38639</v>
      </c>
      <c r="L2074" t="s">
        <v>19</v>
      </c>
      <c r="M2074">
        <v>1.544632</v>
      </c>
      <c r="N2074">
        <v>0.90006699999999995</v>
      </c>
      <c r="O2074" t="s">
        <v>20</v>
      </c>
      <c r="P2074" t="s">
        <v>21</v>
      </c>
      <c r="Q2074" t="s">
        <v>35</v>
      </c>
    </row>
    <row r="2075" spans="1:17" x14ac:dyDescent="0.2">
      <c r="A2075" t="s">
        <v>17</v>
      </c>
      <c r="B2075">
        <v>20.394082000000001</v>
      </c>
      <c r="C2075">
        <v>1.747714</v>
      </c>
      <c r="D2075">
        <v>128.14810800000001</v>
      </c>
      <c r="E2075" t="s">
        <v>18</v>
      </c>
      <c r="F2075" t="s">
        <v>18</v>
      </c>
      <c r="G2075">
        <v>3</v>
      </c>
      <c r="H2075">
        <v>3</v>
      </c>
      <c r="I2075" t="s">
        <v>20</v>
      </c>
      <c r="J2075" t="s">
        <v>19</v>
      </c>
      <c r="K2075">
        <v>2.2326009999999998</v>
      </c>
      <c r="L2075" t="s">
        <v>19</v>
      </c>
      <c r="M2075">
        <v>0.55432300000000001</v>
      </c>
      <c r="N2075">
        <v>0.83615099999999998</v>
      </c>
      <c r="O2075" t="s">
        <v>20</v>
      </c>
      <c r="P2075" t="s">
        <v>21</v>
      </c>
      <c r="Q2075" t="s">
        <v>35</v>
      </c>
    </row>
    <row r="2076" spans="1:17" x14ac:dyDescent="0.2">
      <c r="A2076" t="s">
        <v>17</v>
      </c>
      <c r="B2076">
        <v>20.217015</v>
      </c>
      <c r="C2076">
        <v>1.7158199999999999</v>
      </c>
      <c r="D2076">
        <v>129.46654100000001</v>
      </c>
      <c r="E2076" t="s">
        <v>18</v>
      </c>
      <c r="F2076" t="s">
        <v>18</v>
      </c>
      <c r="G2076">
        <v>3</v>
      </c>
      <c r="H2076">
        <v>3</v>
      </c>
      <c r="I2076" t="s">
        <v>20</v>
      </c>
      <c r="J2076" t="s">
        <v>19</v>
      </c>
      <c r="K2076">
        <v>1.7559070000000001</v>
      </c>
      <c r="L2076" t="s">
        <v>19</v>
      </c>
      <c r="M2076">
        <v>1.4880899999999999</v>
      </c>
      <c r="N2076">
        <v>0.85771799999999998</v>
      </c>
      <c r="O2076" t="s">
        <v>20</v>
      </c>
      <c r="P2076" t="s">
        <v>21</v>
      </c>
      <c r="Q2076" t="s">
        <v>35</v>
      </c>
    </row>
    <row r="2077" spans="1:17" x14ac:dyDescent="0.2">
      <c r="A2077" t="s">
        <v>17</v>
      </c>
      <c r="B2077">
        <v>21.330178</v>
      </c>
      <c r="C2077">
        <v>1.747987</v>
      </c>
      <c r="D2077">
        <v>147.29618600000001</v>
      </c>
      <c r="E2077" t="s">
        <v>18</v>
      </c>
      <c r="F2077" t="s">
        <v>18</v>
      </c>
      <c r="G2077">
        <v>3</v>
      </c>
      <c r="H2077">
        <v>3</v>
      </c>
      <c r="I2077" t="s">
        <v>20</v>
      </c>
      <c r="J2077" t="s">
        <v>19</v>
      </c>
      <c r="K2077">
        <v>2.3363489999999998</v>
      </c>
      <c r="L2077" t="s">
        <v>19</v>
      </c>
      <c r="M2077">
        <v>1.4164000000000001</v>
      </c>
      <c r="N2077">
        <v>0.71172400000000002</v>
      </c>
      <c r="O2077" t="s">
        <v>20</v>
      </c>
      <c r="P2077" t="s">
        <v>21</v>
      </c>
      <c r="Q2077" t="s">
        <v>35</v>
      </c>
    </row>
    <row r="2078" spans="1:17" x14ac:dyDescent="0.2">
      <c r="A2078" t="s">
        <v>17</v>
      </c>
      <c r="B2078">
        <v>19.528936000000002</v>
      </c>
      <c r="C2078">
        <v>1.817917</v>
      </c>
      <c r="D2078">
        <v>142.55916099999999</v>
      </c>
      <c r="E2078" t="s">
        <v>18</v>
      </c>
      <c r="F2078" t="s">
        <v>18</v>
      </c>
      <c r="G2078">
        <v>3</v>
      </c>
      <c r="H2078">
        <v>3</v>
      </c>
      <c r="I2078" t="s">
        <v>20</v>
      </c>
      <c r="J2078" t="s">
        <v>19</v>
      </c>
      <c r="K2078">
        <v>2.5620020000000001</v>
      </c>
      <c r="L2078" t="s">
        <v>19</v>
      </c>
      <c r="M2078">
        <v>1.9764269999999999</v>
      </c>
      <c r="N2078">
        <v>0.74033099999999996</v>
      </c>
      <c r="O2078" t="s">
        <v>20</v>
      </c>
      <c r="P2078" t="s">
        <v>21</v>
      </c>
      <c r="Q2078" t="s">
        <v>35</v>
      </c>
    </row>
    <row r="2079" spans="1:17" x14ac:dyDescent="0.2">
      <c r="A2079" t="s">
        <v>17</v>
      </c>
      <c r="B2079">
        <v>19.364339000000001</v>
      </c>
      <c r="C2079">
        <v>1.8083499999999999</v>
      </c>
      <c r="D2079">
        <v>150.51648</v>
      </c>
      <c r="E2079" t="s">
        <v>18</v>
      </c>
      <c r="F2079" t="s">
        <v>18</v>
      </c>
      <c r="G2079">
        <v>3</v>
      </c>
      <c r="H2079">
        <v>3</v>
      </c>
      <c r="I2079" t="s">
        <v>20</v>
      </c>
      <c r="J2079" t="s">
        <v>19</v>
      </c>
      <c r="K2079">
        <v>2.305574</v>
      </c>
      <c r="L2079" t="s">
        <v>19</v>
      </c>
      <c r="M2079">
        <v>1.734424</v>
      </c>
      <c r="N2079">
        <v>0.863043</v>
      </c>
      <c r="O2079" t="s">
        <v>20</v>
      </c>
      <c r="P2079" t="s">
        <v>21</v>
      </c>
      <c r="Q2079" t="s">
        <v>35</v>
      </c>
    </row>
    <row r="2080" spans="1:17" x14ac:dyDescent="0.2">
      <c r="A2080" t="s">
        <v>17</v>
      </c>
      <c r="B2080">
        <v>21.131526000000001</v>
      </c>
      <c r="C2080">
        <v>1.739457</v>
      </c>
      <c r="D2080">
        <v>150.37756999999999</v>
      </c>
      <c r="E2080" t="s">
        <v>18</v>
      </c>
      <c r="F2080" t="s">
        <v>18</v>
      </c>
      <c r="G2080">
        <v>3</v>
      </c>
      <c r="H2080">
        <v>3</v>
      </c>
      <c r="I2080" t="s">
        <v>20</v>
      </c>
      <c r="J2080" t="s">
        <v>19</v>
      </c>
      <c r="K2080">
        <v>2.319912</v>
      </c>
      <c r="L2080" t="s">
        <v>19</v>
      </c>
      <c r="M2080">
        <v>1.5826750000000001</v>
      </c>
      <c r="N2080">
        <v>0.68074599999999996</v>
      </c>
      <c r="O2080" t="s">
        <v>20</v>
      </c>
      <c r="P2080" t="s">
        <v>21</v>
      </c>
      <c r="Q2080" t="s">
        <v>35</v>
      </c>
    </row>
    <row r="2081" spans="1:17" x14ac:dyDescent="0.2">
      <c r="A2081" t="s">
        <v>17</v>
      </c>
      <c r="B2081">
        <v>19.012872000000002</v>
      </c>
      <c r="C2081">
        <v>1.742062</v>
      </c>
      <c r="D2081">
        <v>133.77991900000001</v>
      </c>
      <c r="E2081" t="s">
        <v>18</v>
      </c>
      <c r="F2081" t="s">
        <v>18</v>
      </c>
      <c r="G2081">
        <v>3</v>
      </c>
      <c r="H2081">
        <v>3</v>
      </c>
      <c r="I2081" t="s">
        <v>20</v>
      </c>
      <c r="J2081" t="s">
        <v>19</v>
      </c>
      <c r="K2081">
        <v>2.7019600000000001</v>
      </c>
      <c r="L2081" t="s">
        <v>19</v>
      </c>
      <c r="M2081">
        <v>1.4659089999999999</v>
      </c>
      <c r="N2081">
        <v>0.81323500000000004</v>
      </c>
      <c r="O2081" t="s">
        <v>20</v>
      </c>
      <c r="P2081" t="s">
        <v>21</v>
      </c>
      <c r="Q2081" t="s">
        <v>35</v>
      </c>
    </row>
    <row r="2082" spans="1:17" x14ac:dyDescent="0.2">
      <c r="A2082" t="s">
        <v>17</v>
      </c>
      <c r="B2082">
        <v>18.469086000000001</v>
      </c>
      <c r="C2082">
        <v>1.7419249999999999</v>
      </c>
      <c r="D2082">
        <v>133.01710499999999</v>
      </c>
      <c r="E2082" t="s">
        <v>18</v>
      </c>
      <c r="F2082" t="s">
        <v>18</v>
      </c>
      <c r="G2082">
        <v>3</v>
      </c>
      <c r="H2082">
        <v>3</v>
      </c>
      <c r="I2082" t="s">
        <v>20</v>
      </c>
      <c r="J2082" t="s">
        <v>19</v>
      </c>
      <c r="K2082">
        <v>2.4745180000000002</v>
      </c>
      <c r="L2082" t="s">
        <v>19</v>
      </c>
      <c r="M2082">
        <v>1.5602609999999999</v>
      </c>
      <c r="N2082">
        <v>0.66248899999999999</v>
      </c>
      <c r="O2082" t="s">
        <v>20</v>
      </c>
      <c r="P2082" t="s">
        <v>21</v>
      </c>
      <c r="Q2082" t="s">
        <v>35</v>
      </c>
    </row>
    <row r="2083" spans="1:17" x14ac:dyDescent="0.2">
      <c r="A2083" t="s">
        <v>17</v>
      </c>
      <c r="B2083">
        <v>21.572113999999999</v>
      </c>
      <c r="C2083">
        <v>1.7510669999999999</v>
      </c>
      <c r="D2083">
        <v>133.84506400000001</v>
      </c>
      <c r="E2083" t="s">
        <v>18</v>
      </c>
      <c r="F2083" t="s">
        <v>18</v>
      </c>
      <c r="G2083">
        <v>3</v>
      </c>
      <c r="H2083">
        <v>3</v>
      </c>
      <c r="I2083" t="s">
        <v>20</v>
      </c>
      <c r="J2083" t="s">
        <v>19</v>
      </c>
      <c r="K2083">
        <v>2.7485689999999998</v>
      </c>
      <c r="L2083" t="s">
        <v>19</v>
      </c>
      <c r="M2083">
        <v>1.4270370000000001</v>
      </c>
      <c r="N2083">
        <v>0.90282499999999999</v>
      </c>
      <c r="O2083" t="s">
        <v>20</v>
      </c>
      <c r="P2083" t="s">
        <v>21</v>
      </c>
      <c r="Q2083" t="s">
        <v>35</v>
      </c>
    </row>
    <row r="2084" spans="1:17" x14ac:dyDescent="0.2">
      <c r="A2084" t="s">
        <v>17</v>
      </c>
      <c r="B2084">
        <v>21.680122999999998</v>
      </c>
      <c r="C2084">
        <v>1.749118</v>
      </c>
      <c r="D2084">
        <v>133.95509100000001</v>
      </c>
      <c r="E2084" t="s">
        <v>18</v>
      </c>
      <c r="F2084" t="s">
        <v>18</v>
      </c>
      <c r="G2084">
        <v>3</v>
      </c>
      <c r="H2084">
        <v>3</v>
      </c>
      <c r="I2084" t="s">
        <v>20</v>
      </c>
      <c r="J2084" t="s">
        <v>19</v>
      </c>
      <c r="K2084">
        <v>2.8277730000000001</v>
      </c>
      <c r="L2084" t="s">
        <v>19</v>
      </c>
      <c r="M2084">
        <v>1.4123570000000001</v>
      </c>
      <c r="N2084">
        <v>0.90107099999999996</v>
      </c>
      <c r="O2084" t="s">
        <v>20</v>
      </c>
      <c r="P2084" t="s">
        <v>21</v>
      </c>
      <c r="Q2084" t="s">
        <v>35</v>
      </c>
    </row>
    <row r="2085" spans="1:17" x14ac:dyDescent="0.2">
      <c r="A2085" t="s">
        <v>17</v>
      </c>
      <c r="B2085">
        <v>24.469756</v>
      </c>
      <c r="C2085">
        <v>1.663341</v>
      </c>
      <c r="D2085">
        <v>113.077187</v>
      </c>
      <c r="E2085" t="s">
        <v>18</v>
      </c>
      <c r="F2085" t="s">
        <v>18</v>
      </c>
      <c r="G2085">
        <v>3</v>
      </c>
      <c r="H2085">
        <v>3</v>
      </c>
      <c r="I2085" t="s">
        <v>20</v>
      </c>
      <c r="J2085" t="s">
        <v>19</v>
      </c>
      <c r="K2085">
        <v>2.6322239999999999</v>
      </c>
      <c r="L2085" t="s">
        <v>19</v>
      </c>
      <c r="M2085">
        <v>0.30096400000000001</v>
      </c>
      <c r="N2085">
        <v>0.26956000000000002</v>
      </c>
      <c r="O2085" t="s">
        <v>20</v>
      </c>
      <c r="P2085" t="s">
        <v>21</v>
      </c>
      <c r="Q2085" t="s">
        <v>35</v>
      </c>
    </row>
    <row r="2086" spans="1:17" x14ac:dyDescent="0.2">
      <c r="A2086" t="s">
        <v>17</v>
      </c>
      <c r="B2086">
        <v>25.12791</v>
      </c>
      <c r="C2086">
        <v>1.6685369999999999</v>
      </c>
      <c r="D2086">
        <v>112.55545600000001</v>
      </c>
      <c r="E2086" t="s">
        <v>18</v>
      </c>
      <c r="F2086" t="s">
        <v>18</v>
      </c>
      <c r="G2086">
        <v>3</v>
      </c>
      <c r="H2086">
        <v>3</v>
      </c>
      <c r="I2086" t="s">
        <v>20</v>
      </c>
      <c r="J2086" t="s">
        <v>19</v>
      </c>
      <c r="K2086">
        <v>2.8686790000000002</v>
      </c>
      <c r="L2086" t="s">
        <v>19</v>
      </c>
      <c r="M2086">
        <v>0.115369</v>
      </c>
      <c r="N2086">
        <v>2.8583000000000001E-2</v>
      </c>
      <c r="O2086" t="s">
        <v>20</v>
      </c>
      <c r="P2086" t="s">
        <v>21</v>
      </c>
      <c r="Q2086" t="s">
        <v>35</v>
      </c>
    </row>
    <row r="2087" spans="1:17" x14ac:dyDescent="0.2">
      <c r="A2087" t="s">
        <v>17</v>
      </c>
      <c r="B2087">
        <v>25.986367999999999</v>
      </c>
      <c r="C2087">
        <v>1.6689510000000001</v>
      </c>
      <c r="D2087">
        <v>112.24969900000001</v>
      </c>
      <c r="E2087" t="s">
        <v>18</v>
      </c>
      <c r="F2087" t="s">
        <v>18</v>
      </c>
      <c r="G2087">
        <v>3</v>
      </c>
      <c r="H2087">
        <v>3</v>
      </c>
      <c r="I2087" t="s">
        <v>20</v>
      </c>
      <c r="J2087" t="s">
        <v>19</v>
      </c>
      <c r="K2087">
        <v>2.9301370000000002</v>
      </c>
      <c r="L2087" t="s">
        <v>19</v>
      </c>
      <c r="M2087">
        <v>4.3101E-2</v>
      </c>
      <c r="N2087">
        <v>0.138629</v>
      </c>
      <c r="O2087" t="s">
        <v>20</v>
      </c>
      <c r="P2087" t="s">
        <v>21</v>
      </c>
      <c r="Q2087" t="s">
        <v>35</v>
      </c>
    </row>
    <row r="2088" spans="1:17" x14ac:dyDescent="0.2">
      <c r="A2088" t="s">
        <v>17</v>
      </c>
      <c r="B2088">
        <v>25.951979000000001</v>
      </c>
      <c r="C2088">
        <v>1.6617120000000001</v>
      </c>
      <c r="D2088">
        <v>112.09861600000001</v>
      </c>
      <c r="E2088" t="s">
        <v>18</v>
      </c>
      <c r="F2088" t="s">
        <v>18</v>
      </c>
      <c r="G2088">
        <v>3</v>
      </c>
      <c r="H2088">
        <v>3</v>
      </c>
      <c r="I2088" t="s">
        <v>20</v>
      </c>
      <c r="J2088" t="s">
        <v>19</v>
      </c>
      <c r="K2088">
        <v>2.9618989999999998</v>
      </c>
      <c r="L2088" t="s">
        <v>19</v>
      </c>
      <c r="M2088">
        <v>0.25942399999999999</v>
      </c>
      <c r="N2088">
        <v>8.0128000000000005E-2</v>
      </c>
      <c r="O2088" t="s">
        <v>20</v>
      </c>
      <c r="P2088" t="s">
        <v>21</v>
      </c>
      <c r="Q2088" t="s">
        <v>35</v>
      </c>
    </row>
    <row r="2089" spans="1:17" x14ac:dyDescent="0.2">
      <c r="A2089" t="s">
        <v>17</v>
      </c>
      <c r="B2089">
        <v>26</v>
      </c>
      <c r="C2089">
        <v>1.6334420000000001</v>
      </c>
      <c r="D2089">
        <v>111.821817</v>
      </c>
      <c r="E2089" t="s">
        <v>18</v>
      </c>
      <c r="F2089" t="s">
        <v>18</v>
      </c>
      <c r="G2089">
        <v>3</v>
      </c>
      <c r="H2089">
        <v>3</v>
      </c>
      <c r="I2089" t="s">
        <v>20</v>
      </c>
      <c r="J2089" t="s">
        <v>19</v>
      </c>
      <c r="K2089">
        <v>2.5506720000000001</v>
      </c>
      <c r="L2089" t="s">
        <v>19</v>
      </c>
      <c r="M2089">
        <v>0</v>
      </c>
      <c r="N2089">
        <v>0.22465499999999999</v>
      </c>
      <c r="O2089" t="s">
        <v>20</v>
      </c>
      <c r="P2089" t="s">
        <v>21</v>
      </c>
      <c r="Q2089" t="s">
        <v>35</v>
      </c>
    </row>
    <row r="2090" spans="1:17" x14ac:dyDescent="0.2">
      <c r="A2090" t="s">
        <v>17</v>
      </c>
      <c r="B2090">
        <v>26</v>
      </c>
      <c r="C2090">
        <v>1.6330199999999999</v>
      </c>
      <c r="D2090">
        <v>111.863186</v>
      </c>
      <c r="E2090" t="s">
        <v>18</v>
      </c>
      <c r="F2090" t="s">
        <v>18</v>
      </c>
      <c r="G2090">
        <v>3</v>
      </c>
      <c r="H2090">
        <v>3</v>
      </c>
      <c r="I2090" t="s">
        <v>20</v>
      </c>
      <c r="J2090" t="s">
        <v>19</v>
      </c>
      <c r="K2090">
        <v>2.5843050000000001</v>
      </c>
      <c r="L2090" t="s">
        <v>19</v>
      </c>
      <c r="M2090">
        <v>0</v>
      </c>
      <c r="N2090">
        <v>0.23210800000000001</v>
      </c>
      <c r="O2090" t="s">
        <v>20</v>
      </c>
      <c r="P2090" t="s">
        <v>21</v>
      </c>
      <c r="Q2090" t="s">
        <v>35</v>
      </c>
    </row>
    <row r="2091" spans="1:17" x14ac:dyDescent="0.2">
      <c r="A2091" t="s">
        <v>17</v>
      </c>
      <c r="B2091">
        <v>26</v>
      </c>
      <c r="C2091">
        <v>1.6338870000000001</v>
      </c>
      <c r="D2091">
        <v>111.87813199999999</v>
      </c>
      <c r="E2091" t="s">
        <v>18</v>
      </c>
      <c r="F2091" t="s">
        <v>18</v>
      </c>
      <c r="G2091">
        <v>3</v>
      </c>
      <c r="H2091">
        <v>3</v>
      </c>
      <c r="I2091" t="s">
        <v>20</v>
      </c>
      <c r="J2091" t="s">
        <v>19</v>
      </c>
      <c r="K2091">
        <v>2.6219760000000001</v>
      </c>
      <c r="L2091" t="s">
        <v>19</v>
      </c>
      <c r="M2091">
        <v>0</v>
      </c>
      <c r="N2091">
        <v>0.123861</v>
      </c>
      <c r="O2091" t="s">
        <v>20</v>
      </c>
      <c r="P2091" t="s">
        <v>21</v>
      </c>
      <c r="Q2091" t="s">
        <v>35</v>
      </c>
    </row>
    <row r="2092" spans="1:17" x14ac:dyDescent="0.2">
      <c r="A2092" t="s">
        <v>17</v>
      </c>
      <c r="B2092">
        <v>26</v>
      </c>
      <c r="C2092">
        <v>1.643421</v>
      </c>
      <c r="D2092">
        <v>111.939983</v>
      </c>
      <c r="E2092" t="s">
        <v>18</v>
      </c>
      <c r="F2092" t="s">
        <v>18</v>
      </c>
      <c r="G2092">
        <v>3</v>
      </c>
      <c r="H2092">
        <v>3</v>
      </c>
      <c r="I2092" t="s">
        <v>20</v>
      </c>
      <c r="J2092" t="s">
        <v>19</v>
      </c>
      <c r="K2092">
        <v>2.7222759999999999</v>
      </c>
      <c r="L2092" t="s">
        <v>19</v>
      </c>
      <c r="M2092">
        <v>0</v>
      </c>
      <c r="N2092">
        <v>9.1711000000000001E-2</v>
      </c>
      <c r="O2092" t="s">
        <v>20</v>
      </c>
      <c r="P2092" t="s">
        <v>21</v>
      </c>
      <c r="Q2092" t="s">
        <v>35</v>
      </c>
    </row>
    <row r="2093" spans="1:17" x14ac:dyDescent="0.2">
      <c r="A2093" t="s">
        <v>17</v>
      </c>
      <c r="B2093">
        <v>26</v>
      </c>
      <c r="C2093">
        <v>1.6405350000000001</v>
      </c>
      <c r="D2093">
        <v>111.555967</v>
      </c>
      <c r="E2093" t="s">
        <v>18</v>
      </c>
      <c r="F2093" t="s">
        <v>18</v>
      </c>
      <c r="G2093">
        <v>3</v>
      </c>
      <c r="H2093">
        <v>3</v>
      </c>
      <c r="I2093" t="s">
        <v>20</v>
      </c>
      <c r="J2093" t="s">
        <v>19</v>
      </c>
      <c r="K2093">
        <v>2.6343420000000002</v>
      </c>
      <c r="L2093" t="s">
        <v>19</v>
      </c>
      <c r="M2093">
        <v>0</v>
      </c>
      <c r="N2093">
        <v>0.17830099999999999</v>
      </c>
      <c r="O2093" t="s">
        <v>20</v>
      </c>
      <c r="P2093" t="s">
        <v>21</v>
      </c>
      <c r="Q2093" t="s">
        <v>35</v>
      </c>
    </row>
    <row r="2094" spans="1:17" x14ac:dyDescent="0.2">
      <c r="A2094" t="s">
        <v>17</v>
      </c>
      <c r="B2094">
        <v>26</v>
      </c>
      <c r="C2094">
        <v>1.6264829999999999</v>
      </c>
      <c r="D2094">
        <v>111.357062</v>
      </c>
      <c r="E2094" t="s">
        <v>18</v>
      </c>
      <c r="F2094" t="s">
        <v>18</v>
      </c>
      <c r="G2094">
        <v>3</v>
      </c>
      <c r="H2094">
        <v>3</v>
      </c>
      <c r="I2094" t="s">
        <v>20</v>
      </c>
      <c r="J2094" t="s">
        <v>19</v>
      </c>
      <c r="K2094">
        <v>2.6193900000000001</v>
      </c>
      <c r="L2094" t="s">
        <v>19</v>
      </c>
      <c r="M2094">
        <v>0</v>
      </c>
      <c r="N2094">
        <v>0.17103399999999999</v>
      </c>
      <c r="O2094" t="s">
        <v>20</v>
      </c>
      <c r="P2094" t="s">
        <v>21</v>
      </c>
      <c r="Q2094" t="s">
        <v>35</v>
      </c>
    </row>
    <row r="2095" spans="1:17" x14ac:dyDescent="0.2">
      <c r="A2095" t="s">
        <v>17</v>
      </c>
      <c r="B2095">
        <v>26</v>
      </c>
      <c r="C2095">
        <v>1.6459900000000001</v>
      </c>
      <c r="D2095">
        <v>111.92249099999999</v>
      </c>
      <c r="E2095" t="s">
        <v>18</v>
      </c>
      <c r="F2095" t="s">
        <v>18</v>
      </c>
      <c r="G2095">
        <v>3</v>
      </c>
      <c r="H2095">
        <v>3</v>
      </c>
      <c r="I2095" t="s">
        <v>20</v>
      </c>
      <c r="J2095" t="s">
        <v>19</v>
      </c>
      <c r="K2095">
        <v>2.7867799999999998</v>
      </c>
      <c r="L2095" t="s">
        <v>19</v>
      </c>
      <c r="M2095">
        <v>0</v>
      </c>
      <c r="N2095">
        <v>9.776E-2</v>
      </c>
      <c r="O2095" t="s">
        <v>20</v>
      </c>
      <c r="P2095" t="s">
        <v>21</v>
      </c>
      <c r="Q2095" t="s">
        <v>35</v>
      </c>
    </row>
    <row r="2096" spans="1:17" x14ac:dyDescent="0.2">
      <c r="A2096" t="s">
        <v>17</v>
      </c>
      <c r="B2096">
        <v>26</v>
      </c>
      <c r="C2096">
        <v>1.6438919999999999</v>
      </c>
      <c r="D2096">
        <v>111.884535</v>
      </c>
      <c r="E2096" t="s">
        <v>18</v>
      </c>
      <c r="F2096" t="s">
        <v>18</v>
      </c>
      <c r="G2096">
        <v>3</v>
      </c>
      <c r="H2096">
        <v>3</v>
      </c>
      <c r="I2096" t="s">
        <v>20</v>
      </c>
      <c r="J2096" t="s">
        <v>19</v>
      </c>
      <c r="K2096">
        <v>2.768141</v>
      </c>
      <c r="L2096" t="s">
        <v>19</v>
      </c>
      <c r="M2096">
        <v>0</v>
      </c>
      <c r="N2096">
        <v>9.4213000000000005E-2</v>
      </c>
      <c r="O2096" t="s">
        <v>20</v>
      </c>
      <c r="P2096" t="s">
        <v>21</v>
      </c>
      <c r="Q2096" t="s">
        <v>35</v>
      </c>
    </row>
    <row r="2097" spans="1:17" x14ac:dyDescent="0.2">
      <c r="A2097" t="s">
        <v>17</v>
      </c>
      <c r="B2097">
        <v>25.977309999999999</v>
      </c>
      <c r="C2097">
        <v>1.6178170000000001</v>
      </c>
      <c r="D2097">
        <v>104.950776</v>
      </c>
      <c r="E2097" t="s">
        <v>18</v>
      </c>
      <c r="F2097" t="s">
        <v>18</v>
      </c>
      <c r="G2097">
        <v>3</v>
      </c>
      <c r="H2097">
        <v>3</v>
      </c>
      <c r="I2097" t="s">
        <v>20</v>
      </c>
      <c r="J2097" t="s">
        <v>19</v>
      </c>
      <c r="K2097">
        <v>1.7165900000000001</v>
      </c>
      <c r="L2097" t="s">
        <v>19</v>
      </c>
      <c r="M2097">
        <v>1.2719999999999999E-3</v>
      </c>
      <c r="N2097">
        <v>0.54599299999999995</v>
      </c>
      <c r="O2097" t="s">
        <v>20</v>
      </c>
      <c r="P2097" t="s">
        <v>21</v>
      </c>
      <c r="Q2097" t="s">
        <v>35</v>
      </c>
    </row>
    <row r="2098" spans="1:17" x14ac:dyDescent="0.2">
      <c r="A2098" t="s">
        <v>17</v>
      </c>
      <c r="B2098">
        <v>25.955013999999998</v>
      </c>
      <c r="C2098">
        <v>1.626449</v>
      </c>
      <c r="D2098">
        <v>104.87960200000001</v>
      </c>
      <c r="E2098" t="s">
        <v>18</v>
      </c>
      <c r="F2098" t="s">
        <v>18</v>
      </c>
      <c r="G2098">
        <v>3</v>
      </c>
      <c r="H2098">
        <v>3</v>
      </c>
      <c r="I2098" t="s">
        <v>20</v>
      </c>
      <c r="J2098" t="s">
        <v>19</v>
      </c>
      <c r="K2098">
        <v>2.0949010000000001</v>
      </c>
      <c r="L2098" t="s">
        <v>19</v>
      </c>
      <c r="M2098">
        <v>7.0889999999999995E-2</v>
      </c>
      <c r="N2098">
        <v>0.599441</v>
      </c>
      <c r="O2098" t="s">
        <v>20</v>
      </c>
      <c r="P2098" t="s">
        <v>21</v>
      </c>
      <c r="Q2098" t="s">
        <v>35</v>
      </c>
    </row>
    <row r="2099" spans="1:17" x14ac:dyDescent="0.2">
      <c r="A2099" t="s">
        <v>17</v>
      </c>
      <c r="B2099">
        <v>25.996715999999999</v>
      </c>
      <c r="C2099">
        <v>1.6265799999999999</v>
      </c>
      <c r="D2099">
        <v>105.03720300000001</v>
      </c>
      <c r="E2099" t="s">
        <v>18</v>
      </c>
      <c r="F2099" t="s">
        <v>18</v>
      </c>
      <c r="G2099">
        <v>3</v>
      </c>
      <c r="H2099">
        <v>3</v>
      </c>
      <c r="I2099" t="s">
        <v>20</v>
      </c>
      <c r="J2099" t="s">
        <v>19</v>
      </c>
      <c r="K2099">
        <v>2.3473220000000001</v>
      </c>
      <c r="L2099" t="s">
        <v>19</v>
      </c>
      <c r="M2099">
        <v>8.0129999999999993E-3</v>
      </c>
      <c r="N2099">
        <v>0.50389600000000001</v>
      </c>
      <c r="O2099" t="s">
        <v>20</v>
      </c>
      <c r="P2099" t="s">
        <v>21</v>
      </c>
      <c r="Q2099" t="s">
        <v>35</v>
      </c>
    </row>
    <row r="2100" spans="1:17" x14ac:dyDescent="0.2">
      <c r="A2100" t="s">
        <v>17</v>
      </c>
      <c r="B2100">
        <v>25.992348</v>
      </c>
      <c r="C2100">
        <v>1.606474</v>
      </c>
      <c r="D2100">
        <v>104.954291</v>
      </c>
      <c r="E2100" t="s">
        <v>18</v>
      </c>
      <c r="F2100" t="s">
        <v>18</v>
      </c>
      <c r="G2100">
        <v>3</v>
      </c>
      <c r="H2100">
        <v>3</v>
      </c>
      <c r="I2100" t="s">
        <v>20</v>
      </c>
      <c r="J2100" t="s">
        <v>19</v>
      </c>
      <c r="K2100">
        <v>2.3311229999999998</v>
      </c>
      <c r="L2100" t="s">
        <v>19</v>
      </c>
      <c r="M2100">
        <v>6.3382999999999995E-2</v>
      </c>
      <c r="N2100">
        <v>0.56166099999999997</v>
      </c>
      <c r="O2100" t="s">
        <v>20</v>
      </c>
      <c r="P2100" t="s">
        <v>21</v>
      </c>
      <c r="Q2100" t="s">
        <v>35</v>
      </c>
    </row>
    <row r="2101" spans="1:17" x14ac:dyDescent="0.2">
      <c r="A2101" t="s">
        <v>17</v>
      </c>
      <c r="B2101">
        <v>25.974446</v>
      </c>
      <c r="C2101">
        <v>1.6288549999999999</v>
      </c>
      <c r="D2101">
        <v>108.090006</v>
      </c>
      <c r="E2101" t="s">
        <v>18</v>
      </c>
      <c r="F2101" t="s">
        <v>18</v>
      </c>
      <c r="G2101">
        <v>3</v>
      </c>
      <c r="H2101">
        <v>3</v>
      </c>
      <c r="I2101" t="s">
        <v>20</v>
      </c>
      <c r="J2101" t="s">
        <v>19</v>
      </c>
      <c r="K2101">
        <v>1.7571049999999999</v>
      </c>
      <c r="L2101" t="s">
        <v>19</v>
      </c>
      <c r="M2101">
        <v>8.5119E-2</v>
      </c>
      <c r="N2101">
        <v>0.46544400000000002</v>
      </c>
      <c r="O2101" t="s">
        <v>20</v>
      </c>
      <c r="P2101" t="s">
        <v>21</v>
      </c>
      <c r="Q2101" t="s">
        <v>35</v>
      </c>
    </row>
    <row r="2102" spans="1:17" x14ac:dyDescent="0.2">
      <c r="A2102" t="s">
        <v>17</v>
      </c>
      <c r="B2102">
        <v>25.777564999999999</v>
      </c>
      <c r="C2102">
        <v>1.6282049999999999</v>
      </c>
      <c r="D2102">
        <v>107.378702</v>
      </c>
      <c r="E2102" t="s">
        <v>18</v>
      </c>
      <c r="F2102" t="s">
        <v>18</v>
      </c>
      <c r="G2102">
        <v>3</v>
      </c>
      <c r="H2102">
        <v>3</v>
      </c>
      <c r="I2102" t="s">
        <v>20</v>
      </c>
      <c r="J2102" t="s">
        <v>19</v>
      </c>
      <c r="K2102">
        <v>2.5066310000000001</v>
      </c>
      <c r="L2102" t="s">
        <v>19</v>
      </c>
      <c r="M2102">
        <v>2.5787000000000001E-2</v>
      </c>
      <c r="N2102">
        <v>0.48416500000000001</v>
      </c>
      <c r="O2102" t="s">
        <v>20</v>
      </c>
      <c r="P2102" t="s">
        <v>21</v>
      </c>
      <c r="Q2102" t="s">
        <v>35</v>
      </c>
    </row>
    <row r="2103" spans="1:17" x14ac:dyDescent="0.2">
      <c r="A2103" t="s">
        <v>17</v>
      </c>
      <c r="B2103">
        <v>25.722003999999998</v>
      </c>
      <c r="C2103">
        <v>1.6284700000000001</v>
      </c>
      <c r="D2103">
        <v>107.21894899999999</v>
      </c>
      <c r="E2103" t="s">
        <v>18</v>
      </c>
      <c r="F2103" t="s">
        <v>18</v>
      </c>
      <c r="G2103">
        <v>3</v>
      </c>
      <c r="H2103">
        <v>3</v>
      </c>
      <c r="I2103" t="s">
        <v>20</v>
      </c>
      <c r="J2103" t="s">
        <v>19</v>
      </c>
      <c r="K2103">
        <v>2.4870700000000001</v>
      </c>
      <c r="L2103" t="s">
        <v>19</v>
      </c>
      <c r="M2103">
        <v>6.7329E-2</v>
      </c>
      <c r="N2103">
        <v>0.45582299999999998</v>
      </c>
      <c r="O2103" t="s">
        <v>20</v>
      </c>
      <c r="P2103" t="s">
        <v>21</v>
      </c>
      <c r="Q2103" t="s">
        <v>35</v>
      </c>
    </row>
    <row r="2104" spans="1:17" x14ac:dyDescent="0.2">
      <c r="A2104" t="s">
        <v>17</v>
      </c>
      <c r="B2104">
        <v>25.765628</v>
      </c>
      <c r="C2104">
        <v>1.627839</v>
      </c>
      <c r="D2104">
        <v>108.10736</v>
      </c>
      <c r="E2104" t="s">
        <v>18</v>
      </c>
      <c r="F2104" t="s">
        <v>18</v>
      </c>
      <c r="G2104">
        <v>3</v>
      </c>
      <c r="H2104">
        <v>3</v>
      </c>
      <c r="I2104" t="s">
        <v>20</v>
      </c>
      <c r="J2104" t="s">
        <v>19</v>
      </c>
      <c r="K2104">
        <v>2.320068</v>
      </c>
      <c r="L2104" t="s">
        <v>19</v>
      </c>
      <c r="M2104">
        <v>4.5246000000000001E-2</v>
      </c>
      <c r="N2104">
        <v>0.41310599999999997</v>
      </c>
      <c r="O2104" t="s">
        <v>20</v>
      </c>
      <c r="P2104" t="s">
        <v>21</v>
      </c>
      <c r="Q2104" t="s">
        <v>35</v>
      </c>
    </row>
    <row r="2105" spans="1:17" x14ac:dyDescent="0.2">
      <c r="A2105" t="s">
        <v>17</v>
      </c>
      <c r="B2105">
        <v>21.016849000000001</v>
      </c>
      <c r="C2105">
        <v>1.7242679999999999</v>
      </c>
      <c r="D2105">
        <v>133.033523</v>
      </c>
      <c r="E2105" t="s">
        <v>18</v>
      </c>
      <c r="F2105" t="s">
        <v>18</v>
      </c>
      <c r="G2105">
        <v>3</v>
      </c>
      <c r="H2105">
        <v>3</v>
      </c>
      <c r="I2105" t="s">
        <v>20</v>
      </c>
      <c r="J2105" t="s">
        <v>19</v>
      </c>
      <c r="K2105">
        <v>1.650612</v>
      </c>
      <c r="L2105" t="s">
        <v>19</v>
      </c>
      <c r="M2105">
        <v>1.537639</v>
      </c>
      <c r="N2105">
        <v>0.91245699999999996</v>
      </c>
      <c r="O2105" t="s">
        <v>20</v>
      </c>
      <c r="P2105" t="s">
        <v>21</v>
      </c>
      <c r="Q2105" t="s">
        <v>35</v>
      </c>
    </row>
    <row r="2106" spans="1:17" x14ac:dyDescent="0.2">
      <c r="A2106" t="s">
        <v>17</v>
      </c>
      <c r="B2106">
        <v>21.682366999999999</v>
      </c>
      <c r="C2106">
        <v>1.732383</v>
      </c>
      <c r="D2106">
        <v>133.04394099999999</v>
      </c>
      <c r="E2106" t="s">
        <v>18</v>
      </c>
      <c r="F2106" t="s">
        <v>18</v>
      </c>
      <c r="G2106">
        <v>3</v>
      </c>
      <c r="H2106">
        <v>3</v>
      </c>
      <c r="I2106" t="s">
        <v>20</v>
      </c>
      <c r="J2106" t="s">
        <v>19</v>
      </c>
      <c r="K2106">
        <v>1.610768</v>
      </c>
      <c r="L2106" t="s">
        <v>19</v>
      </c>
      <c r="M2106">
        <v>1.5103979999999999</v>
      </c>
      <c r="N2106">
        <v>0.93145500000000003</v>
      </c>
      <c r="O2106" t="s">
        <v>20</v>
      </c>
      <c r="P2106" t="s">
        <v>21</v>
      </c>
      <c r="Q2106" t="s">
        <v>35</v>
      </c>
    </row>
    <row r="2107" spans="1:17" x14ac:dyDescent="0.2">
      <c r="A2107" t="s">
        <v>17</v>
      </c>
      <c r="B2107">
        <v>21.285965000000001</v>
      </c>
      <c r="C2107">
        <v>1.72692</v>
      </c>
      <c r="D2107">
        <v>131.33578600000001</v>
      </c>
      <c r="E2107" t="s">
        <v>18</v>
      </c>
      <c r="F2107" t="s">
        <v>18</v>
      </c>
      <c r="G2107">
        <v>3</v>
      </c>
      <c r="H2107">
        <v>3</v>
      </c>
      <c r="I2107" t="s">
        <v>20</v>
      </c>
      <c r="J2107" t="s">
        <v>19</v>
      </c>
      <c r="K2107">
        <v>1.7962670000000001</v>
      </c>
      <c r="L2107" t="s">
        <v>19</v>
      </c>
      <c r="M2107">
        <v>1.728332</v>
      </c>
      <c r="N2107">
        <v>0.89792400000000006</v>
      </c>
      <c r="O2107" t="s">
        <v>20</v>
      </c>
      <c r="P2107" t="s">
        <v>21</v>
      </c>
      <c r="Q2107" t="s">
        <v>35</v>
      </c>
    </row>
    <row r="2108" spans="1:17" x14ac:dyDescent="0.2">
      <c r="A2108" t="s">
        <v>17</v>
      </c>
      <c r="B2108">
        <v>20.976842000000001</v>
      </c>
      <c r="C2108">
        <v>1.7107300000000001</v>
      </c>
      <c r="D2108">
        <v>131.40852799999999</v>
      </c>
      <c r="E2108" t="s">
        <v>18</v>
      </c>
      <c r="F2108" t="s">
        <v>18</v>
      </c>
      <c r="G2108">
        <v>3</v>
      </c>
      <c r="H2108">
        <v>3</v>
      </c>
      <c r="I2108" t="s">
        <v>20</v>
      </c>
      <c r="J2108" t="s">
        <v>19</v>
      </c>
      <c r="K2108">
        <v>1.7281390000000001</v>
      </c>
      <c r="L2108" t="s">
        <v>19</v>
      </c>
      <c r="M2108">
        <v>1.676269</v>
      </c>
      <c r="N2108">
        <v>0.90624700000000002</v>
      </c>
      <c r="O2108" t="s">
        <v>20</v>
      </c>
      <c r="P2108" t="s">
        <v>21</v>
      </c>
      <c r="Q2108" t="s">
        <v>35</v>
      </c>
    </row>
    <row r="2109" spans="1:17" x14ac:dyDescent="0.2">
      <c r="A2109" t="s">
        <v>17</v>
      </c>
      <c r="B2109">
        <v>21.982942000000001</v>
      </c>
      <c r="C2109">
        <v>1.7485839999999999</v>
      </c>
      <c r="D2109">
        <v>133.742943</v>
      </c>
      <c r="E2109" t="s">
        <v>18</v>
      </c>
      <c r="F2109" t="s">
        <v>18</v>
      </c>
      <c r="G2109">
        <v>3</v>
      </c>
      <c r="H2109">
        <v>3</v>
      </c>
      <c r="I2109" t="s">
        <v>20</v>
      </c>
      <c r="J2109" t="s">
        <v>19</v>
      </c>
      <c r="K2109">
        <v>2.0051299999999999</v>
      </c>
      <c r="L2109" t="s">
        <v>19</v>
      </c>
      <c r="M2109">
        <v>1.3413900000000001</v>
      </c>
      <c r="N2109">
        <v>0.59926999999999997</v>
      </c>
      <c r="O2109" t="s">
        <v>20</v>
      </c>
      <c r="P2109" t="s">
        <v>21</v>
      </c>
      <c r="Q2109" t="s">
        <v>35</v>
      </c>
    </row>
    <row r="2110" spans="1:17" x14ac:dyDescent="0.2">
      <c r="A2110" t="s">
        <v>17</v>
      </c>
      <c r="B2110">
        <v>22.524035999999999</v>
      </c>
      <c r="C2110">
        <v>1.7522059999999999</v>
      </c>
      <c r="D2110">
        <v>133.68935200000001</v>
      </c>
      <c r="E2110" t="s">
        <v>18</v>
      </c>
      <c r="F2110" t="s">
        <v>18</v>
      </c>
      <c r="G2110">
        <v>3</v>
      </c>
      <c r="H2110">
        <v>3</v>
      </c>
      <c r="I2110" t="s">
        <v>20</v>
      </c>
      <c r="J2110" t="s">
        <v>19</v>
      </c>
      <c r="K2110">
        <v>2.0541930000000002</v>
      </c>
      <c r="L2110" t="s">
        <v>19</v>
      </c>
      <c r="M2110">
        <v>1.414209</v>
      </c>
      <c r="N2110">
        <v>0.64628799999999997</v>
      </c>
      <c r="O2110" t="s">
        <v>20</v>
      </c>
      <c r="P2110" t="s">
        <v>21</v>
      </c>
      <c r="Q2110" t="s">
        <v>35</v>
      </c>
    </row>
    <row r="2111" spans="1:17" x14ac:dyDescent="0.2">
      <c r="A2111" t="s">
        <v>17</v>
      </c>
      <c r="B2111">
        <v>24.361936</v>
      </c>
      <c r="C2111">
        <v>1.7394499999999999</v>
      </c>
      <c r="D2111">
        <v>133.34664100000001</v>
      </c>
      <c r="E2111" t="s">
        <v>18</v>
      </c>
      <c r="F2111" t="s">
        <v>18</v>
      </c>
      <c r="G2111">
        <v>3</v>
      </c>
      <c r="H2111">
        <v>3</v>
      </c>
      <c r="I2111" t="s">
        <v>20</v>
      </c>
      <c r="J2111" t="s">
        <v>19</v>
      </c>
      <c r="K2111">
        <v>2.8523390000000002</v>
      </c>
      <c r="L2111" t="s">
        <v>19</v>
      </c>
      <c r="M2111">
        <v>1.1391070000000001</v>
      </c>
      <c r="N2111">
        <v>0.58603499999999997</v>
      </c>
      <c r="O2111" t="s">
        <v>20</v>
      </c>
      <c r="P2111" t="s">
        <v>21</v>
      </c>
      <c r="Q2111" t="s">
        <v>35</v>
      </c>
    </row>
    <row r="2112" spans="1:17" x14ac:dyDescent="0.2">
      <c r="A2112" t="s">
        <v>17</v>
      </c>
      <c r="B2112">
        <v>23.664708999999998</v>
      </c>
      <c r="C2112">
        <v>1.738836</v>
      </c>
      <c r="D2112">
        <v>133.47264100000001</v>
      </c>
      <c r="E2112" t="s">
        <v>18</v>
      </c>
      <c r="F2112" t="s">
        <v>18</v>
      </c>
      <c r="G2112">
        <v>3</v>
      </c>
      <c r="H2112">
        <v>3</v>
      </c>
      <c r="I2112" t="s">
        <v>20</v>
      </c>
      <c r="J2112" t="s">
        <v>19</v>
      </c>
      <c r="K2112">
        <v>2.8635130000000002</v>
      </c>
      <c r="L2112" t="s">
        <v>19</v>
      </c>
      <c r="M2112">
        <v>1.0264519999999999</v>
      </c>
      <c r="N2112">
        <v>0.71413700000000002</v>
      </c>
      <c r="O2112" t="s">
        <v>20</v>
      </c>
      <c r="P2112" t="s">
        <v>21</v>
      </c>
      <c r="Q2112" t="s">
        <v>35</v>
      </c>
    </row>
  </sheetData>
  <sheetProtection sheet="1" objects="1" scenario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FD0F-9B17-C741-B011-2E3898E5E99E}">
  <dimension ref="A1:I2112"/>
  <sheetViews>
    <sheetView workbookViewId="0">
      <pane ySplit="1" topLeftCell="A470" activePane="bottomLeft" state="frozen"/>
      <selection pane="bottomLeft" activeCell="G1120" sqref="G1120"/>
    </sheetView>
  </sheetViews>
  <sheetFormatPr baseColWidth="10" defaultRowHeight="16" x14ac:dyDescent="0.2"/>
  <cols>
    <col min="4" max="4" width="17.33203125" bestFit="1" customWidth="1"/>
    <col min="5" max="5" width="17.33203125" customWidth="1"/>
    <col min="6" max="6" width="12.1640625" bestFit="1" customWidth="1"/>
    <col min="7" max="7" width="16.5" customWidth="1"/>
    <col min="8" max="8" width="21" bestFit="1" customWidth="1"/>
    <col min="9" max="9" width="23.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16</v>
      </c>
      <c r="E1" t="s">
        <v>45</v>
      </c>
      <c r="F1" t="s">
        <v>41</v>
      </c>
      <c r="G1" t="s">
        <v>46</v>
      </c>
      <c r="H1" t="s">
        <v>47</v>
      </c>
      <c r="I1" t="s">
        <v>48</v>
      </c>
    </row>
    <row r="2" spans="1:9" x14ac:dyDescent="0.2">
      <c r="A2" t="str">
        <f>ObesityDataSet_raw_and_data_sin!A2</f>
        <v>Female</v>
      </c>
      <c r="B2">
        <f>ObesityDataSet_raw_and_data_sin!C2</f>
        <v>1.62</v>
      </c>
      <c r="C2">
        <f>ObesityDataSet_raw_and_data_sin!D2</f>
        <v>64</v>
      </c>
      <c r="D2" t="str">
        <f>ObesityDataSet_raw_and_data_sin!Q2</f>
        <v>Normal_Weight</v>
      </c>
      <c r="E2" t="b">
        <f>IF(AND(A2="Female", B2&lt;1.5), TRUE, IF(AND(A2="Male",B2&lt;1.6),TRUE, FALSE))</f>
        <v>0</v>
      </c>
      <c r="F2">
        <f>C2/(B2*B2)</f>
        <v>24.386526444139609</v>
      </c>
      <c r="G2" t="str">
        <f>IF(E2=TRUE,IF(F2&lt;23,"Normal",IF(F2&lt;25,"Overweight","Obese")),IF(F2&lt;25,"Normal",IF(F2&lt;30,"Overweight","Obese")))</f>
        <v>Normal</v>
      </c>
      <c r="H2" t="str">
        <f>IF(AND(D2="Normal_Weight",G2&lt;&gt;"Normal"),"ERROR","OK")</f>
        <v>OK</v>
      </c>
      <c r="I2" t="str">
        <f t="shared" ref="I2:I65" si="0">IF(AND(LEFT(D2,10)="Overweight",G2&lt;&gt;"Overweight"),"ERROR","OK")</f>
        <v>OK</v>
      </c>
    </row>
    <row r="3" spans="1:9" x14ac:dyDescent="0.2">
      <c r="A3" t="str">
        <f>ObesityDataSet_raw_and_data_sin!A3</f>
        <v>Female</v>
      </c>
      <c r="B3">
        <f>ObesityDataSet_raw_and_data_sin!C3</f>
        <v>1.52</v>
      </c>
      <c r="C3">
        <f>ObesityDataSet_raw_and_data_sin!D3</f>
        <v>56</v>
      </c>
      <c r="D3" t="str">
        <f>ObesityDataSet_raw_and_data_sin!Q3</f>
        <v>Normal_Weight</v>
      </c>
      <c r="E3" t="b">
        <f t="shared" ref="E3:E66" si="1">IF(AND(A3="Female", B3&lt;1.5), TRUE, IF(AND(A3="Male",B3&lt;1.6),TRUE, FALSE))</f>
        <v>0</v>
      </c>
      <c r="F3">
        <f>C3/(B3*B3)</f>
        <v>24.238227146814403</v>
      </c>
      <c r="G3" t="str">
        <f t="shared" ref="G3:G66" si="2">IF(E3=TRUE,IF(F3&lt;23,"Normal",IF(F3&lt;25,"Overweight","Obese")),IF(F3&lt;25,"Normal",IF(F3&lt;30,"Overweight","Obese")))</f>
        <v>Normal</v>
      </c>
      <c r="H3" t="str">
        <f t="shared" ref="H3:H66" si="3">IF(AND(D3="Normal_Weight",G3&lt;&gt;"Normal"),"ERROR","OK")</f>
        <v>OK</v>
      </c>
      <c r="I3" t="str">
        <f t="shared" si="0"/>
        <v>OK</v>
      </c>
    </row>
    <row r="4" spans="1:9" x14ac:dyDescent="0.2">
      <c r="A4" t="str">
        <f>ObesityDataSet_raw_and_data_sin!A4</f>
        <v>Male</v>
      </c>
      <c r="B4">
        <f>ObesityDataSet_raw_and_data_sin!C4</f>
        <v>1.8</v>
      </c>
      <c r="C4">
        <f>ObesityDataSet_raw_and_data_sin!D4</f>
        <v>77</v>
      </c>
      <c r="D4" t="str">
        <f>ObesityDataSet_raw_and_data_sin!Q4</f>
        <v>Normal_Weight</v>
      </c>
      <c r="E4" t="b">
        <f t="shared" si="1"/>
        <v>0</v>
      </c>
      <c r="F4">
        <f>C4/(B4*B4)</f>
        <v>23.76543209876543</v>
      </c>
      <c r="G4" t="str">
        <f t="shared" si="2"/>
        <v>Normal</v>
      </c>
      <c r="H4" t="str">
        <f t="shared" si="3"/>
        <v>OK</v>
      </c>
      <c r="I4" t="str">
        <f t="shared" si="0"/>
        <v>OK</v>
      </c>
    </row>
    <row r="5" spans="1:9" x14ac:dyDescent="0.2">
      <c r="A5" t="str">
        <f>ObesityDataSet_raw_and_data_sin!A5</f>
        <v>Male</v>
      </c>
      <c r="B5">
        <f>ObesityDataSet_raw_and_data_sin!C5</f>
        <v>1.8</v>
      </c>
      <c r="C5">
        <f>ObesityDataSet_raw_and_data_sin!D5</f>
        <v>87</v>
      </c>
      <c r="D5" t="str">
        <f>ObesityDataSet_raw_and_data_sin!Q5</f>
        <v>Overweight_Level_I</v>
      </c>
      <c r="E5" t="b">
        <f t="shared" si="1"/>
        <v>0</v>
      </c>
      <c r="F5">
        <f>C5/(B5*B5)</f>
        <v>26.851851851851851</v>
      </c>
      <c r="G5" t="str">
        <f t="shared" si="2"/>
        <v>Overweight</v>
      </c>
      <c r="H5" t="str">
        <f t="shared" si="3"/>
        <v>OK</v>
      </c>
      <c r="I5" t="str">
        <f t="shared" si="0"/>
        <v>OK</v>
      </c>
    </row>
    <row r="6" spans="1:9" x14ac:dyDescent="0.2">
      <c r="A6" t="str">
        <f>ObesityDataSet_raw_and_data_sin!A6</f>
        <v>Male</v>
      </c>
      <c r="B6">
        <f>ObesityDataSet_raw_and_data_sin!C6</f>
        <v>1.78</v>
      </c>
      <c r="C6">
        <f>ObesityDataSet_raw_and_data_sin!D6</f>
        <v>89.8</v>
      </c>
      <c r="D6" t="str">
        <f>ObesityDataSet_raw_and_data_sin!Q6</f>
        <v>Overweight_Level_II</v>
      </c>
      <c r="E6" t="b">
        <f t="shared" si="1"/>
        <v>0</v>
      </c>
      <c r="F6">
        <f>C6/(B6*B6)</f>
        <v>28.342381012498421</v>
      </c>
      <c r="G6" t="str">
        <f t="shared" si="2"/>
        <v>Overweight</v>
      </c>
      <c r="H6" t="str">
        <f t="shared" si="3"/>
        <v>OK</v>
      </c>
      <c r="I6" t="str">
        <f t="shared" si="0"/>
        <v>OK</v>
      </c>
    </row>
    <row r="7" spans="1:9" x14ac:dyDescent="0.2">
      <c r="A7" t="str">
        <f>ObesityDataSet_raw_and_data_sin!A7</f>
        <v>Male</v>
      </c>
      <c r="B7">
        <f>ObesityDataSet_raw_and_data_sin!C7</f>
        <v>1.62</v>
      </c>
      <c r="C7">
        <f>ObesityDataSet_raw_and_data_sin!D7</f>
        <v>53</v>
      </c>
      <c r="D7" t="str">
        <f>ObesityDataSet_raw_and_data_sin!Q7</f>
        <v>Normal_Weight</v>
      </c>
      <c r="E7" t="b">
        <f t="shared" si="1"/>
        <v>0</v>
      </c>
      <c r="F7">
        <f>C7/(B7*B7)</f>
        <v>20.195092211553114</v>
      </c>
      <c r="G7" t="str">
        <f t="shared" si="2"/>
        <v>Normal</v>
      </c>
      <c r="H7" t="str">
        <f t="shared" si="3"/>
        <v>OK</v>
      </c>
      <c r="I7" t="str">
        <f t="shared" si="0"/>
        <v>OK</v>
      </c>
    </row>
    <row r="8" spans="1:9" x14ac:dyDescent="0.2">
      <c r="A8" t="str">
        <f>ObesityDataSet_raw_and_data_sin!A8</f>
        <v>Female</v>
      </c>
      <c r="B8">
        <f>ObesityDataSet_raw_and_data_sin!C8</f>
        <v>1.5</v>
      </c>
      <c r="C8">
        <f>ObesityDataSet_raw_and_data_sin!D8</f>
        <v>55</v>
      </c>
      <c r="D8" t="str">
        <f>ObesityDataSet_raw_and_data_sin!Q8</f>
        <v>Normal_Weight</v>
      </c>
      <c r="E8" t="b">
        <f t="shared" si="1"/>
        <v>0</v>
      </c>
      <c r="F8">
        <f>C8/(B8*B8)</f>
        <v>24.444444444444443</v>
      </c>
      <c r="G8" t="str">
        <f t="shared" si="2"/>
        <v>Normal</v>
      </c>
      <c r="H8" t="str">
        <f t="shared" si="3"/>
        <v>OK</v>
      </c>
      <c r="I8" t="str">
        <f t="shared" si="0"/>
        <v>OK</v>
      </c>
    </row>
    <row r="9" spans="1:9" x14ac:dyDescent="0.2">
      <c r="A9" t="str">
        <f>ObesityDataSet_raw_and_data_sin!A9</f>
        <v>Male</v>
      </c>
      <c r="B9">
        <f>ObesityDataSet_raw_and_data_sin!C9</f>
        <v>1.64</v>
      </c>
      <c r="C9">
        <f>ObesityDataSet_raw_and_data_sin!D9</f>
        <v>53</v>
      </c>
      <c r="D9" t="str">
        <f>ObesityDataSet_raw_and_data_sin!Q9</f>
        <v>Normal_Weight</v>
      </c>
      <c r="E9" t="b">
        <f t="shared" si="1"/>
        <v>0</v>
      </c>
      <c r="F9">
        <f>C9/(B9*B9)</f>
        <v>19.705532421177875</v>
      </c>
      <c r="G9" t="str">
        <f t="shared" si="2"/>
        <v>Normal</v>
      </c>
      <c r="H9" t="str">
        <f t="shared" si="3"/>
        <v>OK</v>
      </c>
      <c r="I9" t="str">
        <f t="shared" si="0"/>
        <v>OK</v>
      </c>
    </row>
    <row r="10" spans="1:9" x14ac:dyDescent="0.2">
      <c r="A10" t="str">
        <f>ObesityDataSet_raw_and_data_sin!A10</f>
        <v>Male</v>
      </c>
      <c r="B10">
        <f>ObesityDataSet_raw_and_data_sin!C10</f>
        <v>1.78</v>
      </c>
      <c r="C10">
        <f>ObesityDataSet_raw_and_data_sin!D10</f>
        <v>64</v>
      </c>
      <c r="D10" t="str">
        <f>ObesityDataSet_raw_and_data_sin!Q10</f>
        <v>Normal_Weight</v>
      </c>
      <c r="E10" t="b">
        <f t="shared" si="1"/>
        <v>0</v>
      </c>
      <c r="F10">
        <f>C10/(B10*B10)</f>
        <v>20.199469763918696</v>
      </c>
      <c r="G10" t="str">
        <f t="shared" si="2"/>
        <v>Normal</v>
      </c>
      <c r="H10" t="str">
        <f t="shared" si="3"/>
        <v>OK</v>
      </c>
      <c r="I10" t="str">
        <f t="shared" si="0"/>
        <v>OK</v>
      </c>
    </row>
    <row r="11" spans="1:9" x14ac:dyDescent="0.2">
      <c r="A11" t="str">
        <f>ObesityDataSet_raw_and_data_sin!A11</f>
        <v>Male</v>
      </c>
      <c r="B11">
        <f>ObesityDataSet_raw_and_data_sin!C11</f>
        <v>1.72</v>
      </c>
      <c r="C11">
        <f>ObesityDataSet_raw_and_data_sin!D11</f>
        <v>68</v>
      </c>
      <c r="D11" t="str">
        <f>ObesityDataSet_raw_and_data_sin!Q11</f>
        <v>Normal_Weight</v>
      </c>
      <c r="E11" t="b">
        <f t="shared" si="1"/>
        <v>0</v>
      </c>
      <c r="F11">
        <f>C11/(B11*B11)</f>
        <v>22.985397512168742</v>
      </c>
      <c r="G11" t="str">
        <f t="shared" si="2"/>
        <v>Normal</v>
      </c>
      <c r="H11" t="str">
        <f t="shared" si="3"/>
        <v>OK</v>
      </c>
      <c r="I11" t="str">
        <f t="shared" si="0"/>
        <v>OK</v>
      </c>
    </row>
    <row r="12" spans="1:9" x14ac:dyDescent="0.2">
      <c r="A12" t="str">
        <f>ObesityDataSet_raw_and_data_sin!A12</f>
        <v>Male</v>
      </c>
      <c r="B12">
        <f>ObesityDataSet_raw_and_data_sin!C12</f>
        <v>1.85</v>
      </c>
      <c r="C12">
        <f>ObesityDataSet_raw_and_data_sin!D12</f>
        <v>105</v>
      </c>
      <c r="D12" t="str">
        <f>ObesityDataSet_raw_and_data_sin!Q12</f>
        <v>Obesity_Type_I</v>
      </c>
      <c r="E12" t="b">
        <f t="shared" si="1"/>
        <v>0</v>
      </c>
      <c r="F12">
        <f>C12/(B12*B12)</f>
        <v>30.67932797662527</v>
      </c>
      <c r="G12" t="str">
        <f t="shared" si="2"/>
        <v>Obese</v>
      </c>
      <c r="H12" t="str">
        <f t="shared" si="3"/>
        <v>OK</v>
      </c>
      <c r="I12" t="str">
        <f t="shared" si="0"/>
        <v>OK</v>
      </c>
    </row>
    <row r="13" spans="1:9" x14ac:dyDescent="0.2">
      <c r="A13" t="str">
        <f>ObesityDataSet_raw_and_data_sin!A13</f>
        <v>Female</v>
      </c>
      <c r="B13">
        <f>ObesityDataSet_raw_and_data_sin!C13</f>
        <v>1.72</v>
      </c>
      <c r="C13">
        <f>ObesityDataSet_raw_and_data_sin!D13</f>
        <v>80</v>
      </c>
      <c r="D13" t="str">
        <f>ObesityDataSet_raw_and_data_sin!Q13</f>
        <v>Overweight_Level_II</v>
      </c>
      <c r="E13" t="b">
        <f t="shared" si="1"/>
        <v>0</v>
      </c>
      <c r="F13">
        <f>C13/(B13*B13)</f>
        <v>27.041644131963228</v>
      </c>
      <c r="G13" t="str">
        <f t="shared" si="2"/>
        <v>Overweight</v>
      </c>
      <c r="H13" t="str">
        <f t="shared" si="3"/>
        <v>OK</v>
      </c>
      <c r="I13" t="str">
        <f t="shared" si="0"/>
        <v>OK</v>
      </c>
    </row>
    <row r="14" spans="1:9" x14ac:dyDescent="0.2">
      <c r="A14" t="str">
        <f>ObesityDataSet_raw_and_data_sin!A14</f>
        <v>Male</v>
      </c>
      <c r="B14">
        <f>ObesityDataSet_raw_and_data_sin!C14</f>
        <v>1.65</v>
      </c>
      <c r="C14">
        <f>ObesityDataSet_raw_and_data_sin!D14</f>
        <v>56</v>
      </c>
      <c r="D14" t="str">
        <f>ObesityDataSet_raw_and_data_sin!Q14</f>
        <v>Normal_Weight</v>
      </c>
      <c r="E14" t="b">
        <f t="shared" si="1"/>
        <v>0</v>
      </c>
      <c r="F14">
        <f>C14/(B14*B14)</f>
        <v>20.569329660238754</v>
      </c>
      <c r="G14" t="str">
        <f t="shared" si="2"/>
        <v>Normal</v>
      </c>
      <c r="H14" t="str">
        <f t="shared" si="3"/>
        <v>OK</v>
      </c>
      <c r="I14" t="str">
        <f t="shared" si="0"/>
        <v>OK</v>
      </c>
    </row>
    <row r="15" spans="1:9" x14ac:dyDescent="0.2">
      <c r="A15" t="str">
        <f>ObesityDataSet_raw_and_data_sin!A15</f>
        <v>Male</v>
      </c>
      <c r="B15">
        <f>ObesityDataSet_raw_and_data_sin!C15</f>
        <v>1.8</v>
      </c>
      <c r="C15">
        <f>ObesityDataSet_raw_and_data_sin!D15</f>
        <v>99</v>
      </c>
      <c r="D15" t="str">
        <f>ObesityDataSet_raw_and_data_sin!Q15</f>
        <v>Obesity_Type_I</v>
      </c>
      <c r="E15" t="b">
        <f t="shared" si="1"/>
        <v>0</v>
      </c>
      <c r="F15">
        <f>C15/(B15*B15)</f>
        <v>30.555555555555554</v>
      </c>
      <c r="G15" t="str">
        <f t="shared" si="2"/>
        <v>Obese</v>
      </c>
      <c r="H15" t="str">
        <f t="shared" si="3"/>
        <v>OK</v>
      </c>
      <c r="I15" t="str">
        <f t="shared" si="0"/>
        <v>OK</v>
      </c>
    </row>
    <row r="16" spans="1:9" x14ac:dyDescent="0.2">
      <c r="A16" t="str">
        <f>ObesityDataSet_raw_and_data_sin!A16</f>
        <v>Male</v>
      </c>
      <c r="B16">
        <f>ObesityDataSet_raw_and_data_sin!C16</f>
        <v>1.77</v>
      </c>
      <c r="C16">
        <f>ObesityDataSet_raw_and_data_sin!D16</f>
        <v>60</v>
      </c>
      <c r="D16" t="str">
        <f>ObesityDataSet_raw_and_data_sin!Q16</f>
        <v>Normal_Weight</v>
      </c>
      <c r="E16" t="b">
        <f t="shared" si="1"/>
        <v>0</v>
      </c>
      <c r="F16">
        <f>C16/(B16*B16)</f>
        <v>19.151584793641671</v>
      </c>
      <c r="G16" t="str">
        <f t="shared" si="2"/>
        <v>Normal</v>
      </c>
      <c r="H16" t="str">
        <f t="shared" si="3"/>
        <v>OK</v>
      </c>
      <c r="I16" t="str">
        <f t="shared" si="0"/>
        <v>OK</v>
      </c>
    </row>
    <row r="17" spans="1:9" x14ac:dyDescent="0.2">
      <c r="A17" t="str">
        <f>ObesityDataSet_raw_and_data_sin!A17</f>
        <v>Female</v>
      </c>
      <c r="B17">
        <f>ObesityDataSet_raw_and_data_sin!C17</f>
        <v>1.7</v>
      </c>
      <c r="C17">
        <f>ObesityDataSet_raw_and_data_sin!D17</f>
        <v>66</v>
      </c>
      <c r="D17" t="str">
        <f>ObesityDataSet_raw_and_data_sin!Q17</f>
        <v>Normal_Weight</v>
      </c>
      <c r="E17" t="b">
        <f t="shared" si="1"/>
        <v>0</v>
      </c>
      <c r="F17">
        <f>C17/(B17*B17)</f>
        <v>22.837370242214536</v>
      </c>
      <c r="G17" t="str">
        <f t="shared" si="2"/>
        <v>Normal</v>
      </c>
      <c r="H17" t="str">
        <f t="shared" si="3"/>
        <v>OK</v>
      </c>
      <c r="I17" t="str">
        <f t="shared" si="0"/>
        <v>OK</v>
      </c>
    </row>
    <row r="18" spans="1:9" x14ac:dyDescent="0.2">
      <c r="A18" t="str">
        <f>ObesityDataSet_raw_and_data_sin!A18</f>
        <v>Male</v>
      </c>
      <c r="B18">
        <f>ObesityDataSet_raw_and_data_sin!C18</f>
        <v>1.93</v>
      </c>
      <c r="C18">
        <f>ObesityDataSet_raw_and_data_sin!D18</f>
        <v>102</v>
      </c>
      <c r="D18" t="str">
        <f>ObesityDataSet_raw_and_data_sin!Q18</f>
        <v>Overweight_Level_II</v>
      </c>
      <c r="E18" t="b">
        <f t="shared" si="1"/>
        <v>0</v>
      </c>
      <c r="F18">
        <f>C18/(B18*B18)</f>
        <v>27.383285457327716</v>
      </c>
      <c r="G18" t="str">
        <f t="shared" si="2"/>
        <v>Overweight</v>
      </c>
      <c r="H18" t="str">
        <f t="shared" si="3"/>
        <v>OK</v>
      </c>
      <c r="I18" t="str">
        <f t="shared" si="0"/>
        <v>OK</v>
      </c>
    </row>
    <row r="19" spans="1:9" x14ac:dyDescent="0.2">
      <c r="A19" t="str">
        <f>ObesityDataSet_raw_and_data_sin!A19</f>
        <v>Female</v>
      </c>
      <c r="B19">
        <f>ObesityDataSet_raw_and_data_sin!C19</f>
        <v>1.53</v>
      </c>
      <c r="C19">
        <f>ObesityDataSet_raw_and_data_sin!D19</f>
        <v>78</v>
      </c>
      <c r="D19" t="str">
        <f>ObesityDataSet_raw_and_data_sin!Q19</f>
        <v>Obesity_Type_I</v>
      </c>
      <c r="E19" t="b">
        <f t="shared" si="1"/>
        <v>0</v>
      </c>
      <c r="F19">
        <f>C19/(B19*B19)</f>
        <v>33.320517749583495</v>
      </c>
      <c r="G19" t="str">
        <f t="shared" si="2"/>
        <v>Obese</v>
      </c>
      <c r="H19" t="str">
        <f t="shared" si="3"/>
        <v>OK</v>
      </c>
      <c r="I19" t="str">
        <f t="shared" si="0"/>
        <v>OK</v>
      </c>
    </row>
    <row r="20" spans="1:9" x14ac:dyDescent="0.2">
      <c r="A20" t="str">
        <f>ObesityDataSet_raw_and_data_sin!A20</f>
        <v>Female</v>
      </c>
      <c r="B20">
        <f>ObesityDataSet_raw_and_data_sin!C20</f>
        <v>1.71</v>
      </c>
      <c r="C20">
        <f>ObesityDataSet_raw_and_data_sin!D20</f>
        <v>82</v>
      </c>
      <c r="D20" t="str">
        <f>ObesityDataSet_raw_and_data_sin!Q20</f>
        <v>Overweight_Level_II</v>
      </c>
      <c r="E20" t="b">
        <f t="shared" si="1"/>
        <v>0</v>
      </c>
      <c r="F20">
        <f>C20/(B20*B20)</f>
        <v>28.042816593139772</v>
      </c>
      <c r="G20" t="str">
        <f t="shared" si="2"/>
        <v>Overweight</v>
      </c>
      <c r="H20" t="str">
        <f t="shared" si="3"/>
        <v>OK</v>
      </c>
      <c r="I20" t="str">
        <f t="shared" si="0"/>
        <v>OK</v>
      </c>
    </row>
    <row r="21" spans="1:9" x14ac:dyDescent="0.2">
      <c r="A21" t="str">
        <f>ObesityDataSet_raw_and_data_sin!A21</f>
        <v>Female</v>
      </c>
      <c r="B21">
        <f>ObesityDataSet_raw_and_data_sin!C21</f>
        <v>1.65</v>
      </c>
      <c r="C21">
        <f>ObesityDataSet_raw_and_data_sin!D21</f>
        <v>70</v>
      </c>
      <c r="D21" t="str">
        <f>ObesityDataSet_raw_and_data_sin!Q21</f>
        <v>Overweight_Level_I</v>
      </c>
      <c r="E21" t="b">
        <f t="shared" si="1"/>
        <v>0</v>
      </c>
      <c r="F21">
        <f>C21/(B21*B21)</f>
        <v>25.711662075298442</v>
      </c>
      <c r="G21" t="str">
        <f t="shared" si="2"/>
        <v>Overweight</v>
      </c>
      <c r="H21" t="str">
        <f t="shared" si="3"/>
        <v>OK</v>
      </c>
      <c r="I21" t="str">
        <f t="shared" si="0"/>
        <v>OK</v>
      </c>
    </row>
    <row r="22" spans="1:9" x14ac:dyDescent="0.2">
      <c r="A22" t="str">
        <f>ObesityDataSet_raw_and_data_sin!A22</f>
        <v>Male</v>
      </c>
      <c r="B22">
        <f>ObesityDataSet_raw_and_data_sin!C22</f>
        <v>1.65</v>
      </c>
      <c r="C22">
        <f>ObesityDataSet_raw_and_data_sin!D22</f>
        <v>80</v>
      </c>
      <c r="D22" t="str">
        <f>ObesityDataSet_raw_and_data_sin!Q22</f>
        <v>Overweight_Level_II</v>
      </c>
      <c r="E22" t="b">
        <f t="shared" si="1"/>
        <v>0</v>
      </c>
      <c r="F22">
        <f>C22/(B22*B22)</f>
        <v>29.384756657483933</v>
      </c>
      <c r="G22" t="str">
        <f t="shared" si="2"/>
        <v>Overweight</v>
      </c>
      <c r="H22" t="str">
        <f t="shared" si="3"/>
        <v>OK</v>
      </c>
      <c r="I22" t="str">
        <f t="shared" si="0"/>
        <v>OK</v>
      </c>
    </row>
    <row r="23" spans="1:9" x14ac:dyDescent="0.2">
      <c r="A23" t="str">
        <f>ObesityDataSet_raw_and_data_sin!A23</f>
        <v>Female</v>
      </c>
      <c r="B23">
        <f>ObesityDataSet_raw_and_data_sin!C23</f>
        <v>1.69</v>
      </c>
      <c r="C23">
        <f>ObesityDataSet_raw_and_data_sin!D23</f>
        <v>87</v>
      </c>
      <c r="D23" t="str">
        <f>ObesityDataSet_raw_and_data_sin!Q23</f>
        <v>Obesity_Type_I</v>
      </c>
      <c r="E23" t="b">
        <f t="shared" si="1"/>
        <v>0</v>
      </c>
      <c r="F23">
        <f>C23/(B23*B23)</f>
        <v>30.461118308182492</v>
      </c>
      <c r="G23" t="str">
        <f t="shared" si="2"/>
        <v>Obese</v>
      </c>
      <c r="H23" t="str">
        <f t="shared" si="3"/>
        <v>OK</v>
      </c>
      <c r="I23" t="str">
        <f t="shared" si="0"/>
        <v>OK</v>
      </c>
    </row>
    <row r="24" spans="1:9" x14ac:dyDescent="0.2">
      <c r="A24" t="str">
        <f>ObesityDataSet_raw_and_data_sin!A24</f>
        <v>Female</v>
      </c>
      <c r="B24">
        <f>ObesityDataSet_raw_and_data_sin!C24</f>
        <v>1.65</v>
      </c>
      <c r="C24">
        <f>ObesityDataSet_raw_and_data_sin!D24</f>
        <v>60</v>
      </c>
      <c r="D24" t="str">
        <f>ObesityDataSet_raw_and_data_sin!Q24</f>
        <v>Normal_Weight</v>
      </c>
      <c r="E24" t="b">
        <f t="shared" si="1"/>
        <v>0</v>
      </c>
      <c r="F24">
        <f>C24/(B24*B24)</f>
        <v>22.03856749311295</v>
      </c>
      <c r="G24" t="str">
        <f t="shared" si="2"/>
        <v>Normal</v>
      </c>
      <c r="H24" t="str">
        <f t="shared" si="3"/>
        <v>OK</v>
      </c>
      <c r="I24" t="str">
        <f t="shared" si="0"/>
        <v>OK</v>
      </c>
    </row>
    <row r="25" spans="1:9" x14ac:dyDescent="0.2">
      <c r="A25" t="str">
        <f>ObesityDataSet_raw_and_data_sin!A25</f>
        <v>Female</v>
      </c>
      <c r="B25">
        <f>ObesityDataSet_raw_and_data_sin!C25</f>
        <v>1.6</v>
      </c>
      <c r="C25">
        <f>ObesityDataSet_raw_and_data_sin!D25</f>
        <v>82</v>
      </c>
      <c r="D25" t="str">
        <f>ObesityDataSet_raw_and_data_sin!Q25</f>
        <v>Obesity_Type_I</v>
      </c>
      <c r="E25" t="b">
        <f t="shared" si="1"/>
        <v>0</v>
      </c>
      <c r="F25">
        <f>C25/(B25*B25)</f>
        <v>32.031249999999993</v>
      </c>
      <c r="G25" t="str">
        <f t="shared" si="2"/>
        <v>Obese</v>
      </c>
      <c r="H25" t="str">
        <f t="shared" si="3"/>
        <v>OK</v>
      </c>
      <c r="I25" t="str">
        <f t="shared" si="0"/>
        <v>OK</v>
      </c>
    </row>
    <row r="26" spans="1:9" x14ac:dyDescent="0.2">
      <c r="A26" t="str">
        <f>ObesityDataSet_raw_and_data_sin!A26</f>
        <v>Male</v>
      </c>
      <c r="B26">
        <f>ObesityDataSet_raw_and_data_sin!C26</f>
        <v>1.85</v>
      </c>
      <c r="C26">
        <f>ObesityDataSet_raw_and_data_sin!D26</f>
        <v>68</v>
      </c>
      <c r="D26" t="str">
        <f>ObesityDataSet_raw_and_data_sin!Q26</f>
        <v>Normal_Weight</v>
      </c>
      <c r="E26" t="b">
        <f t="shared" si="1"/>
        <v>0</v>
      </c>
      <c r="F26">
        <f>C26/(B26*B26)</f>
        <v>19.86851716581446</v>
      </c>
      <c r="G26" t="str">
        <f t="shared" si="2"/>
        <v>Normal</v>
      </c>
      <c r="H26" t="str">
        <f t="shared" si="3"/>
        <v>OK</v>
      </c>
      <c r="I26" t="str">
        <f t="shared" si="0"/>
        <v>OK</v>
      </c>
    </row>
    <row r="27" spans="1:9" x14ac:dyDescent="0.2">
      <c r="A27" t="str">
        <f>ObesityDataSet_raw_and_data_sin!A27</f>
        <v>Male</v>
      </c>
      <c r="B27">
        <f>ObesityDataSet_raw_and_data_sin!C27</f>
        <v>1.6</v>
      </c>
      <c r="C27">
        <f>ObesityDataSet_raw_and_data_sin!D27</f>
        <v>50</v>
      </c>
      <c r="D27" t="str">
        <f>ObesityDataSet_raw_and_data_sin!Q27</f>
        <v>Normal_Weight</v>
      </c>
      <c r="E27" t="b">
        <f t="shared" si="1"/>
        <v>0</v>
      </c>
      <c r="F27">
        <f>C27/(B27*B27)</f>
        <v>19.531249999999996</v>
      </c>
      <c r="G27" t="str">
        <f t="shared" si="2"/>
        <v>Normal</v>
      </c>
      <c r="H27" t="str">
        <f t="shared" si="3"/>
        <v>OK</v>
      </c>
      <c r="I27" t="str">
        <f t="shared" si="0"/>
        <v>OK</v>
      </c>
    </row>
    <row r="28" spans="1:9" x14ac:dyDescent="0.2">
      <c r="A28" t="str">
        <f>ObesityDataSet_raw_and_data_sin!A28</f>
        <v>Male</v>
      </c>
      <c r="B28">
        <f>ObesityDataSet_raw_and_data_sin!C28</f>
        <v>1.7</v>
      </c>
      <c r="C28">
        <f>ObesityDataSet_raw_and_data_sin!D28</f>
        <v>65</v>
      </c>
      <c r="D28" t="str">
        <f>ObesityDataSet_raw_and_data_sin!Q28</f>
        <v>Normal_Weight</v>
      </c>
      <c r="E28" t="b">
        <f t="shared" si="1"/>
        <v>0</v>
      </c>
      <c r="F28">
        <f>C28/(B28*B28)</f>
        <v>22.491349480968861</v>
      </c>
      <c r="G28" t="str">
        <f t="shared" si="2"/>
        <v>Normal</v>
      </c>
      <c r="H28" t="str">
        <f t="shared" si="3"/>
        <v>OK</v>
      </c>
      <c r="I28" t="str">
        <f t="shared" si="0"/>
        <v>OK</v>
      </c>
    </row>
    <row r="29" spans="1:9" x14ac:dyDescent="0.2">
      <c r="A29" t="str">
        <f>ObesityDataSet_raw_and_data_sin!A29</f>
        <v>Female</v>
      </c>
      <c r="B29">
        <f>ObesityDataSet_raw_and_data_sin!C29</f>
        <v>1.6</v>
      </c>
      <c r="C29">
        <f>ObesityDataSet_raw_and_data_sin!D29</f>
        <v>52</v>
      </c>
      <c r="D29" t="str">
        <f>ObesityDataSet_raw_and_data_sin!Q29</f>
        <v>Normal_Weight</v>
      </c>
      <c r="E29" t="b">
        <f t="shared" si="1"/>
        <v>0</v>
      </c>
      <c r="F29">
        <f>C29/(B29*B29)</f>
        <v>20.312499999999996</v>
      </c>
      <c r="G29" t="str">
        <f t="shared" si="2"/>
        <v>Normal</v>
      </c>
      <c r="H29" t="str">
        <f t="shared" si="3"/>
        <v>OK</v>
      </c>
      <c r="I29" t="str">
        <f t="shared" si="0"/>
        <v>OK</v>
      </c>
    </row>
    <row r="30" spans="1:9" x14ac:dyDescent="0.2">
      <c r="A30" t="str">
        <f>ObesityDataSet_raw_and_data_sin!A30</f>
        <v>Male</v>
      </c>
      <c r="B30">
        <f>ObesityDataSet_raw_and_data_sin!C30</f>
        <v>1.75</v>
      </c>
      <c r="C30">
        <f>ObesityDataSet_raw_and_data_sin!D30</f>
        <v>76</v>
      </c>
      <c r="D30" t="str">
        <f>ObesityDataSet_raw_and_data_sin!Q30</f>
        <v>Normal_Weight</v>
      </c>
      <c r="E30" t="b">
        <f t="shared" si="1"/>
        <v>0</v>
      </c>
      <c r="F30">
        <f>C30/(B30*B30)</f>
        <v>24.816326530612244</v>
      </c>
      <c r="G30" t="str">
        <f t="shared" si="2"/>
        <v>Normal</v>
      </c>
      <c r="H30" t="str">
        <f t="shared" si="3"/>
        <v>OK</v>
      </c>
      <c r="I30" t="str">
        <f t="shared" si="0"/>
        <v>OK</v>
      </c>
    </row>
    <row r="31" spans="1:9" x14ac:dyDescent="0.2">
      <c r="A31" t="str">
        <f>ObesityDataSet_raw_and_data_sin!A31</f>
        <v>Male</v>
      </c>
      <c r="B31">
        <f>ObesityDataSet_raw_and_data_sin!C31</f>
        <v>1.68</v>
      </c>
      <c r="C31">
        <f>ObesityDataSet_raw_and_data_sin!D31</f>
        <v>70</v>
      </c>
      <c r="D31" t="str">
        <f>ObesityDataSet_raw_and_data_sin!Q31</f>
        <v>Normal_Weight</v>
      </c>
      <c r="E31" t="b">
        <f t="shared" si="1"/>
        <v>0</v>
      </c>
      <c r="F31">
        <f>C31/(B31*B31)</f>
        <v>24.801587301587304</v>
      </c>
      <c r="G31" t="str">
        <f t="shared" si="2"/>
        <v>Normal</v>
      </c>
      <c r="H31" t="str">
        <f t="shared" si="3"/>
        <v>OK</v>
      </c>
      <c r="I31" t="str">
        <f t="shared" si="0"/>
        <v>OK</v>
      </c>
    </row>
    <row r="32" spans="1:9" x14ac:dyDescent="0.2">
      <c r="A32" t="str">
        <f>ObesityDataSet_raw_and_data_sin!A32</f>
        <v>Male</v>
      </c>
      <c r="B32">
        <f>ObesityDataSet_raw_and_data_sin!C32</f>
        <v>1.77</v>
      </c>
      <c r="C32">
        <f>ObesityDataSet_raw_and_data_sin!D32</f>
        <v>83</v>
      </c>
      <c r="D32" t="str">
        <f>ObesityDataSet_raw_and_data_sin!Q32</f>
        <v>Overweight_Level_I</v>
      </c>
      <c r="E32" t="b">
        <f t="shared" si="1"/>
        <v>0</v>
      </c>
      <c r="F32">
        <f>C32/(B32*B32)</f>
        <v>26.493025631204315</v>
      </c>
      <c r="G32" t="str">
        <f t="shared" si="2"/>
        <v>Overweight</v>
      </c>
      <c r="H32" t="str">
        <f t="shared" si="3"/>
        <v>OK</v>
      </c>
      <c r="I32" t="str">
        <f t="shared" si="0"/>
        <v>OK</v>
      </c>
    </row>
    <row r="33" spans="1:9" x14ac:dyDescent="0.2">
      <c r="A33" t="str">
        <f>ObesityDataSet_raw_and_data_sin!A33</f>
        <v>Female</v>
      </c>
      <c r="B33">
        <f>ObesityDataSet_raw_and_data_sin!C33</f>
        <v>1.58</v>
      </c>
      <c r="C33">
        <f>ObesityDataSet_raw_and_data_sin!D33</f>
        <v>68</v>
      </c>
      <c r="D33" t="str">
        <f>ObesityDataSet_raw_and_data_sin!Q33</f>
        <v>Overweight_Level_II</v>
      </c>
      <c r="E33" t="b">
        <f t="shared" si="1"/>
        <v>0</v>
      </c>
      <c r="F33">
        <f>C33/(B33*B33)</f>
        <v>27.239224483255885</v>
      </c>
      <c r="G33" t="str">
        <f t="shared" si="2"/>
        <v>Overweight</v>
      </c>
      <c r="H33" t="str">
        <f t="shared" si="3"/>
        <v>OK</v>
      </c>
      <c r="I33" t="str">
        <f t="shared" si="0"/>
        <v>OK</v>
      </c>
    </row>
    <row r="34" spans="1:9" x14ac:dyDescent="0.2">
      <c r="A34" t="str">
        <f>ObesityDataSet_raw_and_data_sin!A34</f>
        <v>Female</v>
      </c>
      <c r="B34">
        <f>ObesityDataSet_raw_and_data_sin!C34</f>
        <v>1.77</v>
      </c>
      <c r="C34">
        <f>ObesityDataSet_raw_and_data_sin!D34</f>
        <v>76</v>
      </c>
      <c r="D34" t="str">
        <f>ObesityDataSet_raw_and_data_sin!Q34</f>
        <v>Normal_Weight</v>
      </c>
      <c r="E34" t="b">
        <f t="shared" si="1"/>
        <v>0</v>
      </c>
      <c r="F34">
        <f>C34/(B34*B34)</f>
        <v>24.258674071946118</v>
      </c>
      <c r="G34" t="str">
        <f t="shared" si="2"/>
        <v>Normal</v>
      </c>
      <c r="H34" t="str">
        <f t="shared" si="3"/>
        <v>OK</v>
      </c>
      <c r="I34" t="str">
        <f t="shared" si="0"/>
        <v>OK</v>
      </c>
    </row>
    <row r="35" spans="1:9" x14ac:dyDescent="0.2">
      <c r="A35" t="str">
        <f>ObesityDataSet_raw_and_data_sin!A35</f>
        <v>Male</v>
      </c>
      <c r="B35">
        <f>ObesityDataSet_raw_and_data_sin!C35</f>
        <v>1.79</v>
      </c>
      <c r="C35">
        <f>ObesityDataSet_raw_and_data_sin!D35</f>
        <v>90</v>
      </c>
      <c r="D35" t="str">
        <f>ObesityDataSet_raw_and_data_sin!Q35</f>
        <v>Overweight_Level_II</v>
      </c>
      <c r="E35" t="b">
        <f t="shared" si="1"/>
        <v>0</v>
      </c>
      <c r="F35">
        <f>C35/(B35*B35)</f>
        <v>28.089010954714272</v>
      </c>
      <c r="G35" t="str">
        <f t="shared" si="2"/>
        <v>Overweight</v>
      </c>
      <c r="H35" t="str">
        <f t="shared" si="3"/>
        <v>OK</v>
      </c>
      <c r="I35" t="str">
        <f t="shared" si="0"/>
        <v>OK</v>
      </c>
    </row>
    <row r="36" spans="1:9" x14ac:dyDescent="0.2">
      <c r="A36" t="str">
        <f>ObesityDataSet_raw_and_data_sin!A36</f>
        <v>Male</v>
      </c>
      <c r="B36">
        <f>ObesityDataSet_raw_and_data_sin!C36</f>
        <v>1.65</v>
      </c>
      <c r="C36">
        <f>ObesityDataSet_raw_and_data_sin!D36</f>
        <v>62</v>
      </c>
      <c r="D36" t="str">
        <f>ObesityDataSet_raw_and_data_sin!Q36</f>
        <v>Normal_Weight</v>
      </c>
      <c r="E36" t="b">
        <f t="shared" si="1"/>
        <v>0</v>
      </c>
      <c r="F36">
        <f>C36/(B36*B36)</f>
        <v>22.77318640955005</v>
      </c>
      <c r="G36" t="str">
        <f t="shared" si="2"/>
        <v>Normal</v>
      </c>
      <c r="H36" t="str">
        <f t="shared" si="3"/>
        <v>OK</v>
      </c>
      <c r="I36" t="str">
        <f t="shared" si="0"/>
        <v>OK</v>
      </c>
    </row>
    <row r="37" spans="1:9" x14ac:dyDescent="0.2">
      <c r="A37" t="str">
        <f>ObesityDataSet_raw_and_data_sin!A37</f>
        <v>Female</v>
      </c>
      <c r="B37">
        <f>ObesityDataSet_raw_and_data_sin!C37</f>
        <v>1.5</v>
      </c>
      <c r="C37">
        <f>ObesityDataSet_raw_and_data_sin!D37</f>
        <v>65</v>
      </c>
      <c r="D37" t="str">
        <f>ObesityDataSet_raw_and_data_sin!Q37</f>
        <v>Overweight_Level_II</v>
      </c>
      <c r="E37" t="b">
        <f t="shared" si="1"/>
        <v>0</v>
      </c>
      <c r="F37">
        <f>C37/(B37*B37)</f>
        <v>28.888888888888889</v>
      </c>
      <c r="G37" t="str">
        <f t="shared" si="2"/>
        <v>Overweight</v>
      </c>
      <c r="H37" t="str">
        <f t="shared" si="3"/>
        <v>OK</v>
      </c>
      <c r="I37" t="str">
        <f t="shared" si="0"/>
        <v>OK</v>
      </c>
    </row>
    <row r="38" spans="1:9" x14ac:dyDescent="0.2">
      <c r="A38" t="str">
        <f>ObesityDataSet_raw_and_data_sin!A38</f>
        <v>Female</v>
      </c>
      <c r="B38">
        <f>ObesityDataSet_raw_and_data_sin!C38</f>
        <v>1.56</v>
      </c>
      <c r="C38">
        <f>ObesityDataSet_raw_and_data_sin!D38</f>
        <v>49</v>
      </c>
      <c r="D38" t="str">
        <f>ObesityDataSet_raw_and_data_sin!Q38</f>
        <v>Normal_Weight</v>
      </c>
      <c r="E38" t="b">
        <f t="shared" si="1"/>
        <v>0</v>
      </c>
      <c r="F38">
        <f>C38/(B38*B38)</f>
        <v>20.134779750164363</v>
      </c>
      <c r="G38" t="str">
        <f t="shared" si="2"/>
        <v>Normal</v>
      </c>
      <c r="H38" t="str">
        <f t="shared" si="3"/>
        <v>OK</v>
      </c>
      <c r="I38" t="str">
        <f t="shared" si="0"/>
        <v>OK</v>
      </c>
    </row>
    <row r="39" spans="1:9" x14ac:dyDescent="0.2">
      <c r="A39" t="str">
        <f>ObesityDataSet_raw_and_data_sin!A39</f>
        <v>Female</v>
      </c>
      <c r="B39">
        <f>ObesityDataSet_raw_and_data_sin!C39</f>
        <v>1.6</v>
      </c>
      <c r="C39">
        <f>ObesityDataSet_raw_and_data_sin!D39</f>
        <v>48</v>
      </c>
      <c r="D39" t="str">
        <f>ObesityDataSet_raw_and_data_sin!Q39</f>
        <v>Normal_Weight</v>
      </c>
      <c r="E39" t="b">
        <f t="shared" si="1"/>
        <v>0</v>
      </c>
      <c r="F39">
        <f>C39/(B39*B39)</f>
        <v>18.749999999999996</v>
      </c>
      <c r="G39" t="str">
        <f t="shared" si="2"/>
        <v>Normal</v>
      </c>
      <c r="H39" t="str">
        <f t="shared" si="3"/>
        <v>OK</v>
      </c>
      <c r="I39" t="str">
        <f t="shared" si="0"/>
        <v>OK</v>
      </c>
    </row>
    <row r="40" spans="1:9" x14ac:dyDescent="0.2">
      <c r="A40" t="str">
        <f>ObesityDataSet_raw_and_data_sin!A40</f>
        <v>Male</v>
      </c>
      <c r="B40">
        <f>ObesityDataSet_raw_and_data_sin!C40</f>
        <v>1.65</v>
      </c>
      <c r="C40">
        <f>ObesityDataSet_raw_and_data_sin!D40</f>
        <v>67</v>
      </c>
      <c r="D40" t="str">
        <f>ObesityDataSet_raw_and_data_sin!Q40</f>
        <v>Normal_Weight</v>
      </c>
      <c r="E40" t="b">
        <f t="shared" si="1"/>
        <v>0</v>
      </c>
      <c r="F40">
        <f>C40/(B40*B40)</f>
        <v>24.609733700642796</v>
      </c>
      <c r="G40" t="str">
        <f t="shared" si="2"/>
        <v>Normal</v>
      </c>
      <c r="H40" t="str">
        <f t="shared" si="3"/>
        <v>OK</v>
      </c>
      <c r="I40" t="str">
        <f t="shared" si="0"/>
        <v>OK</v>
      </c>
    </row>
    <row r="41" spans="1:9" x14ac:dyDescent="0.2">
      <c r="A41" t="str">
        <f>ObesityDataSet_raw_and_data_sin!A41</f>
        <v>Female</v>
      </c>
      <c r="B41">
        <f>ObesityDataSet_raw_and_data_sin!C41</f>
        <v>1.75</v>
      </c>
      <c r="C41">
        <f>ObesityDataSet_raw_and_data_sin!D41</f>
        <v>88</v>
      </c>
      <c r="D41" t="str">
        <f>ObesityDataSet_raw_and_data_sin!Q41</f>
        <v>Overweight_Level_II</v>
      </c>
      <c r="E41" t="b">
        <f t="shared" si="1"/>
        <v>0</v>
      </c>
      <c r="F41">
        <f>C41/(B41*B41)</f>
        <v>28.73469387755102</v>
      </c>
      <c r="G41" t="str">
        <f t="shared" si="2"/>
        <v>Overweight</v>
      </c>
      <c r="H41" t="str">
        <f t="shared" si="3"/>
        <v>OK</v>
      </c>
      <c r="I41" t="str">
        <f t="shared" si="0"/>
        <v>OK</v>
      </c>
    </row>
    <row r="42" spans="1:9" x14ac:dyDescent="0.2">
      <c r="A42" t="str">
        <f>ObesityDataSet_raw_and_data_sin!A42</f>
        <v>Female</v>
      </c>
      <c r="B42">
        <f>ObesityDataSet_raw_and_data_sin!C42</f>
        <v>1.67</v>
      </c>
      <c r="C42">
        <f>ObesityDataSet_raw_and_data_sin!D42</f>
        <v>75</v>
      </c>
      <c r="D42" t="str">
        <f>ObesityDataSet_raw_and_data_sin!Q42</f>
        <v>Overweight_Level_I</v>
      </c>
      <c r="E42" t="b">
        <f t="shared" si="1"/>
        <v>0</v>
      </c>
      <c r="F42">
        <f>C42/(B42*B42)</f>
        <v>26.892323138154829</v>
      </c>
      <c r="G42" t="str">
        <f t="shared" si="2"/>
        <v>Overweight</v>
      </c>
      <c r="H42" t="str">
        <f t="shared" si="3"/>
        <v>OK</v>
      </c>
      <c r="I42" t="str">
        <f t="shared" si="0"/>
        <v>OK</v>
      </c>
    </row>
    <row r="43" spans="1:9" x14ac:dyDescent="0.2">
      <c r="A43" t="str">
        <f>ObesityDataSet_raw_and_data_sin!A43</f>
        <v>Male</v>
      </c>
      <c r="B43">
        <f>ObesityDataSet_raw_and_data_sin!C43</f>
        <v>1.68</v>
      </c>
      <c r="C43">
        <f>ObesityDataSet_raw_and_data_sin!D43</f>
        <v>60</v>
      </c>
      <c r="D43" t="str">
        <f>ObesityDataSet_raw_and_data_sin!Q43</f>
        <v>Normal_Weight</v>
      </c>
      <c r="E43" t="b">
        <f t="shared" si="1"/>
        <v>0</v>
      </c>
      <c r="F43">
        <f>C43/(B43*B43)</f>
        <v>21.258503401360546</v>
      </c>
      <c r="G43" t="str">
        <f t="shared" si="2"/>
        <v>Normal</v>
      </c>
      <c r="H43" t="str">
        <f t="shared" si="3"/>
        <v>OK</v>
      </c>
      <c r="I43" t="str">
        <f t="shared" si="0"/>
        <v>OK</v>
      </c>
    </row>
    <row r="44" spans="1:9" x14ac:dyDescent="0.2">
      <c r="A44" t="str">
        <f>ObesityDataSet_raw_and_data_sin!A44</f>
        <v>Female</v>
      </c>
      <c r="B44">
        <f>ObesityDataSet_raw_and_data_sin!C44</f>
        <v>1.66</v>
      </c>
      <c r="C44">
        <f>ObesityDataSet_raw_and_data_sin!D44</f>
        <v>64</v>
      </c>
      <c r="D44" t="str">
        <f>ObesityDataSet_raw_and_data_sin!Q44</f>
        <v>Normal_Weight</v>
      </c>
      <c r="E44" t="b">
        <f t="shared" si="1"/>
        <v>0</v>
      </c>
      <c r="F44">
        <f>C44/(B44*B44)</f>
        <v>23.225431847873423</v>
      </c>
      <c r="G44" t="str">
        <f t="shared" si="2"/>
        <v>Normal</v>
      </c>
      <c r="H44" t="str">
        <f t="shared" si="3"/>
        <v>OK</v>
      </c>
      <c r="I44" t="str">
        <f t="shared" si="0"/>
        <v>OK</v>
      </c>
    </row>
    <row r="45" spans="1:9" x14ac:dyDescent="0.2">
      <c r="A45" t="str">
        <f>ObesityDataSet_raw_and_data_sin!A45</f>
        <v>Male</v>
      </c>
      <c r="B45">
        <f>ObesityDataSet_raw_and_data_sin!C45</f>
        <v>1.66</v>
      </c>
      <c r="C45">
        <f>ObesityDataSet_raw_and_data_sin!D45</f>
        <v>62</v>
      </c>
      <c r="D45" t="str">
        <f>ObesityDataSet_raw_and_data_sin!Q45</f>
        <v>Normal_Weight</v>
      </c>
      <c r="E45" t="b">
        <f t="shared" si="1"/>
        <v>0</v>
      </c>
      <c r="F45">
        <f>C45/(B45*B45)</f>
        <v>22.499637102627378</v>
      </c>
      <c r="G45" t="str">
        <f t="shared" si="2"/>
        <v>Normal</v>
      </c>
      <c r="H45" t="str">
        <f t="shared" si="3"/>
        <v>OK</v>
      </c>
      <c r="I45" t="str">
        <f t="shared" si="0"/>
        <v>OK</v>
      </c>
    </row>
    <row r="46" spans="1:9" x14ac:dyDescent="0.2">
      <c r="A46" t="str">
        <f>ObesityDataSet_raw_and_data_sin!A46</f>
        <v>Male</v>
      </c>
      <c r="B46">
        <f>ObesityDataSet_raw_and_data_sin!C46</f>
        <v>1.81</v>
      </c>
      <c r="C46">
        <f>ObesityDataSet_raw_and_data_sin!D46</f>
        <v>80</v>
      </c>
      <c r="D46" t="str">
        <f>ObesityDataSet_raw_and_data_sin!Q46</f>
        <v>Normal_Weight</v>
      </c>
      <c r="E46" t="b">
        <f t="shared" si="1"/>
        <v>0</v>
      </c>
      <c r="F46">
        <f>C46/(B46*B46)</f>
        <v>24.419279020786909</v>
      </c>
      <c r="G46" t="str">
        <f t="shared" si="2"/>
        <v>Normal</v>
      </c>
      <c r="H46" t="str">
        <f t="shared" si="3"/>
        <v>OK</v>
      </c>
      <c r="I46" t="str">
        <f t="shared" si="0"/>
        <v>OK</v>
      </c>
    </row>
    <row r="47" spans="1:9" x14ac:dyDescent="0.2">
      <c r="A47" t="str">
        <f>ObesityDataSet_raw_and_data_sin!A47</f>
        <v>Female</v>
      </c>
      <c r="B47">
        <f>ObesityDataSet_raw_and_data_sin!C47</f>
        <v>1.53</v>
      </c>
      <c r="C47">
        <f>ObesityDataSet_raw_and_data_sin!D47</f>
        <v>65</v>
      </c>
      <c r="D47" t="str">
        <f>ObesityDataSet_raw_and_data_sin!Q47</f>
        <v>Overweight_Level_II</v>
      </c>
      <c r="E47" t="b">
        <f t="shared" si="1"/>
        <v>0</v>
      </c>
      <c r="F47">
        <f>C47/(B47*B47)</f>
        <v>27.767098124652911</v>
      </c>
      <c r="G47" t="str">
        <f t="shared" si="2"/>
        <v>Overweight</v>
      </c>
      <c r="H47" t="str">
        <f t="shared" si="3"/>
        <v>OK</v>
      </c>
      <c r="I47" t="str">
        <f t="shared" si="0"/>
        <v>OK</v>
      </c>
    </row>
    <row r="48" spans="1:9" x14ac:dyDescent="0.2">
      <c r="A48" t="str">
        <f>ObesityDataSet_raw_and_data_sin!A48</f>
        <v>Male</v>
      </c>
      <c r="B48">
        <f>ObesityDataSet_raw_and_data_sin!C48</f>
        <v>1.82</v>
      </c>
      <c r="C48">
        <f>ObesityDataSet_raw_and_data_sin!D48</f>
        <v>72</v>
      </c>
      <c r="D48" t="str">
        <f>ObesityDataSet_raw_and_data_sin!Q48</f>
        <v>Normal_Weight</v>
      </c>
      <c r="E48" t="b">
        <f t="shared" si="1"/>
        <v>0</v>
      </c>
      <c r="F48">
        <f>C48/(B48*B48)</f>
        <v>21.736505252988767</v>
      </c>
      <c r="G48" t="str">
        <f t="shared" si="2"/>
        <v>Normal</v>
      </c>
      <c r="H48" t="str">
        <f t="shared" si="3"/>
        <v>OK</v>
      </c>
      <c r="I48" t="str">
        <f t="shared" si="0"/>
        <v>OK</v>
      </c>
    </row>
    <row r="49" spans="1:9" x14ac:dyDescent="0.2">
      <c r="A49" t="str">
        <f>ObesityDataSet_raw_and_data_sin!A49</f>
        <v>Male</v>
      </c>
      <c r="B49">
        <f>ObesityDataSet_raw_and_data_sin!C49</f>
        <v>1.75</v>
      </c>
      <c r="C49">
        <f>ObesityDataSet_raw_and_data_sin!D49</f>
        <v>72</v>
      </c>
      <c r="D49" t="str">
        <f>ObesityDataSet_raw_and_data_sin!Q49</f>
        <v>Normal_Weight</v>
      </c>
      <c r="E49" t="b">
        <f t="shared" si="1"/>
        <v>0</v>
      </c>
      <c r="F49">
        <f>C49/(B49*B49)</f>
        <v>23.510204081632654</v>
      </c>
      <c r="G49" t="str">
        <f t="shared" si="2"/>
        <v>Normal</v>
      </c>
      <c r="H49" t="str">
        <f t="shared" si="3"/>
        <v>OK</v>
      </c>
      <c r="I49" t="str">
        <f t="shared" si="0"/>
        <v>OK</v>
      </c>
    </row>
    <row r="50" spans="1:9" x14ac:dyDescent="0.2">
      <c r="A50" t="str">
        <f>ObesityDataSet_raw_and_data_sin!A50</f>
        <v>Female</v>
      </c>
      <c r="B50">
        <f>ObesityDataSet_raw_and_data_sin!C50</f>
        <v>1.66</v>
      </c>
      <c r="C50">
        <f>ObesityDataSet_raw_and_data_sin!D50</f>
        <v>60</v>
      </c>
      <c r="D50" t="str">
        <f>ObesityDataSet_raw_and_data_sin!Q50</f>
        <v>Normal_Weight</v>
      </c>
      <c r="E50" t="b">
        <f t="shared" si="1"/>
        <v>0</v>
      </c>
      <c r="F50">
        <f>C50/(B50*B50)</f>
        <v>21.773842357381334</v>
      </c>
      <c r="G50" t="str">
        <f t="shared" si="2"/>
        <v>Normal</v>
      </c>
      <c r="H50" t="str">
        <f t="shared" si="3"/>
        <v>OK</v>
      </c>
      <c r="I50" t="str">
        <f t="shared" si="0"/>
        <v>OK</v>
      </c>
    </row>
    <row r="51" spans="1:9" x14ac:dyDescent="0.2">
      <c r="A51" t="str">
        <f>ObesityDataSet_raw_and_data_sin!A51</f>
        <v>Female</v>
      </c>
      <c r="B51">
        <f>ObesityDataSet_raw_and_data_sin!C51</f>
        <v>1.55</v>
      </c>
      <c r="C51">
        <f>ObesityDataSet_raw_and_data_sin!D51</f>
        <v>50</v>
      </c>
      <c r="D51" t="str">
        <f>ObesityDataSet_raw_and_data_sin!Q51</f>
        <v>Normal_Weight</v>
      </c>
      <c r="E51" t="b">
        <f t="shared" si="1"/>
        <v>0</v>
      </c>
      <c r="F51">
        <f>C51/(B51*B51)</f>
        <v>20.811654526534856</v>
      </c>
      <c r="G51" t="str">
        <f t="shared" si="2"/>
        <v>Normal</v>
      </c>
      <c r="H51" t="str">
        <f t="shared" si="3"/>
        <v>OK</v>
      </c>
      <c r="I51" t="str">
        <f t="shared" si="0"/>
        <v>OK</v>
      </c>
    </row>
    <row r="52" spans="1:9" x14ac:dyDescent="0.2">
      <c r="A52" t="str">
        <f>ObesityDataSet_raw_and_data_sin!A52</f>
        <v>Female</v>
      </c>
      <c r="B52">
        <f>ObesityDataSet_raw_and_data_sin!C52</f>
        <v>1.61</v>
      </c>
      <c r="C52">
        <f>ObesityDataSet_raw_and_data_sin!D52</f>
        <v>54.5</v>
      </c>
      <c r="D52" t="str">
        <f>ObesityDataSet_raw_and_data_sin!Q52</f>
        <v>Normal_Weight</v>
      </c>
      <c r="E52" t="b">
        <f t="shared" si="1"/>
        <v>0</v>
      </c>
      <c r="F52">
        <f>C52/(B52*B52)</f>
        <v>21.025423401874924</v>
      </c>
      <c r="G52" t="str">
        <f t="shared" si="2"/>
        <v>Normal</v>
      </c>
      <c r="H52" t="str">
        <f t="shared" si="3"/>
        <v>OK</v>
      </c>
      <c r="I52" t="str">
        <f t="shared" si="0"/>
        <v>OK</v>
      </c>
    </row>
    <row r="53" spans="1:9" x14ac:dyDescent="0.2">
      <c r="A53" t="str">
        <f>ObesityDataSet_raw_and_data_sin!A53</f>
        <v>Female</v>
      </c>
      <c r="B53">
        <f>ObesityDataSet_raw_and_data_sin!C53</f>
        <v>1.5</v>
      </c>
      <c r="C53">
        <f>ObesityDataSet_raw_and_data_sin!D53</f>
        <v>44</v>
      </c>
      <c r="D53" t="str">
        <f>ObesityDataSet_raw_and_data_sin!Q53</f>
        <v>Normal_Weight</v>
      </c>
      <c r="E53" t="b">
        <f t="shared" si="1"/>
        <v>0</v>
      </c>
      <c r="F53">
        <f>C53/(B53*B53)</f>
        <v>19.555555555555557</v>
      </c>
      <c r="G53" t="str">
        <f t="shared" si="2"/>
        <v>Normal</v>
      </c>
      <c r="H53" t="str">
        <f t="shared" si="3"/>
        <v>OK</v>
      </c>
      <c r="I53" t="str">
        <f t="shared" si="0"/>
        <v>OK</v>
      </c>
    </row>
    <row r="54" spans="1:9" x14ac:dyDescent="0.2">
      <c r="A54" t="str">
        <f>ObesityDataSet_raw_and_data_sin!A54</f>
        <v>Female</v>
      </c>
      <c r="B54">
        <f>ObesityDataSet_raw_and_data_sin!C54</f>
        <v>1.64</v>
      </c>
      <c r="C54">
        <f>ObesityDataSet_raw_and_data_sin!D54</f>
        <v>52</v>
      </c>
      <c r="D54" t="str">
        <f>ObesityDataSet_raw_and_data_sin!Q54</f>
        <v>Normal_Weight</v>
      </c>
      <c r="E54" t="b">
        <f t="shared" si="1"/>
        <v>0</v>
      </c>
      <c r="F54">
        <f>C54/(B54*B54)</f>
        <v>19.333729922665082</v>
      </c>
      <c r="G54" t="str">
        <f t="shared" si="2"/>
        <v>Normal</v>
      </c>
      <c r="H54" t="str">
        <f t="shared" si="3"/>
        <v>OK</v>
      </c>
      <c r="I54" t="str">
        <f t="shared" si="0"/>
        <v>OK</v>
      </c>
    </row>
    <row r="55" spans="1:9" x14ac:dyDescent="0.2">
      <c r="A55" t="str">
        <f>ObesityDataSet_raw_and_data_sin!A55</f>
        <v>Female</v>
      </c>
      <c r="B55">
        <f>ObesityDataSet_raw_and_data_sin!C55</f>
        <v>1.63</v>
      </c>
      <c r="C55">
        <f>ObesityDataSet_raw_and_data_sin!D55</f>
        <v>55</v>
      </c>
      <c r="D55" t="str">
        <f>ObesityDataSet_raw_and_data_sin!Q55</f>
        <v>Normal_Weight</v>
      </c>
      <c r="E55" t="b">
        <f t="shared" si="1"/>
        <v>0</v>
      </c>
      <c r="F55">
        <f>C55/(B55*B55)</f>
        <v>20.700816741315069</v>
      </c>
      <c r="G55" t="str">
        <f t="shared" si="2"/>
        <v>Normal</v>
      </c>
      <c r="H55" t="str">
        <f t="shared" si="3"/>
        <v>OK</v>
      </c>
      <c r="I55" t="str">
        <f t="shared" si="0"/>
        <v>OK</v>
      </c>
    </row>
    <row r="56" spans="1:9" x14ac:dyDescent="0.2">
      <c r="A56" t="str">
        <f>ObesityDataSet_raw_and_data_sin!A56</f>
        <v>Female</v>
      </c>
      <c r="B56">
        <f>ObesityDataSet_raw_and_data_sin!C56</f>
        <v>1.6</v>
      </c>
      <c r="C56">
        <f>ObesityDataSet_raw_and_data_sin!D56</f>
        <v>55</v>
      </c>
      <c r="D56" t="str">
        <f>ObesityDataSet_raw_and_data_sin!Q56</f>
        <v>Normal_Weight</v>
      </c>
      <c r="E56" t="b">
        <f t="shared" si="1"/>
        <v>0</v>
      </c>
      <c r="F56">
        <f>C56/(B56*B56)</f>
        <v>21.484374999999996</v>
      </c>
      <c r="G56" t="str">
        <f t="shared" si="2"/>
        <v>Normal</v>
      </c>
      <c r="H56" t="str">
        <f t="shared" si="3"/>
        <v>OK</v>
      </c>
      <c r="I56" t="str">
        <f t="shared" si="0"/>
        <v>OK</v>
      </c>
    </row>
    <row r="57" spans="1:9" x14ac:dyDescent="0.2">
      <c r="A57" t="str">
        <f>ObesityDataSet_raw_and_data_sin!A57</f>
        <v>Male</v>
      </c>
      <c r="B57">
        <f>ObesityDataSet_raw_and_data_sin!C57</f>
        <v>1.68</v>
      </c>
      <c r="C57">
        <f>ObesityDataSet_raw_and_data_sin!D57</f>
        <v>62</v>
      </c>
      <c r="D57" t="str">
        <f>ObesityDataSet_raw_and_data_sin!Q57</f>
        <v>Normal_Weight</v>
      </c>
      <c r="E57" t="b">
        <f t="shared" si="1"/>
        <v>0</v>
      </c>
      <c r="F57">
        <f>C57/(B57*B57)</f>
        <v>21.9671201814059</v>
      </c>
      <c r="G57" t="str">
        <f t="shared" si="2"/>
        <v>Normal</v>
      </c>
      <c r="H57" t="str">
        <f t="shared" si="3"/>
        <v>OK</v>
      </c>
      <c r="I57" t="str">
        <f t="shared" si="0"/>
        <v>OK</v>
      </c>
    </row>
    <row r="58" spans="1:9" x14ac:dyDescent="0.2">
      <c r="A58" t="str">
        <f>ObesityDataSet_raw_and_data_sin!A58</f>
        <v>Male</v>
      </c>
      <c r="B58">
        <f>ObesityDataSet_raw_and_data_sin!C58</f>
        <v>1.7</v>
      </c>
      <c r="C58">
        <f>ObesityDataSet_raw_and_data_sin!D58</f>
        <v>70</v>
      </c>
      <c r="D58" t="str">
        <f>ObesityDataSet_raw_and_data_sin!Q58</f>
        <v>Normal_Weight</v>
      </c>
      <c r="E58" t="b">
        <f t="shared" si="1"/>
        <v>0</v>
      </c>
      <c r="F58">
        <f>C58/(B58*B58)</f>
        <v>24.221453287197235</v>
      </c>
      <c r="G58" t="str">
        <f t="shared" si="2"/>
        <v>Normal</v>
      </c>
      <c r="H58" t="str">
        <f t="shared" si="3"/>
        <v>OK</v>
      </c>
      <c r="I58" t="str">
        <f t="shared" si="0"/>
        <v>OK</v>
      </c>
    </row>
    <row r="59" spans="1:9" x14ac:dyDescent="0.2">
      <c r="A59" t="str">
        <f>ObesityDataSet_raw_and_data_sin!A59</f>
        <v>Male</v>
      </c>
      <c r="B59">
        <f>ObesityDataSet_raw_and_data_sin!C59</f>
        <v>1.64</v>
      </c>
      <c r="C59">
        <f>ObesityDataSet_raw_and_data_sin!D59</f>
        <v>65</v>
      </c>
      <c r="D59" t="str">
        <f>ObesityDataSet_raw_and_data_sin!Q59</f>
        <v>Normal_Weight</v>
      </c>
      <c r="E59" t="b">
        <f t="shared" si="1"/>
        <v>0</v>
      </c>
      <c r="F59">
        <f>C59/(B59*B59)</f>
        <v>24.167162403331353</v>
      </c>
      <c r="G59" t="str">
        <f t="shared" si="2"/>
        <v>Normal</v>
      </c>
      <c r="H59" t="str">
        <f t="shared" si="3"/>
        <v>OK</v>
      </c>
      <c r="I59" t="str">
        <f t="shared" si="0"/>
        <v>OK</v>
      </c>
    </row>
    <row r="60" spans="1:9" x14ac:dyDescent="0.2">
      <c r="A60" t="str">
        <f>ObesityDataSet_raw_and_data_sin!A60</f>
        <v>Female</v>
      </c>
      <c r="B60">
        <f>ObesityDataSet_raw_and_data_sin!C60</f>
        <v>1.65</v>
      </c>
      <c r="C60">
        <f>ObesityDataSet_raw_and_data_sin!D60</f>
        <v>67</v>
      </c>
      <c r="D60" t="str">
        <f>ObesityDataSet_raw_and_data_sin!Q60</f>
        <v>Normal_Weight</v>
      </c>
      <c r="E60" t="b">
        <f t="shared" si="1"/>
        <v>0</v>
      </c>
      <c r="F60">
        <f>C60/(B60*B60)</f>
        <v>24.609733700642796</v>
      </c>
      <c r="G60" t="str">
        <f t="shared" si="2"/>
        <v>Normal</v>
      </c>
      <c r="H60" t="str">
        <f t="shared" si="3"/>
        <v>OK</v>
      </c>
      <c r="I60" t="str">
        <f t="shared" si="0"/>
        <v>OK</v>
      </c>
    </row>
    <row r="61" spans="1:9" x14ac:dyDescent="0.2">
      <c r="A61" t="str">
        <f>ObesityDataSet_raw_and_data_sin!A61</f>
        <v>Male</v>
      </c>
      <c r="B61">
        <f>ObesityDataSet_raw_and_data_sin!C61</f>
        <v>1.76</v>
      </c>
      <c r="C61">
        <f>ObesityDataSet_raw_and_data_sin!D61</f>
        <v>55</v>
      </c>
      <c r="D61" t="str">
        <f>ObesityDataSet_raw_and_data_sin!Q61</f>
        <v>Insufficient_Weight</v>
      </c>
      <c r="E61" t="b">
        <f t="shared" si="1"/>
        <v>0</v>
      </c>
      <c r="F61">
        <f>C61/(B61*B61)</f>
        <v>17.75568181818182</v>
      </c>
      <c r="G61" t="str">
        <f t="shared" si="2"/>
        <v>Normal</v>
      </c>
      <c r="H61" t="str">
        <f t="shared" si="3"/>
        <v>OK</v>
      </c>
      <c r="I61" t="str">
        <f t="shared" si="0"/>
        <v>OK</v>
      </c>
    </row>
    <row r="62" spans="1:9" x14ac:dyDescent="0.2">
      <c r="A62" t="str">
        <f>ObesityDataSet_raw_and_data_sin!A62</f>
        <v>Female</v>
      </c>
      <c r="B62">
        <f>ObesityDataSet_raw_and_data_sin!C62</f>
        <v>1.55</v>
      </c>
      <c r="C62">
        <f>ObesityDataSet_raw_and_data_sin!D62</f>
        <v>49</v>
      </c>
      <c r="D62" t="str">
        <f>ObesityDataSet_raw_and_data_sin!Q62</f>
        <v>Normal_Weight</v>
      </c>
      <c r="E62" t="b">
        <f t="shared" si="1"/>
        <v>0</v>
      </c>
      <c r="F62">
        <f>C62/(B62*B62)</f>
        <v>20.39542143600416</v>
      </c>
      <c r="G62" t="str">
        <f t="shared" si="2"/>
        <v>Normal</v>
      </c>
      <c r="H62" t="str">
        <f t="shared" si="3"/>
        <v>OK</v>
      </c>
      <c r="I62" t="str">
        <f t="shared" si="0"/>
        <v>OK</v>
      </c>
    </row>
    <row r="63" spans="1:9" x14ac:dyDescent="0.2">
      <c r="A63" t="str">
        <f>ObesityDataSet_raw_and_data_sin!A63</f>
        <v>Male</v>
      </c>
      <c r="B63">
        <f>ObesityDataSet_raw_and_data_sin!C63</f>
        <v>1.65</v>
      </c>
      <c r="C63">
        <f>ObesityDataSet_raw_and_data_sin!D63</f>
        <v>58</v>
      </c>
      <c r="D63" t="str">
        <f>ObesityDataSet_raw_and_data_sin!Q63</f>
        <v>Normal_Weight</v>
      </c>
      <c r="E63" t="b">
        <f t="shared" si="1"/>
        <v>0</v>
      </c>
      <c r="F63">
        <f>C63/(B63*B63)</f>
        <v>21.30394857667585</v>
      </c>
      <c r="G63" t="str">
        <f t="shared" si="2"/>
        <v>Normal</v>
      </c>
      <c r="H63" t="str">
        <f t="shared" si="3"/>
        <v>OK</v>
      </c>
      <c r="I63" t="str">
        <f t="shared" si="0"/>
        <v>OK</v>
      </c>
    </row>
    <row r="64" spans="1:9" x14ac:dyDescent="0.2">
      <c r="A64" t="str">
        <f>ObesityDataSet_raw_and_data_sin!A64</f>
        <v>Male</v>
      </c>
      <c r="B64">
        <f>ObesityDataSet_raw_and_data_sin!C64</f>
        <v>1.67</v>
      </c>
      <c r="C64">
        <f>ObesityDataSet_raw_and_data_sin!D64</f>
        <v>62</v>
      </c>
      <c r="D64" t="str">
        <f>ObesityDataSet_raw_and_data_sin!Q64</f>
        <v>Normal_Weight</v>
      </c>
      <c r="E64" t="b">
        <f t="shared" si="1"/>
        <v>0</v>
      </c>
      <c r="F64">
        <f>C64/(B64*B64)</f>
        <v>22.230987127541326</v>
      </c>
      <c r="G64" t="str">
        <f t="shared" si="2"/>
        <v>Normal</v>
      </c>
      <c r="H64" t="str">
        <f t="shared" si="3"/>
        <v>OK</v>
      </c>
      <c r="I64" t="str">
        <f t="shared" si="0"/>
        <v>OK</v>
      </c>
    </row>
    <row r="65" spans="1:9" x14ac:dyDescent="0.2">
      <c r="A65" t="str">
        <f>ObesityDataSet_raw_and_data_sin!A65</f>
        <v>Male</v>
      </c>
      <c r="B65">
        <f>ObesityDataSet_raw_and_data_sin!C65</f>
        <v>1.68</v>
      </c>
      <c r="C65">
        <f>ObesityDataSet_raw_and_data_sin!D65</f>
        <v>55</v>
      </c>
      <c r="D65" t="str">
        <f>ObesityDataSet_raw_and_data_sin!Q65</f>
        <v>Normal_Weight</v>
      </c>
      <c r="E65" t="b">
        <f t="shared" si="1"/>
        <v>0</v>
      </c>
      <c r="F65">
        <f>C65/(B65*B65)</f>
        <v>19.486961451247168</v>
      </c>
      <c r="G65" t="str">
        <f t="shared" si="2"/>
        <v>Normal</v>
      </c>
      <c r="H65" t="str">
        <f t="shared" si="3"/>
        <v>OK</v>
      </c>
      <c r="I65" t="str">
        <f t="shared" si="0"/>
        <v>OK</v>
      </c>
    </row>
    <row r="66" spans="1:9" x14ac:dyDescent="0.2">
      <c r="A66" t="str">
        <f>ObesityDataSet_raw_and_data_sin!A66</f>
        <v>Female</v>
      </c>
      <c r="B66">
        <f>ObesityDataSet_raw_and_data_sin!C66</f>
        <v>1.66</v>
      </c>
      <c r="C66">
        <f>ObesityDataSet_raw_and_data_sin!D66</f>
        <v>57</v>
      </c>
      <c r="D66" t="str">
        <f>ObesityDataSet_raw_and_data_sin!Q66</f>
        <v>Normal_Weight</v>
      </c>
      <c r="E66" t="b">
        <f t="shared" si="1"/>
        <v>0</v>
      </c>
      <c r="F66">
        <f>C66/(B66*B66)</f>
        <v>20.685150239512268</v>
      </c>
      <c r="G66" t="str">
        <f t="shared" si="2"/>
        <v>Normal</v>
      </c>
      <c r="H66" t="str">
        <f t="shared" si="3"/>
        <v>OK</v>
      </c>
      <c r="I66" t="str">
        <f t="shared" ref="I66:I129" si="4">IF(AND(LEFT(D66,10)="Overweight",G66&lt;&gt;"Overweight"),"ERROR","OK")</f>
        <v>OK</v>
      </c>
    </row>
    <row r="67" spans="1:9" x14ac:dyDescent="0.2">
      <c r="A67" t="str">
        <f>ObesityDataSet_raw_and_data_sin!A67</f>
        <v>Female</v>
      </c>
      <c r="B67">
        <f>ObesityDataSet_raw_and_data_sin!C67</f>
        <v>1.62</v>
      </c>
      <c r="C67">
        <f>ObesityDataSet_raw_and_data_sin!D67</f>
        <v>69</v>
      </c>
      <c r="D67" t="str">
        <f>ObesityDataSet_raw_and_data_sin!Q67</f>
        <v>Overweight_Level_I</v>
      </c>
      <c r="E67" t="b">
        <f t="shared" ref="E67:E130" si="5">IF(AND(A67="Female", B67&lt;1.5), TRUE, IF(AND(A67="Male",B67&lt;1.6),TRUE, FALSE))</f>
        <v>0</v>
      </c>
      <c r="F67">
        <f>C67/(B67*B67)</f>
        <v>26.291723822588015</v>
      </c>
      <c r="G67" t="str">
        <f t="shared" ref="G67:G130" si="6">IF(E67=TRUE,IF(F67&lt;23,"Normal",IF(F67&lt;25,"Overweight","Obese")),IF(F67&lt;25,"Normal",IF(F67&lt;30,"Overweight","Obese")))</f>
        <v>Overweight</v>
      </c>
      <c r="H67" t="str">
        <f t="shared" ref="H67:H130" si="7">IF(AND(D67="Normal_Weight",G67&lt;&gt;"Normal"),"ERROR","OK")</f>
        <v>OK</v>
      </c>
      <c r="I67" t="str">
        <f t="shared" si="4"/>
        <v>OK</v>
      </c>
    </row>
    <row r="68" spans="1:9" x14ac:dyDescent="0.2">
      <c r="A68" t="str">
        <f>ObesityDataSet_raw_and_data_sin!A68</f>
        <v>Male</v>
      </c>
      <c r="B68">
        <f>ObesityDataSet_raw_and_data_sin!C68</f>
        <v>1.8</v>
      </c>
      <c r="C68">
        <f>ObesityDataSet_raw_and_data_sin!D68</f>
        <v>90</v>
      </c>
      <c r="D68" t="str">
        <f>ObesityDataSet_raw_and_data_sin!Q68</f>
        <v>Overweight_Level_II</v>
      </c>
      <c r="E68" t="b">
        <f t="shared" si="5"/>
        <v>0</v>
      </c>
      <c r="F68">
        <f>C68/(B68*B68)</f>
        <v>27.777777777777775</v>
      </c>
      <c r="G68" t="str">
        <f t="shared" si="6"/>
        <v>Overweight</v>
      </c>
      <c r="H68" t="str">
        <f t="shared" si="7"/>
        <v>OK</v>
      </c>
      <c r="I68" t="str">
        <f t="shared" si="4"/>
        <v>OK</v>
      </c>
    </row>
    <row r="69" spans="1:9" x14ac:dyDescent="0.2">
      <c r="A69" t="str">
        <f>ObesityDataSet_raw_and_data_sin!A69</f>
        <v>Male</v>
      </c>
      <c r="B69">
        <f>ObesityDataSet_raw_and_data_sin!C69</f>
        <v>1.65</v>
      </c>
      <c r="C69">
        <f>ObesityDataSet_raw_and_data_sin!D69</f>
        <v>95</v>
      </c>
      <c r="D69" t="str">
        <f>ObesityDataSet_raw_and_data_sin!Q69</f>
        <v>Obesity_Type_I</v>
      </c>
      <c r="E69" t="b">
        <f t="shared" si="5"/>
        <v>0</v>
      </c>
      <c r="F69">
        <f>C69/(B69*B69)</f>
        <v>34.894398530762174</v>
      </c>
      <c r="G69" t="str">
        <f t="shared" si="6"/>
        <v>Obese</v>
      </c>
      <c r="H69" t="str">
        <f t="shared" si="7"/>
        <v>OK</v>
      </c>
      <c r="I69" t="str">
        <f t="shared" si="4"/>
        <v>OK</v>
      </c>
    </row>
    <row r="70" spans="1:9" x14ac:dyDescent="0.2">
      <c r="A70" t="str">
        <f>ObesityDataSet_raw_and_data_sin!A70</f>
        <v>Male</v>
      </c>
      <c r="B70">
        <f>ObesityDataSet_raw_and_data_sin!C70</f>
        <v>1.76</v>
      </c>
      <c r="C70">
        <f>ObesityDataSet_raw_and_data_sin!D70</f>
        <v>112</v>
      </c>
      <c r="D70" t="str">
        <f>ObesityDataSet_raw_and_data_sin!Q70</f>
        <v>Obesity_Type_II</v>
      </c>
      <c r="E70" t="b">
        <f t="shared" si="5"/>
        <v>0</v>
      </c>
      <c r="F70">
        <f>C70/(B70*B70)</f>
        <v>36.15702479338843</v>
      </c>
      <c r="G70" t="str">
        <f t="shared" si="6"/>
        <v>Obese</v>
      </c>
      <c r="H70" t="str">
        <f t="shared" si="7"/>
        <v>OK</v>
      </c>
      <c r="I70" t="str">
        <f t="shared" si="4"/>
        <v>OK</v>
      </c>
    </row>
    <row r="71" spans="1:9" x14ac:dyDescent="0.2">
      <c r="A71" t="str">
        <f>ObesityDataSet_raw_and_data_sin!A71</f>
        <v>Male</v>
      </c>
      <c r="B71">
        <f>ObesityDataSet_raw_and_data_sin!C71</f>
        <v>1.8</v>
      </c>
      <c r="C71">
        <f>ObesityDataSet_raw_and_data_sin!D71</f>
        <v>60</v>
      </c>
      <c r="D71" t="str">
        <f>ObesityDataSet_raw_and_data_sin!Q71</f>
        <v>Normal_Weight</v>
      </c>
      <c r="E71" t="b">
        <f t="shared" si="5"/>
        <v>0</v>
      </c>
      <c r="F71">
        <f>C71/(B71*B71)</f>
        <v>18.518518518518519</v>
      </c>
      <c r="G71" t="str">
        <f t="shared" si="6"/>
        <v>Normal</v>
      </c>
      <c r="H71" t="str">
        <f t="shared" si="7"/>
        <v>OK</v>
      </c>
      <c r="I71" t="str">
        <f t="shared" si="4"/>
        <v>OK</v>
      </c>
    </row>
    <row r="72" spans="1:9" x14ac:dyDescent="0.2">
      <c r="A72" t="str">
        <f>ObesityDataSet_raw_and_data_sin!A72</f>
        <v>Female</v>
      </c>
      <c r="B72">
        <f>ObesityDataSet_raw_and_data_sin!C72</f>
        <v>1.65</v>
      </c>
      <c r="C72">
        <f>ObesityDataSet_raw_and_data_sin!D72</f>
        <v>80</v>
      </c>
      <c r="D72" t="str">
        <f>ObesityDataSet_raw_and_data_sin!Q72</f>
        <v>Overweight_Level_II</v>
      </c>
      <c r="E72" t="b">
        <f t="shared" si="5"/>
        <v>0</v>
      </c>
      <c r="F72">
        <f>C72/(B72*B72)</f>
        <v>29.384756657483933</v>
      </c>
      <c r="G72" t="str">
        <f t="shared" si="6"/>
        <v>Overweight</v>
      </c>
      <c r="H72" t="str">
        <f t="shared" si="7"/>
        <v>OK</v>
      </c>
      <c r="I72" t="str">
        <f t="shared" si="4"/>
        <v>OK</v>
      </c>
    </row>
    <row r="73" spans="1:9" x14ac:dyDescent="0.2">
      <c r="A73" t="str">
        <f>ObesityDataSet_raw_and_data_sin!A73</f>
        <v>Female</v>
      </c>
      <c r="B73">
        <f>ObesityDataSet_raw_and_data_sin!C73</f>
        <v>1.67</v>
      </c>
      <c r="C73">
        <f>ObesityDataSet_raw_and_data_sin!D73</f>
        <v>50</v>
      </c>
      <c r="D73" t="str">
        <f>ObesityDataSet_raw_and_data_sin!Q73</f>
        <v>Insufficient_Weight</v>
      </c>
      <c r="E73" t="b">
        <f t="shared" si="5"/>
        <v>0</v>
      </c>
      <c r="F73">
        <f>C73/(B73*B73)</f>
        <v>17.928215425436552</v>
      </c>
      <c r="G73" t="str">
        <f t="shared" si="6"/>
        <v>Normal</v>
      </c>
      <c r="H73" t="str">
        <f t="shared" si="7"/>
        <v>OK</v>
      </c>
      <c r="I73" t="str">
        <f t="shared" si="4"/>
        <v>OK</v>
      </c>
    </row>
    <row r="74" spans="1:9" x14ac:dyDescent="0.2">
      <c r="A74" t="str">
        <f>ObesityDataSet_raw_and_data_sin!A74</f>
        <v>Female</v>
      </c>
      <c r="B74">
        <f>ObesityDataSet_raw_and_data_sin!C74</f>
        <v>1.65</v>
      </c>
      <c r="C74">
        <f>ObesityDataSet_raw_and_data_sin!D74</f>
        <v>60</v>
      </c>
      <c r="D74" t="str">
        <f>ObesityDataSet_raw_and_data_sin!Q74</f>
        <v>Normal_Weight</v>
      </c>
      <c r="E74" t="b">
        <f t="shared" si="5"/>
        <v>0</v>
      </c>
      <c r="F74">
        <f>C74/(B74*B74)</f>
        <v>22.03856749311295</v>
      </c>
      <c r="G74" t="str">
        <f t="shared" si="6"/>
        <v>Normal</v>
      </c>
      <c r="H74" t="str">
        <f t="shared" si="7"/>
        <v>OK</v>
      </c>
      <c r="I74" t="str">
        <f t="shared" si="4"/>
        <v>OK</v>
      </c>
    </row>
    <row r="75" spans="1:9" x14ac:dyDescent="0.2">
      <c r="A75" t="str">
        <f>ObesityDataSet_raw_and_data_sin!A75</f>
        <v>Male</v>
      </c>
      <c r="B75">
        <f>ObesityDataSet_raw_and_data_sin!C75</f>
        <v>1.85</v>
      </c>
      <c r="C75">
        <f>ObesityDataSet_raw_and_data_sin!D75</f>
        <v>65</v>
      </c>
      <c r="D75" t="str">
        <f>ObesityDataSet_raw_and_data_sin!Q75</f>
        <v>Normal_Weight</v>
      </c>
      <c r="E75" t="b">
        <f t="shared" si="5"/>
        <v>0</v>
      </c>
      <c r="F75">
        <f>C75/(B75*B75)</f>
        <v>18.991964937910883</v>
      </c>
      <c r="G75" t="str">
        <f t="shared" si="6"/>
        <v>Normal</v>
      </c>
      <c r="H75" t="str">
        <f t="shared" si="7"/>
        <v>OK</v>
      </c>
      <c r="I75" t="str">
        <f t="shared" si="4"/>
        <v>OK</v>
      </c>
    </row>
    <row r="76" spans="1:9" x14ac:dyDescent="0.2">
      <c r="A76" t="str">
        <f>ObesityDataSet_raw_and_data_sin!A76</f>
        <v>Male</v>
      </c>
      <c r="B76">
        <f>ObesityDataSet_raw_and_data_sin!C76</f>
        <v>1.7</v>
      </c>
      <c r="C76">
        <f>ObesityDataSet_raw_and_data_sin!D76</f>
        <v>85</v>
      </c>
      <c r="D76" t="str">
        <f>ObesityDataSet_raw_and_data_sin!Q76</f>
        <v>Overweight_Level_II</v>
      </c>
      <c r="E76" t="b">
        <f t="shared" si="5"/>
        <v>0</v>
      </c>
      <c r="F76">
        <f>C76/(B76*B76)</f>
        <v>29.411764705882355</v>
      </c>
      <c r="G76" t="str">
        <f t="shared" si="6"/>
        <v>Overweight</v>
      </c>
      <c r="H76" t="str">
        <f t="shared" si="7"/>
        <v>OK</v>
      </c>
      <c r="I76" t="str">
        <f t="shared" si="4"/>
        <v>OK</v>
      </c>
    </row>
    <row r="77" spans="1:9" x14ac:dyDescent="0.2">
      <c r="A77" t="str">
        <f>ObesityDataSet_raw_and_data_sin!A77</f>
        <v>Female</v>
      </c>
      <c r="B77">
        <f>ObesityDataSet_raw_and_data_sin!C77</f>
        <v>1.63</v>
      </c>
      <c r="C77">
        <f>ObesityDataSet_raw_and_data_sin!D77</f>
        <v>45</v>
      </c>
      <c r="D77" t="str">
        <f>ObesityDataSet_raw_and_data_sin!Q77</f>
        <v>Insufficient_Weight</v>
      </c>
      <c r="E77" t="b">
        <f t="shared" si="5"/>
        <v>0</v>
      </c>
      <c r="F77">
        <f>C77/(B77*B77)</f>
        <v>16.937031879257784</v>
      </c>
      <c r="G77" t="str">
        <f t="shared" si="6"/>
        <v>Normal</v>
      </c>
      <c r="H77" t="str">
        <f t="shared" si="7"/>
        <v>OK</v>
      </c>
      <c r="I77" t="str">
        <f t="shared" si="4"/>
        <v>OK</v>
      </c>
    </row>
    <row r="78" spans="1:9" x14ac:dyDescent="0.2">
      <c r="A78" t="str">
        <f>ObesityDataSet_raw_and_data_sin!A78</f>
        <v>Female</v>
      </c>
      <c r="B78">
        <f>ObesityDataSet_raw_and_data_sin!C78</f>
        <v>1.6</v>
      </c>
      <c r="C78">
        <f>ObesityDataSet_raw_and_data_sin!D78</f>
        <v>45</v>
      </c>
      <c r="D78" t="str">
        <f>ObesityDataSet_raw_and_data_sin!Q78</f>
        <v>Insufficient_Weight</v>
      </c>
      <c r="E78" t="b">
        <f t="shared" si="5"/>
        <v>0</v>
      </c>
      <c r="F78">
        <f>C78/(B78*B78)</f>
        <v>17.578124999999996</v>
      </c>
      <c r="G78" t="str">
        <f t="shared" si="6"/>
        <v>Normal</v>
      </c>
      <c r="H78" t="str">
        <f t="shared" si="7"/>
        <v>OK</v>
      </c>
      <c r="I78" t="str">
        <f t="shared" si="4"/>
        <v>OK</v>
      </c>
    </row>
    <row r="79" spans="1:9" x14ac:dyDescent="0.2">
      <c r="A79" t="str">
        <f>ObesityDataSet_raw_and_data_sin!A79</f>
        <v>Female</v>
      </c>
      <c r="B79">
        <f>ObesityDataSet_raw_and_data_sin!C79</f>
        <v>1.7</v>
      </c>
      <c r="C79">
        <f>ObesityDataSet_raw_and_data_sin!D79</f>
        <v>80</v>
      </c>
      <c r="D79" t="str">
        <f>ObesityDataSet_raw_and_data_sin!Q79</f>
        <v>Overweight_Level_II</v>
      </c>
      <c r="E79" t="b">
        <f t="shared" si="5"/>
        <v>0</v>
      </c>
      <c r="F79">
        <f>C79/(B79*B79)</f>
        <v>27.681660899653981</v>
      </c>
      <c r="G79" t="str">
        <f t="shared" si="6"/>
        <v>Overweight</v>
      </c>
      <c r="H79" t="str">
        <f t="shared" si="7"/>
        <v>OK</v>
      </c>
      <c r="I79" t="str">
        <f t="shared" si="4"/>
        <v>OK</v>
      </c>
    </row>
    <row r="80" spans="1:9" x14ac:dyDescent="0.2">
      <c r="A80" t="str">
        <f>ObesityDataSet_raw_and_data_sin!A80</f>
        <v>Female</v>
      </c>
      <c r="B80">
        <f>ObesityDataSet_raw_and_data_sin!C80</f>
        <v>1.65</v>
      </c>
      <c r="C80">
        <f>ObesityDataSet_raw_and_data_sin!D80</f>
        <v>90</v>
      </c>
      <c r="D80" t="str">
        <f>ObesityDataSet_raw_and_data_sin!Q80</f>
        <v>Obesity_Type_I</v>
      </c>
      <c r="E80" t="b">
        <f t="shared" si="5"/>
        <v>0</v>
      </c>
      <c r="F80">
        <f>C80/(B80*B80)</f>
        <v>33.057851239669425</v>
      </c>
      <c r="G80" t="str">
        <f t="shared" si="6"/>
        <v>Obese</v>
      </c>
      <c r="H80" t="str">
        <f t="shared" si="7"/>
        <v>OK</v>
      </c>
      <c r="I80" t="str">
        <f t="shared" si="4"/>
        <v>OK</v>
      </c>
    </row>
    <row r="81" spans="1:9" x14ac:dyDescent="0.2">
      <c r="A81" t="str">
        <f>ObesityDataSet_raw_and_data_sin!A81</f>
        <v>Male</v>
      </c>
      <c r="B81">
        <f>ObesityDataSet_raw_and_data_sin!C81</f>
        <v>1.65</v>
      </c>
      <c r="C81">
        <f>ObesityDataSet_raw_and_data_sin!D81</f>
        <v>60</v>
      </c>
      <c r="D81" t="str">
        <f>ObesityDataSet_raw_and_data_sin!Q81</f>
        <v>Normal_Weight</v>
      </c>
      <c r="E81" t="b">
        <f t="shared" si="5"/>
        <v>0</v>
      </c>
      <c r="F81">
        <f>C81/(B81*B81)</f>
        <v>22.03856749311295</v>
      </c>
      <c r="G81" t="str">
        <f t="shared" si="6"/>
        <v>Normal</v>
      </c>
      <c r="H81" t="str">
        <f t="shared" si="7"/>
        <v>OK</v>
      </c>
      <c r="I81" t="str">
        <f t="shared" si="4"/>
        <v>OK</v>
      </c>
    </row>
    <row r="82" spans="1:9" x14ac:dyDescent="0.2">
      <c r="A82" t="str">
        <f>ObesityDataSet_raw_and_data_sin!A82</f>
        <v>Female</v>
      </c>
      <c r="B82">
        <f>ObesityDataSet_raw_and_data_sin!C82</f>
        <v>1.63</v>
      </c>
      <c r="C82">
        <f>ObesityDataSet_raw_and_data_sin!D82</f>
        <v>58</v>
      </c>
      <c r="D82" t="str">
        <f>ObesityDataSet_raw_and_data_sin!Q82</f>
        <v>Normal_Weight</v>
      </c>
      <c r="E82" t="b">
        <f t="shared" si="5"/>
        <v>0</v>
      </c>
      <c r="F82">
        <f>C82/(B82*B82)</f>
        <v>21.829952199932254</v>
      </c>
      <c r="G82" t="str">
        <f t="shared" si="6"/>
        <v>Normal</v>
      </c>
      <c r="H82" t="str">
        <f t="shared" si="7"/>
        <v>OK</v>
      </c>
      <c r="I82" t="str">
        <f t="shared" si="4"/>
        <v>OK</v>
      </c>
    </row>
    <row r="83" spans="1:9" x14ac:dyDescent="0.2">
      <c r="A83" t="str">
        <f>ObesityDataSet_raw_and_data_sin!A83</f>
        <v>Male</v>
      </c>
      <c r="B83">
        <f>ObesityDataSet_raw_and_data_sin!C83</f>
        <v>1.8</v>
      </c>
      <c r="C83">
        <f>ObesityDataSet_raw_and_data_sin!D83</f>
        <v>91</v>
      </c>
      <c r="D83" t="str">
        <f>ObesityDataSet_raw_and_data_sin!Q83</f>
        <v>Overweight_Level_II</v>
      </c>
      <c r="E83" t="b">
        <f t="shared" si="5"/>
        <v>0</v>
      </c>
      <c r="F83">
        <f>C83/(B83*B83)</f>
        <v>28.086419753086417</v>
      </c>
      <c r="G83" t="str">
        <f t="shared" si="6"/>
        <v>Overweight</v>
      </c>
      <c r="H83" t="str">
        <f t="shared" si="7"/>
        <v>OK</v>
      </c>
      <c r="I83" t="str">
        <f t="shared" si="4"/>
        <v>OK</v>
      </c>
    </row>
    <row r="84" spans="1:9" x14ac:dyDescent="0.2">
      <c r="A84" t="str">
        <f>ObesityDataSet_raw_and_data_sin!A84</f>
        <v>Male</v>
      </c>
      <c r="B84">
        <f>ObesityDataSet_raw_and_data_sin!C84</f>
        <v>1.67</v>
      </c>
      <c r="C84">
        <f>ObesityDataSet_raw_and_data_sin!D84</f>
        <v>85.5</v>
      </c>
      <c r="D84" t="str">
        <f>ObesityDataSet_raw_and_data_sin!Q84</f>
        <v>Obesity_Type_I</v>
      </c>
      <c r="E84" t="b">
        <f t="shared" si="5"/>
        <v>0</v>
      </c>
      <c r="F84">
        <f>C84/(B84*B84)</f>
        <v>30.657248377496504</v>
      </c>
      <c r="G84" t="str">
        <f t="shared" si="6"/>
        <v>Obese</v>
      </c>
      <c r="H84" t="str">
        <f t="shared" si="7"/>
        <v>OK</v>
      </c>
      <c r="I84" t="str">
        <f t="shared" si="4"/>
        <v>OK</v>
      </c>
    </row>
    <row r="85" spans="1:9" x14ac:dyDescent="0.2">
      <c r="A85" t="str">
        <f>ObesityDataSet_raw_and_data_sin!A85</f>
        <v>Female</v>
      </c>
      <c r="B85">
        <f>ObesityDataSet_raw_and_data_sin!C85</f>
        <v>1.6</v>
      </c>
      <c r="C85">
        <f>ObesityDataSet_raw_and_data_sin!D85</f>
        <v>45</v>
      </c>
      <c r="D85" t="str">
        <f>ObesityDataSet_raw_and_data_sin!Q85</f>
        <v>Insufficient_Weight</v>
      </c>
      <c r="E85" t="b">
        <f t="shared" si="5"/>
        <v>0</v>
      </c>
      <c r="F85">
        <f>C85/(B85*B85)</f>
        <v>17.578124999999996</v>
      </c>
      <c r="G85" t="str">
        <f t="shared" si="6"/>
        <v>Normal</v>
      </c>
      <c r="H85" t="str">
        <f t="shared" si="7"/>
        <v>OK</v>
      </c>
      <c r="I85" t="str">
        <f t="shared" si="4"/>
        <v>OK</v>
      </c>
    </row>
    <row r="86" spans="1:9" x14ac:dyDescent="0.2">
      <c r="A86" t="str">
        <f>ObesityDataSet_raw_and_data_sin!A86</f>
        <v>Male</v>
      </c>
      <c r="B86">
        <f>ObesityDataSet_raw_and_data_sin!C86</f>
        <v>1.7</v>
      </c>
      <c r="C86">
        <f>ObesityDataSet_raw_and_data_sin!D86</f>
        <v>83</v>
      </c>
      <c r="D86" t="str">
        <f>ObesityDataSet_raw_and_data_sin!Q86</f>
        <v>Overweight_Level_II</v>
      </c>
      <c r="E86" t="b">
        <f t="shared" si="5"/>
        <v>0</v>
      </c>
      <c r="F86">
        <f>C86/(B86*B86)</f>
        <v>28.719723183391007</v>
      </c>
      <c r="G86" t="str">
        <f t="shared" si="6"/>
        <v>Overweight</v>
      </c>
      <c r="H86" t="str">
        <f t="shared" si="7"/>
        <v>OK</v>
      </c>
      <c r="I86" t="str">
        <f t="shared" si="4"/>
        <v>OK</v>
      </c>
    </row>
    <row r="87" spans="1:9" x14ac:dyDescent="0.2">
      <c r="A87" t="str">
        <f>ObesityDataSet_raw_and_data_sin!A87</f>
        <v>Male</v>
      </c>
      <c r="B87">
        <f>ObesityDataSet_raw_and_data_sin!C87</f>
        <v>1.65</v>
      </c>
      <c r="C87">
        <f>ObesityDataSet_raw_and_data_sin!D87</f>
        <v>58.5</v>
      </c>
      <c r="D87" t="str">
        <f>ObesityDataSet_raw_and_data_sin!Q87</f>
        <v>Normal_Weight</v>
      </c>
      <c r="E87" t="b">
        <f t="shared" si="5"/>
        <v>0</v>
      </c>
      <c r="F87">
        <f>C87/(B87*B87)</f>
        <v>21.487603305785125</v>
      </c>
      <c r="G87" t="str">
        <f t="shared" si="6"/>
        <v>Normal</v>
      </c>
      <c r="H87" t="str">
        <f t="shared" si="7"/>
        <v>OK</v>
      </c>
      <c r="I87" t="str">
        <f t="shared" si="4"/>
        <v>OK</v>
      </c>
    </row>
    <row r="88" spans="1:9" x14ac:dyDescent="0.2">
      <c r="A88" t="str">
        <f>ObesityDataSet_raw_and_data_sin!A88</f>
        <v>Male</v>
      </c>
      <c r="B88">
        <f>ObesityDataSet_raw_and_data_sin!C88</f>
        <v>1.85</v>
      </c>
      <c r="C88">
        <f>ObesityDataSet_raw_and_data_sin!D88</f>
        <v>83</v>
      </c>
      <c r="D88" t="str">
        <f>ObesityDataSet_raw_and_data_sin!Q88</f>
        <v>Normal_Weight</v>
      </c>
      <c r="E88" t="b">
        <f t="shared" si="5"/>
        <v>0</v>
      </c>
      <c r="F88">
        <f>C88/(B88*B88)</f>
        <v>24.251278305332356</v>
      </c>
      <c r="G88" t="str">
        <f t="shared" si="6"/>
        <v>Normal</v>
      </c>
      <c r="H88" t="str">
        <f t="shared" si="7"/>
        <v>OK</v>
      </c>
      <c r="I88" t="str">
        <f t="shared" si="4"/>
        <v>OK</v>
      </c>
    </row>
    <row r="89" spans="1:9" x14ac:dyDescent="0.2">
      <c r="A89" t="str">
        <f>ObesityDataSet_raw_and_data_sin!A89</f>
        <v>Male</v>
      </c>
      <c r="B89">
        <f>ObesityDataSet_raw_and_data_sin!C89</f>
        <v>1.82</v>
      </c>
      <c r="C89">
        <f>ObesityDataSet_raw_and_data_sin!D89</f>
        <v>87</v>
      </c>
      <c r="D89" t="str">
        <f>ObesityDataSet_raw_and_data_sin!Q89</f>
        <v>Overweight_Level_I</v>
      </c>
      <c r="E89" t="b">
        <f t="shared" si="5"/>
        <v>0</v>
      </c>
      <c r="F89">
        <f>C89/(B89*B89)</f>
        <v>26.26494384736143</v>
      </c>
      <c r="G89" t="str">
        <f t="shared" si="6"/>
        <v>Overweight</v>
      </c>
      <c r="H89" t="str">
        <f t="shared" si="7"/>
        <v>OK</v>
      </c>
      <c r="I89" t="str">
        <f t="shared" si="4"/>
        <v>OK</v>
      </c>
    </row>
    <row r="90" spans="1:9" x14ac:dyDescent="0.2">
      <c r="A90" t="str">
        <f>ObesityDataSet_raw_and_data_sin!A90</f>
        <v>Female</v>
      </c>
      <c r="B90">
        <f>ObesityDataSet_raw_and_data_sin!C90</f>
        <v>1.65</v>
      </c>
      <c r="C90">
        <f>ObesityDataSet_raw_and_data_sin!D90</f>
        <v>65</v>
      </c>
      <c r="D90" t="str">
        <f>ObesityDataSet_raw_and_data_sin!Q90</f>
        <v>Normal_Weight</v>
      </c>
      <c r="E90" t="b">
        <f t="shared" si="5"/>
        <v>0</v>
      </c>
      <c r="F90">
        <f>C90/(B90*B90)</f>
        <v>23.875114784205696</v>
      </c>
      <c r="G90" t="str">
        <f t="shared" si="6"/>
        <v>Normal</v>
      </c>
      <c r="H90" t="str">
        <f t="shared" si="7"/>
        <v>OK</v>
      </c>
      <c r="I90" t="str">
        <f t="shared" si="4"/>
        <v>OK</v>
      </c>
    </row>
    <row r="91" spans="1:9" x14ac:dyDescent="0.2">
      <c r="A91" t="str">
        <f>ObesityDataSet_raw_and_data_sin!A91</f>
        <v>Female</v>
      </c>
      <c r="B91">
        <f>ObesityDataSet_raw_and_data_sin!C91</f>
        <v>1.7</v>
      </c>
      <c r="C91">
        <f>ObesityDataSet_raw_and_data_sin!D91</f>
        <v>78</v>
      </c>
      <c r="D91" t="str">
        <f>ObesityDataSet_raw_and_data_sin!Q91</f>
        <v>Overweight_Level_II</v>
      </c>
      <c r="E91" t="b">
        <f t="shared" si="5"/>
        <v>0</v>
      </c>
      <c r="F91">
        <f>C91/(B91*B91)</f>
        <v>26.989619377162633</v>
      </c>
      <c r="G91" t="str">
        <f t="shared" si="6"/>
        <v>Overweight</v>
      </c>
      <c r="H91" t="str">
        <f t="shared" si="7"/>
        <v>OK</v>
      </c>
      <c r="I91" t="str">
        <f t="shared" si="4"/>
        <v>OK</v>
      </c>
    </row>
    <row r="92" spans="1:9" x14ac:dyDescent="0.2">
      <c r="A92" t="str">
        <f>ObesityDataSet_raw_and_data_sin!A92</f>
        <v>Female</v>
      </c>
      <c r="B92">
        <f>ObesityDataSet_raw_and_data_sin!C92</f>
        <v>1.63</v>
      </c>
      <c r="C92">
        <f>ObesityDataSet_raw_and_data_sin!D92</f>
        <v>93</v>
      </c>
      <c r="D92" t="str">
        <f>ObesityDataSet_raw_and_data_sin!Q92</f>
        <v>Obesity_Type_II</v>
      </c>
      <c r="E92" t="b">
        <f t="shared" si="5"/>
        <v>0</v>
      </c>
      <c r="F92">
        <f>C92/(B92*B92)</f>
        <v>35.003199217132753</v>
      </c>
      <c r="G92" t="str">
        <f t="shared" si="6"/>
        <v>Obese</v>
      </c>
      <c r="H92" t="str">
        <f t="shared" si="7"/>
        <v>OK</v>
      </c>
      <c r="I92" t="str">
        <f t="shared" si="4"/>
        <v>OK</v>
      </c>
    </row>
    <row r="93" spans="1:9" x14ac:dyDescent="0.2">
      <c r="A93" t="str">
        <f>ObesityDataSet_raw_and_data_sin!A93</f>
        <v>Female</v>
      </c>
      <c r="B93">
        <f>ObesityDataSet_raw_and_data_sin!C93</f>
        <v>1.61</v>
      </c>
      <c r="C93">
        <f>ObesityDataSet_raw_and_data_sin!D93</f>
        <v>64</v>
      </c>
      <c r="D93" t="str">
        <f>ObesityDataSet_raw_and_data_sin!Q93</f>
        <v>Normal_Weight</v>
      </c>
      <c r="E93" t="b">
        <f t="shared" si="5"/>
        <v>0</v>
      </c>
      <c r="F93">
        <f>C93/(B93*B93)</f>
        <v>24.690405462752206</v>
      </c>
      <c r="G93" t="str">
        <f t="shared" si="6"/>
        <v>Normal</v>
      </c>
      <c r="H93" t="str">
        <f t="shared" si="7"/>
        <v>OK</v>
      </c>
      <c r="I93" t="str">
        <f t="shared" si="4"/>
        <v>OK</v>
      </c>
    </row>
    <row r="94" spans="1:9" x14ac:dyDescent="0.2">
      <c r="A94" t="str">
        <f>ObesityDataSet_raw_and_data_sin!A94</f>
        <v>Male</v>
      </c>
      <c r="B94">
        <f>ObesityDataSet_raw_and_data_sin!C94</f>
        <v>1.78</v>
      </c>
      <c r="C94">
        <f>ObesityDataSet_raw_and_data_sin!D94</f>
        <v>84</v>
      </c>
      <c r="D94" t="str">
        <f>ObesityDataSet_raw_and_data_sin!Q94</f>
        <v>Overweight_Level_I</v>
      </c>
      <c r="E94" t="b">
        <f t="shared" si="5"/>
        <v>0</v>
      </c>
      <c r="F94">
        <f>C94/(B94*B94)</f>
        <v>26.511804065143288</v>
      </c>
      <c r="G94" t="str">
        <f t="shared" si="6"/>
        <v>Overweight</v>
      </c>
      <c r="H94" t="str">
        <f t="shared" si="7"/>
        <v>OK</v>
      </c>
      <c r="I94" t="str">
        <f t="shared" si="4"/>
        <v>OK</v>
      </c>
    </row>
    <row r="95" spans="1:9" x14ac:dyDescent="0.2">
      <c r="A95" t="str">
        <f>ObesityDataSet_raw_and_data_sin!A95</f>
        <v>Female</v>
      </c>
      <c r="B95">
        <f>ObesityDataSet_raw_and_data_sin!C95</f>
        <v>1.6</v>
      </c>
      <c r="C95">
        <f>ObesityDataSet_raw_and_data_sin!D95</f>
        <v>57</v>
      </c>
      <c r="D95" t="str">
        <f>ObesityDataSet_raw_and_data_sin!Q95</f>
        <v>Normal_Weight</v>
      </c>
      <c r="E95" t="b">
        <f t="shared" si="5"/>
        <v>0</v>
      </c>
      <c r="F95">
        <f>C95/(B95*B95)</f>
        <v>22.265624999999996</v>
      </c>
      <c r="G95" t="str">
        <f t="shared" si="6"/>
        <v>Normal</v>
      </c>
      <c r="H95" t="str">
        <f t="shared" si="7"/>
        <v>OK</v>
      </c>
      <c r="I95" t="str">
        <f t="shared" si="4"/>
        <v>OK</v>
      </c>
    </row>
    <row r="96" spans="1:9" x14ac:dyDescent="0.2">
      <c r="A96" t="str">
        <f>ObesityDataSet_raw_and_data_sin!A96</f>
        <v>Female</v>
      </c>
      <c r="B96">
        <f>ObesityDataSet_raw_and_data_sin!C96</f>
        <v>1.6</v>
      </c>
      <c r="C96">
        <f>ObesityDataSet_raw_and_data_sin!D96</f>
        <v>48</v>
      </c>
      <c r="D96" t="str">
        <f>ObesityDataSet_raw_and_data_sin!Q96</f>
        <v>Normal_Weight</v>
      </c>
      <c r="E96" t="b">
        <f t="shared" si="5"/>
        <v>0</v>
      </c>
      <c r="F96">
        <f>C96/(B96*B96)</f>
        <v>18.749999999999996</v>
      </c>
      <c r="G96" t="str">
        <f t="shared" si="6"/>
        <v>Normal</v>
      </c>
      <c r="H96" t="str">
        <f t="shared" si="7"/>
        <v>OK</v>
      </c>
      <c r="I96" t="str">
        <f t="shared" si="4"/>
        <v>OK</v>
      </c>
    </row>
    <row r="97" spans="1:9" x14ac:dyDescent="0.2">
      <c r="A97" t="str">
        <f>ObesityDataSet_raw_and_data_sin!A97</f>
        <v>Male</v>
      </c>
      <c r="B97">
        <f>ObesityDataSet_raw_and_data_sin!C97</f>
        <v>1.7</v>
      </c>
      <c r="C97">
        <f>ObesityDataSet_raw_and_data_sin!D97</f>
        <v>70</v>
      </c>
      <c r="D97" t="str">
        <f>ObesityDataSet_raw_and_data_sin!Q97</f>
        <v>Normal_Weight</v>
      </c>
      <c r="E97" t="b">
        <f t="shared" si="5"/>
        <v>0</v>
      </c>
      <c r="F97">
        <f>C97/(B97*B97)</f>
        <v>24.221453287197235</v>
      </c>
      <c r="G97" t="str">
        <f t="shared" si="6"/>
        <v>Normal</v>
      </c>
      <c r="H97" t="str">
        <f t="shared" si="7"/>
        <v>OK</v>
      </c>
      <c r="I97" t="str">
        <f t="shared" si="4"/>
        <v>OK</v>
      </c>
    </row>
    <row r="98" spans="1:9" x14ac:dyDescent="0.2">
      <c r="A98" t="str">
        <f>ObesityDataSet_raw_and_data_sin!A98</f>
        <v>Female</v>
      </c>
      <c r="B98">
        <f>ObesityDataSet_raw_and_data_sin!C98</f>
        <v>1.66</v>
      </c>
      <c r="C98">
        <f>ObesityDataSet_raw_and_data_sin!D98</f>
        <v>60</v>
      </c>
      <c r="D98" t="str">
        <f>ObesityDataSet_raw_and_data_sin!Q98</f>
        <v>Normal_Weight</v>
      </c>
      <c r="E98" t="b">
        <f t="shared" si="5"/>
        <v>0</v>
      </c>
      <c r="F98">
        <f>C98/(B98*B98)</f>
        <v>21.773842357381334</v>
      </c>
      <c r="G98" t="str">
        <f t="shared" si="6"/>
        <v>Normal</v>
      </c>
      <c r="H98" t="str">
        <f t="shared" si="7"/>
        <v>OK</v>
      </c>
      <c r="I98" t="str">
        <f t="shared" si="4"/>
        <v>OK</v>
      </c>
    </row>
    <row r="99" spans="1:9" x14ac:dyDescent="0.2">
      <c r="A99" t="str">
        <f>ObesityDataSet_raw_and_data_sin!A99</f>
        <v>Female</v>
      </c>
      <c r="B99">
        <f>ObesityDataSet_raw_and_data_sin!C99</f>
        <v>1.52</v>
      </c>
      <c r="C99">
        <f>ObesityDataSet_raw_and_data_sin!D99</f>
        <v>42</v>
      </c>
      <c r="D99" t="str">
        <f>ObesityDataSet_raw_and_data_sin!Q99</f>
        <v>Insufficient_Weight</v>
      </c>
      <c r="E99" t="b">
        <f t="shared" si="5"/>
        <v>0</v>
      </c>
      <c r="F99">
        <f>C99/(B99*B99)</f>
        <v>18.178670360110804</v>
      </c>
      <c r="G99" t="str">
        <f t="shared" si="6"/>
        <v>Normal</v>
      </c>
      <c r="H99" t="str">
        <f t="shared" si="7"/>
        <v>OK</v>
      </c>
      <c r="I99" t="str">
        <f t="shared" si="4"/>
        <v>OK</v>
      </c>
    </row>
    <row r="100" spans="1:9" x14ac:dyDescent="0.2">
      <c r="A100" t="str">
        <f>ObesityDataSet_raw_and_data_sin!A100</f>
        <v>Female</v>
      </c>
      <c r="B100">
        <f>ObesityDataSet_raw_and_data_sin!C100</f>
        <v>1.52</v>
      </c>
      <c r="C100">
        <f>ObesityDataSet_raw_and_data_sin!D100</f>
        <v>42</v>
      </c>
      <c r="D100" t="str">
        <f>ObesityDataSet_raw_and_data_sin!Q100</f>
        <v>Insufficient_Weight</v>
      </c>
      <c r="E100" t="b">
        <f t="shared" si="5"/>
        <v>0</v>
      </c>
      <c r="F100">
        <f>C100/(B100*B100)</f>
        <v>18.178670360110804</v>
      </c>
      <c r="G100" t="str">
        <f t="shared" si="6"/>
        <v>Normal</v>
      </c>
      <c r="H100" t="str">
        <f t="shared" si="7"/>
        <v>OK</v>
      </c>
      <c r="I100" t="str">
        <f t="shared" si="4"/>
        <v>OK</v>
      </c>
    </row>
    <row r="101" spans="1:9" x14ac:dyDescent="0.2">
      <c r="A101" t="str">
        <f>ObesityDataSet_raw_and_data_sin!A101</f>
        <v>Male</v>
      </c>
      <c r="B101">
        <f>ObesityDataSet_raw_and_data_sin!C101</f>
        <v>1.72</v>
      </c>
      <c r="C101">
        <f>ObesityDataSet_raw_and_data_sin!D101</f>
        <v>70</v>
      </c>
      <c r="D101" t="str">
        <f>ObesityDataSet_raw_and_data_sin!Q101</f>
        <v>Normal_Weight</v>
      </c>
      <c r="E101" t="b">
        <f t="shared" si="5"/>
        <v>0</v>
      </c>
      <c r="F101">
        <f>C101/(B101*B101)</f>
        <v>23.661438615467823</v>
      </c>
      <c r="G101" t="str">
        <f t="shared" si="6"/>
        <v>Normal</v>
      </c>
      <c r="H101" t="str">
        <f t="shared" si="7"/>
        <v>OK</v>
      </c>
      <c r="I101" t="str">
        <f t="shared" si="4"/>
        <v>OK</v>
      </c>
    </row>
    <row r="102" spans="1:9" x14ac:dyDescent="0.2">
      <c r="A102" t="str">
        <f>ObesityDataSet_raw_and_data_sin!A102</f>
        <v>Female</v>
      </c>
      <c r="B102">
        <f>ObesityDataSet_raw_and_data_sin!C102</f>
        <v>1.69</v>
      </c>
      <c r="C102">
        <f>ObesityDataSet_raw_and_data_sin!D102</f>
        <v>63</v>
      </c>
      <c r="D102" t="str">
        <f>ObesityDataSet_raw_and_data_sin!Q102</f>
        <v>Normal_Weight</v>
      </c>
      <c r="E102" t="b">
        <f t="shared" si="5"/>
        <v>0</v>
      </c>
      <c r="F102">
        <f>C102/(B102*B102)</f>
        <v>22.058051188683873</v>
      </c>
      <c r="G102" t="str">
        <f t="shared" si="6"/>
        <v>Normal</v>
      </c>
      <c r="H102" t="str">
        <f t="shared" si="7"/>
        <v>OK</v>
      </c>
      <c r="I102" t="str">
        <f t="shared" si="4"/>
        <v>OK</v>
      </c>
    </row>
    <row r="103" spans="1:9" x14ac:dyDescent="0.2">
      <c r="A103" t="str">
        <f>ObesityDataSet_raw_and_data_sin!A103</f>
        <v>Male</v>
      </c>
      <c r="B103">
        <f>ObesityDataSet_raw_and_data_sin!C103</f>
        <v>1.7</v>
      </c>
      <c r="C103">
        <f>ObesityDataSet_raw_and_data_sin!D103</f>
        <v>66.400000000000006</v>
      </c>
      <c r="D103" t="str">
        <f>ObesityDataSet_raw_and_data_sin!Q103</f>
        <v>Normal_Weight</v>
      </c>
      <c r="E103" t="b">
        <f t="shared" si="5"/>
        <v>0</v>
      </c>
      <c r="F103">
        <f>C103/(B103*B103)</f>
        <v>22.975778546712807</v>
      </c>
      <c r="G103" t="str">
        <f t="shared" si="6"/>
        <v>Normal</v>
      </c>
      <c r="H103" t="str">
        <f t="shared" si="7"/>
        <v>OK</v>
      </c>
      <c r="I103" t="str">
        <f t="shared" si="4"/>
        <v>OK</v>
      </c>
    </row>
    <row r="104" spans="1:9" x14ac:dyDescent="0.2">
      <c r="A104" t="str">
        <f>ObesityDataSet_raw_and_data_sin!A104</f>
        <v>Female</v>
      </c>
      <c r="B104">
        <f>ObesityDataSet_raw_and_data_sin!C104</f>
        <v>1.55</v>
      </c>
      <c r="C104">
        <f>ObesityDataSet_raw_and_data_sin!D104</f>
        <v>57</v>
      </c>
      <c r="D104" t="str">
        <f>ObesityDataSet_raw_and_data_sin!Q104</f>
        <v>Normal_Weight</v>
      </c>
      <c r="E104" t="b">
        <f t="shared" si="5"/>
        <v>0</v>
      </c>
      <c r="F104">
        <f>C104/(B104*B104)</f>
        <v>23.725286160249738</v>
      </c>
      <c r="G104" t="str">
        <f t="shared" si="6"/>
        <v>Normal</v>
      </c>
      <c r="H104" t="str">
        <f t="shared" si="7"/>
        <v>OK</v>
      </c>
      <c r="I104" t="str">
        <f t="shared" si="4"/>
        <v>OK</v>
      </c>
    </row>
    <row r="105" spans="1:9" x14ac:dyDescent="0.2">
      <c r="A105" t="str">
        <f>ObesityDataSet_raw_and_data_sin!A105</f>
        <v>Female</v>
      </c>
      <c r="B105">
        <f>ObesityDataSet_raw_and_data_sin!C105</f>
        <v>1.65</v>
      </c>
      <c r="C105">
        <f>ObesityDataSet_raw_and_data_sin!D105</f>
        <v>58</v>
      </c>
      <c r="D105" t="str">
        <f>ObesityDataSet_raw_and_data_sin!Q105</f>
        <v>Normal_Weight</v>
      </c>
      <c r="E105" t="b">
        <f t="shared" si="5"/>
        <v>0</v>
      </c>
      <c r="F105">
        <f>C105/(B105*B105)</f>
        <v>21.30394857667585</v>
      </c>
      <c r="G105" t="str">
        <f t="shared" si="6"/>
        <v>Normal</v>
      </c>
      <c r="H105" t="str">
        <f t="shared" si="7"/>
        <v>OK</v>
      </c>
      <c r="I105" t="str">
        <f t="shared" si="4"/>
        <v>OK</v>
      </c>
    </row>
    <row r="106" spans="1:9" x14ac:dyDescent="0.2">
      <c r="A106" t="str">
        <f>ObesityDataSet_raw_and_data_sin!A106</f>
        <v>Female</v>
      </c>
      <c r="B106">
        <f>ObesityDataSet_raw_and_data_sin!C106</f>
        <v>1.56</v>
      </c>
      <c r="C106">
        <f>ObesityDataSet_raw_and_data_sin!D106</f>
        <v>80</v>
      </c>
      <c r="D106" t="str">
        <f>ObesityDataSet_raw_and_data_sin!Q106</f>
        <v>Obesity_Type_I</v>
      </c>
      <c r="E106" t="b">
        <f t="shared" si="5"/>
        <v>0</v>
      </c>
      <c r="F106">
        <f>C106/(B106*B106)</f>
        <v>32.873109796186718</v>
      </c>
      <c r="G106" t="str">
        <f t="shared" si="6"/>
        <v>Obese</v>
      </c>
      <c r="H106" t="str">
        <f t="shared" si="7"/>
        <v>OK</v>
      </c>
      <c r="I106" t="str">
        <f t="shared" si="4"/>
        <v>OK</v>
      </c>
    </row>
    <row r="107" spans="1:9" x14ac:dyDescent="0.2">
      <c r="A107" t="str">
        <f>ObesityDataSet_raw_and_data_sin!A107</f>
        <v>Female</v>
      </c>
      <c r="B107">
        <f>ObesityDataSet_raw_and_data_sin!C107</f>
        <v>1.57</v>
      </c>
      <c r="C107">
        <f>ObesityDataSet_raw_and_data_sin!D107</f>
        <v>55</v>
      </c>
      <c r="D107" t="str">
        <f>ObesityDataSet_raw_and_data_sin!Q107</f>
        <v>Normal_Weight</v>
      </c>
      <c r="E107" t="b">
        <f t="shared" si="5"/>
        <v>0</v>
      </c>
      <c r="F107">
        <f>C107/(B107*B107)</f>
        <v>22.313278429145196</v>
      </c>
      <c r="G107" t="str">
        <f t="shared" si="6"/>
        <v>Normal</v>
      </c>
      <c r="H107" t="str">
        <f t="shared" si="7"/>
        <v>OK</v>
      </c>
      <c r="I107" t="str">
        <f t="shared" si="4"/>
        <v>OK</v>
      </c>
    </row>
    <row r="108" spans="1:9" x14ac:dyDescent="0.2">
      <c r="A108" t="str">
        <f>ObesityDataSet_raw_and_data_sin!A108</f>
        <v>Female</v>
      </c>
      <c r="B108">
        <f>ObesityDataSet_raw_and_data_sin!C108</f>
        <v>1.57</v>
      </c>
      <c r="C108">
        <f>ObesityDataSet_raw_and_data_sin!D108</f>
        <v>55</v>
      </c>
      <c r="D108" t="str">
        <f>ObesityDataSet_raw_and_data_sin!Q108</f>
        <v>Normal_Weight</v>
      </c>
      <c r="E108" t="b">
        <f t="shared" si="5"/>
        <v>0</v>
      </c>
      <c r="F108">
        <f>C108/(B108*B108)</f>
        <v>22.313278429145196</v>
      </c>
      <c r="G108" t="str">
        <f t="shared" si="6"/>
        <v>Normal</v>
      </c>
      <c r="H108" t="str">
        <f t="shared" si="7"/>
        <v>OK</v>
      </c>
      <c r="I108" t="str">
        <f t="shared" si="4"/>
        <v>OK</v>
      </c>
    </row>
    <row r="109" spans="1:9" x14ac:dyDescent="0.2">
      <c r="A109" t="str">
        <f>ObesityDataSet_raw_and_data_sin!A109</f>
        <v>Male</v>
      </c>
      <c r="B109">
        <f>ObesityDataSet_raw_and_data_sin!C109</f>
        <v>1.88</v>
      </c>
      <c r="C109">
        <f>ObesityDataSet_raw_and_data_sin!D109</f>
        <v>90</v>
      </c>
      <c r="D109" t="str">
        <f>ObesityDataSet_raw_and_data_sin!Q109</f>
        <v>Overweight_Level_I</v>
      </c>
      <c r="E109" t="b">
        <f t="shared" si="5"/>
        <v>0</v>
      </c>
      <c r="F109">
        <f>C109/(B109*B109)</f>
        <v>25.464010864644639</v>
      </c>
      <c r="G109" t="str">
        <f t="shared" si="6"/>
        <v>Overweight</v>
      </c>
      <c r="H109" t="str">
        <f t="shared" si="7"/>
        <v>OK</v>
      </c>
      <c r="I109" t="str">
        <f t="shared" si="4"/>
        <v>OK</v>
      </c>
    </row>
    <row r="110" spans="1:9" x14ac:dyDescent="0.2">
      <c r="A110" t="str">
        <f>ObesityDataSet_raw_and_data_sin!A110</f>
        <v>Male</v>
      </c>
      <c r="B110">
        <f>ObesityDataSet_raw_and_data_sin!C110</f>
        <v>1.75</v>
      </c>
      <c r="C110">
        <f>ObesityDataSet_raw_and_data_sin!D110</f>
        <v>95</v>
      </c>
      <c r="D110" t="str">
        <f>ObesityDataSet_raw_and_data_sin!Q110</f>
        <v>Obesity_Type_I</v>
      </c>
      <c r="E110" t="b">
        <f t="shared" si="5"/>
        <v>0</v>
      </c>
      <c r="F110">
        <f>C110/(B110*B110)</f>
        <v>31.020408163265305</v>
      </c>
      <c r="G110" t="str">
        <f t="shared" si="6"/>
        <v>Obese</v>
      </c>
      <c r="H110" t="str">
        <f t="shared" si="7"/>
        <v>OK</v>
      </c>
      <c r="I110" t="str">
        <f t="shared" si="4"/>
        <v>OK</v>
      </c>
    </row>
    <row r="111" spans="1:9" x14ac:dyDescent="0.2">
      <c r="A111" t="str">
        <f>ObesityDataSet_raw_and_data_sin!A111</f>
        <v>Female</v>
      </c>
      <c r="B111">
        <f>ObesityDataSet_raw_and_data_sin!C111</f>
        <v>1.65</v>
      </c>
      <c r="C111">
        <f>ObesityDataSet_raw_and_data_sin!D111</f>
        <v>88</v>
      </c>
      <c r="D111" t="str">
        <f>ObesityDataSet_raw_and_data_sin!Q111</f>
        <v>Obesity_Type_I</v>
      </c>
      <c r="E111" t="b">
        <f t="shared" si="5"/>
        <v>0</v>
      </c>
      <c r="F111">
        <f>C111/(B111*B111)</f>
        <v>32.323232323232325</v>
      </c>
      <c r="G111" t="str">
        <f t="shared" si="6"/>
        <v>Obese</v>
      </c>
      <c r="H111" t="str">
        <f t="shared" si="7"/>
        <v>OK</v>
      </c>
      <c r="I111" t="str">
        <f t="shared" si="4"/>
        <v>OK</v>
      </c>
    </row>
    <row r="112" spans="1:9" x14ac:dyDescent="0.2">
      <c r="A112" t="str">
        <f>ObesityDataSet_raw_and_data_sin!A112</f>
        <v>Male</v>
      </c>
      <c r="B112">
        <f>ObesityDataSet_raw_and_data_sin!C112</f>
        <v>1.75</v>
      </c>
      <c r="C112">
        <f>ObesityDataSet_raw_and_data_sin!D112</f>
        <v>75</v>
      </c>
      <c r="D112" t="str">
        <f>ObesityDataSet_raw_and_data_sin!Q112</f>
        <v>Normal_Weight</v>
      </c>
      <c r="E112" t="b">
        <f t="shared" si="5"/>
        <v>0</v>
      </c>
      <c r="F112">
        <f>C112/(B112*B112)</f>
        <v>24.489795918367346</v>
      </c>
      <c r="G112" t="str">
        <f t="shared" si="6"/>
        <v>Normal</v>
      </c>
      <c r="H112" t="str">
        <f t="shared" si="7"/>
        <v>OK</v>
      </c>
      <c r="I112" t="str">
        <f t="shared" si="4"/>
        <v>OK</v>
      </c>
    </row>
    <row r="113" spans="1:9" x14ac:dyDescent="0.2">
      <c r="A113" t="str">
        <f>ObesityDataSet_raw_and_data_sin!A113</f>
        <v>Female</v>
      </c>
      <c r="B113">
        <f>ObesityDataSet_raw_and_data_sin!C113</f>
        <v>1.58</v>
      </c>
      <c r="C113">
        <f>ObesityDataSet_raw_and_data_sin!D113</f>
        <v>58</v>
      </c>
      <c r="D113" t="str">
        <f>ObesityDataSet_raw_and_data_sin!Q113</f>
        <v>Normal_Weight</v>
      </c>
      <c r="E113" t="b">
        <f t="shared" si="5"/>
        <v>0</v>
      </c>
      <c r="F113">
        <f>C113/(B113*B113)</f>
        <v>23.233456176894723</v>
      </c>
      <c r="G113" t="str">
        <f t="shared" si="6"/>
        <v>Normal</v>
      </c>
      <c r="H113" t="str">
        <f t="shared" si="7"/>
        <v>OK</v>
      </c>
      <c r="I113" t="str">
        <f t="shared" si="4"/>
        <v>OK</v>
      </c>
    </row>
    <row r="114" spans="1:9" x14ac:dyDescent="0.2">
      <c r="A114" t="str">
        <f>ObesityDataSet_raw_and_data_sin!A114</f>
        <v>Female</v>
      </c>
      <c r="B114">
        <f>ObesityDataSet_raw_and_data_sin!C114</f>
        <v>1.56</v>
      </c>
      <c r="C114">
        <f>ObesityDataSet_raw_and_data_sin!D114</f>
        <v>51</v>
      </c>
      <c r="D114" t="str">
        <f>ObesityDataSet_raw_and_data_sin!Q114</f>
        <v>Normal_Weight</v>
      </c>
      <c r="E114" t="b">
        <f t="shared" si="5"/>
        <v>0</v>
      </c>
      <c r="F114">
        <f>C114/(B114*B114)</f>
        <v>20.956607495069033</v>
      </c>
      <c r="G114" t="str">
        <f t="shared" si="6"/>
        <v>Normal</v>
      </c>
      <c r="H114" t="str">
        <f t="shared" si="7"/>
        <v>OK</v>
      </c>
      <c r="I114" t="str">
        <f t="shared" si="4"/>
        <v>OK</v>
      </c>
    </row>
    <row r="115" spans="1:9" x14ac:dyDescent="0.2">
      <c r="A115" t="str">
        <f>ObesityDataSet_raw_and_data_sin!A115</f>
        <v>Female</v>
      </c>
      <c r="B115">
        <f>ObesityDataSet_raw_and_data_sin!C115</f>
        <v>1.5</v>
      </c>
      <c r="C115">
        <f>ObesityDataSet_raw_and_data_sin!D115</f>
        <v>49</v>
      </c>
      <c r="D115" t="str">
        <f>ObesityDataSet_raw_and_data_sin!Q115</f>
        <v>Normal_Weight</v>
      </c>
      <c r="E115" t="b">
        <f t="shared" si="5"/>
        <v>0</v>
      </c>
      <c r="F115">
        <f>C115/(B115*B115)</f>
        <v>21.777777777777779</v>
      </c>
      <c r="G115" t="str">
        <f t="shared" si="6"/>
        <v>Normal</v>
      </c>
      <c r="H115" t="str">
        <f t="shared" si="7"/>
        <v>OK</v>
      </c>
      <c r="I115" t="str">
        <f t="shared" si="4"/>
        <v>OK</v>
      </c>
    </row>
    <row r="116" spans="1:9" x14ac:dyDescent="0.2">
      <c r="A116" t="str">
        <f>ObesityDataSet_raw_and_data_sin!A116</f>
        <v>Female</v>
      </c>
      <c r="B116">
        <f>ObesityDataSet_raw_and_data_sin!C116</f>
        <v>1.61</v>
      </c>
      <c r="C116">
        <f>ObesityDataSet_raw_and_data_sin!D116</f>
        <v>62</v>
      </c>
      <c r="D116" t="str">
        <f>ObesityDataSet_raw_and_data_sin!Q116</f>
        <v>Normal_Weight</v>
      </c>
      <c r="E116" t="b">
        <f t="shared" si="5"/>
        <v>0</v>
      </c>
      <c r="F116">
        <f>C116/(B116*B116)</f>
        <v>23.9188302920412</v>
      </c>
      <c r="G116" t="str">
        <f t="shared" si="6"/>
        <v>Normal</v>
      </c>
      <c r="H116" t="str">
        <f t="shared" si="7"/>
        <v>OK</v>
      </c>
      <c r="I116" t="str">
        <f t="shared" si="4"/>
        <v>OK</v>
      </c>
    </row>
    <row r="117" spans="1:9" x14ac:dyDescent="0.2">
      <c r="A117" t="str">
        <f>ObesityDataSet_raw_and_data_sin!A117</f>
        <v>Female</v>
      </c>
      <c r="B117">
        <f>ObesityDataSet_raw_and_data_sin!C117</f>
        <v>1.75</v>
      </c>
      <c r="C117">
        <f>ObesityDataSet_raw_and_data_sin!D117</f>
        <v>57</v>
      </c>
      <c r="D117" t="str">
        <f>ObesityDataSet_raw_and_data_sin!Q117</f>
        <v>Normal_Weight</v>
      </c>
      <c r="E117" t="b">
        <f t="shared" si="5"/>
        <v>0</v>
      </c>
      <c r="F117">
        <f>C117/(B117*B117)</f>
        <v>18.612244897959183</v>
      </c>
      <c r="G117" t="str">
        <f t="shared" si="6"/>
        <v>Normal</v>
      </c>
      <c r="H117" t="str">
        <f t="shared" si="7"/>
        <v>OK</v>
      </c>
      <c r="I117" t="str">
        <f t="shared" si="4"/>
        <v>OK</v>
      </c>
    </row>
    <row r="118" spans="1:9" x14ac:dyDescent="0.2">
      <c r="A118" t="str">
        <f>ObesityDataSet_raw_and_data_sin!A118</f>
        <v>Female</v>
      </c>
      <c r="B118">
        <f>ObesityDataSet_raw_and_data_sin!C118</f>
        <v>1.65</v>
      </c>
      <c r="C118">
        <f>ObesityDataSet_raw_and_data_sin!D118</f>
        <v>86</v>
      </c>
      <c r="D118" t="str">
        <f>ObesityDataSet_raw_and_data_sin!Q118</f>
        <v>Obesity_Type_I</v>
      </c>
      <c r="E118" t="b">
        <f t="shared" si="5"/>
        <v>0</v>
      </c>
      <c r="F118">
        <f>C118/(B118*B118)</f>
        <v>31.588613406795229</v>
      </c>
      <c r="G118" t="str">
        <f t="shared" si="6"/>
        <v>Obese</v>
      </c>
      <c r="H118" t="str">
        <f t="shared" si="7"/>
        <v>OK</v>
      </c>
      <c r="I118" t="str">
        <f t="shared" si="4"/>
        <v>OK</v>
      </c>
    </row>
    <row r="119" spans="1:9" x14ac:dyDescent="0.2">
      <c r="A119" t="str">
        <f>ObesityDataSet_raw_and_data_sin!A119</f>
        <v>Female</v>
      </c>
      <c r="B119">
        <f>ObesityDataSet_raw_and_data_sin!C119</f>
        <v>1.7</v>
      </c>
      <c r="C119">
        <f>ObesityDataSet_raw_and_data_sin!D119</f>
        <v>85</v>
      </c>
      <c r="D119" t="str">
        <f>ObesityDataSet_raw_and_data_sin!Q119</f>
        <v>Overweight_Level_II</v>
      </c>
      <c r="E119" t="b">
        <f t="shared" si="5"/>
        <v>0</v>
      </c>
      <c r="F119">
        <f>C119/(B119*B119)</f>
        <v>29.411764705882355</v>
      </c>
      <c r="G119" t="str">
        <f t="shared" si="6"/>
        <v>Overweight</v>
      </c>
      <c r="H119" t="str">
        <f t="shared" si="7"/>
        <v>OK</v>
      </c>
      <c r="I119" t="str">
        <f t="shared" si="4"/>
        <v>OK</v>
      </c>
    </row>
    <row r="120" spans="1:9" x14ac:dyDescent="0.2">
      <c r="A120" t="str">
        <f>ObesityDataSet_raw_and_data_sin!A120</f>
        <v>Male</v>
      </c>
      <c r="B120">
        <f>ObesityDataSet_raw_and_data_sin!C120</f>
        <v>1.62</v>
      </c>
      <c r="C120">
        <f>ObesityDataSet_raw_and_data_sin!D120</f>
        <v>53</v>
      </c>
      <c r="D120" t="str">
        <f>ObesityDataSet_raw_and_data_sin!Q120</f>
        <v>Normal_Weight</v>
      </c>
      <c r="E120" t="b">
        <f t="shared" si="5"/>
        <v>0</v>
      </c>
      <c r="F120">
        <f>C120/(B120*B120)</f>
        <v>20.195092211553114</v>
      </c>
      <c r="G120" t="str">
        <f t="shared" si="6"/>
        <v>Normal</v>
      </c>
      <c r="H120" t="str">
        <f t="shared" si="7"/>
        <v>OK</v>
      </c>
      <c r="I120" t="str">
        <f t="shared" si="4"/>
        <v>OK</v>
      </c>
    </row>
    <row r="121" spans="1:9" x14ac:dyDescent="0.2">
      <c r="A121" t="str">
        <f>ObesityDataSet_raw_and_data_sin!A121</f>
        <v>Female</v>
      </c>
      <c r="B121">
        <f>ObesityDataSet_raw_and_data_sin!C121</f>
        <v>1.63</v>
      </c>
      <c r="C121">
        <f>ObesityDataSet_raw_and_data_sin!D121</f>
        <v>76</v>
      </c>
      <c r="D121" t="str">
        <f>ObesityDataSet_raw_and_data_sin!Q121</f>
        <v>Overweight_Level_II</v>
      </c>
      <c r="E121" t="b">
        <f t="shared" si="5"/>
        <v>0</v>
      </c>
      <c r="F121">
        <f>C121/(B121*B121)</f>
        <v>28.604764951635367</v>
      </c>
      <c r="G121" t="str">
        <f t="shared" si="6"/>
        <v>Overweight</v>
      </c>
      <c r="H121" t="str">
        <f t="shared" si="7"/>
        <v>OK</v>
      </c>
      <c r="I121" t="str">
        <f t="shared" si="4"/>
        <v>OK</v>
      </c>
    </row>
    <row r="122" spans="1:9" x14ac:dyDescent="0.2">
      <c r="A122" t="str">
        <f>ObesityDataSet_raw_and_data_sin!A122</f>
        <v>Female</v>
      </c>
      <c r="B122">
        <f>ObesityDataSet_raw_and_data_sin!C122</f>
        <v>1.67</v>
      </c>
      <c r="C122">
        <f>ObesityDataSet_raw_and_data_sin!D122</f>
        <v>75</v>
      </c>
      <c r="D122" t="str">
        <f>ObesityDataSet_raw_and_data_sin!Q122</f>
        <v>Overweight_Level_I</v>
      </c>
      <c r="E122" t="b">
        <f t="shared" si="5"/>
        <v>0</v>
      </c>
      <c r="F122">
        <f>C122/(B122*B122)</f>
        <v>26.892323138154829</v>
      </c>
      <c r="G122" t="str">
        <f t="shared" si="6"/>
        <v>Overweight</v>
      </c>
      <c r="H122" t="str">
        <f t="shared" si="7"/>
        <v>OK</v>
      </c>
      <c r="I122" t="str">
        <f t="shared" si="4"/>
        <v>OK</v>
      </c>
    </row>
    <row r="123" spans="1:9" x14ac:dyDescent="0.2">
      <c r="A123" t="str">
        <f>ObesityDataSet_raw_and_data_sin!A123</f>
        <v>Male</v>
      </c>
      <c r="B123">
        <f>ObesityDataSet_raw_and_data_sin!C123</f>
        <v>1.87</v>
      </c>
      <c r="C123">
        <f>ObesityDataSet_raw_and_data_sin!D123</f>
        <v>95</v>
      </c>
      <c r="D123" t="str">
        <f>ObesityDataSet_raw_and_data_sin!Q123</f>
        <v>Overweight_Level_II</v>
      </c>
      <c r="E123" t="b">
        <f t="shared" si="5"/>
        <v>0</v>
      </c>
      <c r="F123">
        <f>C123/(B123*B123)</f>
        <v>27.166919271354622</v>
      </c>
      <c r="G123" t="str">
        <f t="shared" si="6"/>
        <v>Overweight</v>
      </c>
      <c r="H123" t="str">
        <f t="shared" si="7"/>
        <v>OK</v>
      </c>
      <c r="I123" t="str">
        <f t="shared" si="4"/>
        <v>OK</v>
      </c>
    </row>
    <row r="124" spans="1:9" x14ac:dyDescent="0.2">
      <c r="A124" t="str">
        <f>ObesityDataSet_raw_and_data_sin!A124</f>
        <v>Male</v>
      </c>
      <c r="B124">
        <f>ObesityDataSet_raw_and_data_sin!C124</f>
        <v>1.75</v>
      </c>
      <c r="C124">
        <f>ObesityDataSet_raw_and_data_sin!D124</f>
        <v>50</v>
      </c>
      <c r="D124" t="str">
        <f>ObesityDataSet_raw_and_data_sin!Q124</f>
        <v>Insufficient_Weight</v>
      </c>
      <c r="E124" t="b">
        <f t="shared" si="5"/>
        <v>0</v>
      </c>
      <c r="F124">
        <f>C124/(B124*B124)</f>
        <v>16.326530612244898</v>
      </c>
      <c r="G124" t="str">
        <f t="shared" si="6"/>
        <v>Normal</v>
      </c>
      <c r="H124" t="str">
        <f t="shared" si="7"/>
        <v>OK</v>
      </c>
      <c r="I124" t="str">
        <f t="shared" si="4"/>
        <v>OK</v>
      </c>
    </row>
    <row r="125" spans="1:9" x14ac:dyDescent="0.2">
      <c r="A125" t="str">
        <f>ObesityDataSet_raw_and_data_sin!A125</f>
        <v>Male</v>
      </c>
      <c r="B125">
        <f>ObesityDataSet_raw_and_data_sin!C125</f>
        <v>1.66</v>
      </c>
      <c r="C125">
        <f>ObesityDataSet_raw_and_data_sin!D125</f>
        <v>67</v>
      </c>
      <c r="D125" t="str">
        <f>ObesityDataSet_raw_and_data_sin!Q125</f>
        <v>Normal_Weight</v>
      </c>
      <c r="E125" t="b">
        <f t="shared" si="5"/>
        <v>0</v>
      </c>
      <c r="F125">
        <f>C125/(B125*B125)</f>
        <v>24.314123965742489</v>
      </c>
      <c r="G125" t="str">
        <f t="shared" si="6"/>
        <v>Normal</v>
      </c>
      <c r="H125" t="str">
        <f t="shared" si="7"/>
        <v>OK</v>
      </c>
      <c r="I125" t="str">
        <f t="shared" si="4"/>
        <v>OK</v>
      </c>
    </row>
    <row r="126" spans="1:9" x14ac:dyDescent="0.2">
      <c r="A126" t="str">
        <f>ObesityDataSet_raw_and_data_sin!A126</f>
        <v>Male</v>
      </c>
      <c r="B126">
        <f>ObesityDataSet_raw_and_data_sin!C126</f>
        <v>1.76</v>
      </c>
      <c r="C126">
        <f>ObesityDataSet_raw_and_data_sin!D126</f>
        <v>90</v>
      </c>
      <c r="D126" t="str">
        <f>ObesityDataSet_raw_and_data_sin!Q126</f>
        <v>Overweight_Level_II</v>
      </c>
      <c r="E126" t="b">
        <f t="shared" si="5"/>
        <v>0</v>
      </c>
      <c r="F126">
        <f>C126/(B126*B126)</f>
        <v>29.054752066115704</v>
      </c>
      <c r="G126" t="str">
        <f t="shared" si="6"/>
        <v>Overweight</v>
      </c>
      <c r="H126" t="str">
        <f t="shared" si="7"/>
        <v>OK</v>
      </c>
      <c r="I126" t="str">
        <f t="shared" si="4"/>
        <v>OK</v>
      </c>
    </row>
    <row r="127" spans="1:9" x14ac:dyDescent="0.2">
      <c r="A127" t="str">
        <f>ObesityDataSet_raw_and_data_sin!A127</f>
        <v>Male</v>
      </c>
      <c r="B127">
        <f>ObesityDataSet_raw_and_data_sin!C127</f>
        <v>1.75</v>
      </c>
      <c r="C127">
        <f>ObesityDataSet_raw_and_data_sin!D127</f>
        <v>80</v>
      </c>
      <c r="D127" t="str">
        <f>ObesityDataSet_raw_and_data_sin!Q127</f>
        <v>Overweight_Level_I</v>
      </c>
      <c r="E127" t="b">
        <f t="shared" si="5"/>
        <v>0</v>
      </c>
      <c r="F127">
        <f>C127/(B127*B127)</f>
        <v>26.122448979591837</v>
      </c>
      <c r="G127" t="str">
        <f t="shared" si="6"/>
        <v>Overweight</v>
      </c>
      <c r="H127" t="str">
        <f t="shared" si="7"/>
        <v>OK</v>
      </c>
      <c r="I127" t="str">
        <f t="shared" si="4"/>
        <v>OK</v>
      </c>
    </row>
    <row r="128" spans="1:9" x14ac:dyDescent="0.2">
      <c r="A128" t="str">
        <f>ObesityDataSet_raw_and_data_sin!A128</f>
        <v>Male</v>
      </c>
      <c r="B128">
        <f>ObesityDataSet_raw_and_data_sin!C128</f>
        <v>1.67</v>
      </c>
      <c r="C128">
        <f>ObesityDataSet_raw_and_data_sin!D128</f>
        <v>68</v>
      </c>
      <c r="D128" t="str">
        <f>ObesityDataSet_raw_and_data_sin!Q128</f>
        <v>Normal_Weight</v>
      </c>
      <c r="E128" t="b">
        <f t="shared" si="5"/>
        <v>0</v>
      </c>
      <c r="F128">
        <f>C128/(B128*B128)</f>
        <v>24.382372978593711</v>
      </c>
      <c r="G128" t="str">
        <f t="shared" si="6"/>
        <v>Normal</v>
      </c>
      <c r="H128" t="str">
        <f t="shared" si="7"/>
        <v>OK</v>
      </c>
      <c r="I128" t="str">
        <f t="shared" si="4"/>
        <v>OK</v>
      </c>
    </row>
    <row r="129" spans="1:9" x14ac:dyDescent="0.2">
      <c r="A129" t="str">
        <f>ObesityDataSet_raw_and_data_sin!A129</f>
        <v>Female</v>
      </c>
      <c r="B129">
        <f>ObesityDataSet_raw_and_data_sin!C129</f>
        <v>1.65</v>
      </c>
      <c r="C129">
        <f>ObesityDataSet_raw_and_data_sin!D129</f>
        <v>61</v>
      </c>
      <c r="D129" t="str">
        <f>ObesityDataSet_raw_and_data_sin!Q129</f>
        <v>Normal_Weight</v>
      </c>
      <c r="E129" t="b">
        <f t="shared" si="5"/>
        <v>0</v>
      </c>
      <c r="F129">
        <f>C129/(B129*B129)</f>
        <v>22.4058769513315</v>
      </c>
      <c r="G129" t="str">
        <f t="shared" si="6"/>
        <v>Normal</v>
      </c>
      <c r="H129" t="str">
        <f t="shared" si="7"/>
        <v>OK</v>
      </c>
      <c r="I129" t="str">
        <f t="shared" si="4"/>
        <v>OK</v>
      </c>
    </row>
    <row r="130" spans="1:9" x14ac:dyDescent="0.2">
      <c r="A130" t="str">
        <f>ObesityDataSet_raw_and_data_sin!A130</f>
        <v>Male</v>
      </c>
      <c r="B130">
        <f>ObesityDataSet_raw_and_data_sin!C130</f>
        <v>1.72</v>
      </c>
      <c r="C130">
        <f>ObesityDataSet_raw_and_data_sin!D130</f>
        <v>70</v>
      </c>
      <c r="D130" t="str">
        <f>ObesityDataSet_raw_and_data_sin!Q130</f>
        <v>Normal_Weight</v>
      </c>
      <c r="E130" t="b">
        <f t="shared" si="5"/>
        <v>0</v>
      </c>
      <c r="F130">
        <f>C130/(B130*B130)</f>
        <v>23.661438615467823</v>
      </c>
      <c r="G130" t="str">
        <f t="shared" si="6"/>
        <v>Normal</v>
      </c>
      <c r="H130" t="str">
        <f t="shared" si="7"/>
        <v>OK</v>
      </c>
      <c r="I130" t="str">
        <f t="shared" ref="I130:I193" si="8">IF(AND(LEFT(D130,10)="Overweight",G130&lt;&gt;"Overweight"),"ERROR","OK")</f>
        <v>OK</v>
      </c>
    </row>
    <row r="131" spans="1:9" x14ac:dyDescent="0.2">
      <c r="A131" t="str">
        <f>ObesityDataSet_raw_and_data_sin!A131</f>
        <v>Male</v>
      </c>
      <c r="B131">
        <f>ObesityDataSet_raw_and_data_sin!C131</f>
        <v>1.7</v>
      </c>
      <c r="C131">
        <f>ObesityDataSet_raw_and_data_sin!D131</f>
        <v>78</v>
      </c>
      <c r="D131" t="str">
        <f>ObesityDataSet_raw_and_data_sin!Q131</f>
        <v>Overweight_Level_II</v>
      </c>
      <c r="E131" t="b">
        <f t="shared" ref="E131:E194" si="9">IF(AND(A131="Female", B131&lt;1.5), TRUE, IF(AND(A131="Male",B131&lt;1.6),TRUE, FALSE))</f>
        <v>0</v>
      </c>
      <c r="F131">
        <f>C131/(B131*B131)</f>
        <v>26.989619377162633</v>
      </c>
      <c r="G131" t="str">
        <f t="shared" ref="G131:G194" si="10">IF(E131=TRUE,IF(F131&lt;23,"Normal",IF(F131&lt;25,"Overweight","Obese")),IF(F131&lt;25,"Normal",IF(F131&lt;30,"Overweight","Obese")))</f>
        <v>Overweight</v>
      </c>
      <c r="H131" t="str">
        <f t="shared" ref="H131:H194" si="11">IF(AND(D131="Normal_Weight",G131&lt;&gt;"Normal"),"ERROR","OK")</f>
        <v>OK</v>
      </c>
      <c r="I131" t="str">
        <f t="shared" si="8"/>
        <v>OK</v>
      </c>
    </row>
    <row r="132" spans="1:9" x14ac:dyDescent="0.2">
      <c r="A132" t="str">
        <f>ObesityDataSet_raw_and_data_sin!A132</f>
        <v>Female</v>
      </c>
      <c r="B132">
        <f>ObesityDataSet_raw_and_data_sin!C132</f>
        <v>1.58</v>
      </c>
      <c r="C132">
        <f>ObesityDataSet_raw_and_data_sin!D132</f>
        <v>53</v>
      </c>
      <c r="D132" t="str">
        <f>ObesityDataSet_raw_and_data_sin!Q132</f>
        <v>Normal_Weight</v>
      </c>
      <c r="E132" t="b">
        <f t="shared" si="9"/>
        <v>0</v>
      </c>
      <c r="F132">
        <f>C132/(B132*B132)</f>
        <v>21.230572023714146</v>
      </c>
      <c r="G132" t="str">
        <f t="shared" si="10"/>
        <v>Normal</v>
      </c>
      <c r="H132" t="str">
        <f t="shared" si="11"/>
        <v>OK</v>
      </c>
      <c r="I132" t="str">
        <f t="shared" si="8"/>
        <v>OK</v>
      </c>
    </row>
    <row r="133" spans="1:9" x14ac:dyDescent="0.2">
      <c r="A133" t="str">
        <f>ObesityDataSet_raw_and_data_sin!A133</f>
        <v>Male</v>
      </c>
      <c r="B133">
        <f>ObesityDataSet_raw_and_data_sin!C133</f>
        <v>1.62</v>
      </c>
      <c r="C133">
        <f>ObesityDataSet_raw_and_data_sin!D133</f>
        <v>58</v>
      </c>
      <c r="D133" t="str">
        <f>ObesityDataSet_raw_and_data_sin!Q133</f>
        <v>Normal_Weight</v>
      </c>
      <c r="E133" t="b">
        <f t="shared" si="9"/>
        <v>0</v>
      </c>
      <c r="F133">
        <f>C133/(B133*B133)</f>
        <v>22.10028959000152</v>
      </c>
      <c r="G133" t="str">
        <f t="shared" si="10"/>
        <v>Normal</v>
      </c>
      <c r="H133" t="str">
        <f t="shared" si="11"/>
        <v>OK</v>
      </c>
      <c r="I133" t="str">
        <f t="shared" si="8"/>
        <v>OK</v>
      </c>
    </row>
    <row r="134" spans="1:9" x14ac:dyDescent="0.2">
      <c r="A134" t="str">
        <f>ObesityDataSet_raw_and_data_sin!A134</f>
        <v>Female</v>
      </c>
      <c r="B134">
        <f>ObesityDataSet_raw_and_data_sin!C134</f>
        <v>1.65</v>
      </c>
      <c r="C134">
        <f>ObesityDataSet_raw_and_data_sin!D134</f>
        <v>56</v>
      </c>
      <c r="D134" t="str">
        <f>ObesityDataSet_raw_and_data_sin!Q134</f>
        <v>Normal_Weight</v>
      </c>
      <c r="E134" t="b">
        <f t="shared" si="9"/>
        <v>0</v>
      </c>
      <c r="F134">
        <f>C134/(B134*B134)</f>
        <v>20.569329660238754</v>
      </c>
      <c r="G134" t="str">
        <f t="shared" si="10"/>
        <v>Normal</v>
      </c>
      <c r="H134" t="str">
        <f t="shared" si="11"/>
        <v>OK</v>
      </c>
      <c r="I134" t="str">
        <f t="shared" si="8"/>
        <v>OK</v>
      </c>
    </row>
    <row r="135" spans="1:9" x14ac:dyDescent="0.2">
      <c r="A135" t="str">
        <f>ObesityDataSet_raw_and_data_sin!A135</f>
        <v>Female</v>
      </c>
      <c r="B135">
        <f>ObesityDataSet_raw_and_data_sin!C135</f>
        <v>1.65</v>
      </c>
      <c r="C135">
        <f>ObesityDataSet_raw_and_data_sin!D135</f>
        <v>66</v>
      </c>
      <c r="D135" t="str">
        <f>ObesityDataSet_raw_and_data_sin!Q135</f>
        <v>Normal_Weight</v>
      </c>
      <c r="E135" t="b">
        <f t="shared" si="9"/>
        <v>0</v>
      </c>
      <c r="F135">
        <f>C135/(B135*B135)</f>
        <v>24.242424242424246</v>
      </c>
      <c r="G135" t="str">
        <f t="shared" si="10"/>
        <v>Normal</v>
      </c>
      <c r="H135" t="str">
        <f t="shared" si="11"/>
        <v>OK</v>
      </c>
      <c r="I135" t="str">
        <f t="shared" si="8"/>
        <v>OK</v>
      </c>
    </row>
    <row r="136" spans="1:9" x14ac:dyDescent="0.2">
      <c r="A136" t="str">
        <f>ObesityDataSet_raw_and_data_sin!A136</f>
        <v>Male</v>
      </c>
      <c r="B136">
        <f>ObesityDataSet_raw_and_data_sin!C136</f>
        <v>1.77</v>
      </c>
      <c r="C136">
        <f>ObesityDataSet_raw_and_data_sin!D136</f>
        <v>109</v>
      </c>
      <c r="D136" t="str">
        <f>ObesityDataSet_raw_and_data_sin!Q136</f>
        <v>Obesity_Type_I</v>
      </c>
      <c r="E136" t="b">
        <f t="shared" si="9"/>
        <v>0</v>
      </c>
      <c r="F136">
        <f>C136/(B136*B136)</f>
        <v>34.792045708449038</v>
      </c>
      <c r="G136" t="str">
        <f t="shared" si="10"/>
        <v>Obese</v>
      </c>
      <c r="H136" t="str">
        <f t="shared" si="11"/>
        <v>OK</v>
      </c>
      <c r="I136" t="str">
        <f t="shared" si="8"/>
        <v>OK</v>
      </c>
    </row>
    <row r="137" spans="1:9" x14ac:dyDescent="0.2">
      <c r="A137" t="str">
        <f>ObesityDataSet_raw_and_data_sin!A137</f>
        <v>Male</v>
      </c>
      <c r="B137">
        <f>ObesityDataSet_raw_and_data_sin!C137</f>
        <v>1.7</v>
      </c>
      <c r="C137">
        <f>ObesityDataSet_raw_and_data_sin!D137</f>
        <v>75</v>
      </c>
      <c r="D137" t="str">
        <f>ObesityDataSet_raw_and_data_sin!Q137</f>
        <v>Overweight_Level_I</v>
      </c>
      <c r="E137" t="b">
        <f t="shared" si="9"/>
        <v>0</v>
      </c>
      <c r="F137">
        <f>C137/(B137*B137)</f>
        <v>25.95155709342561</v>
      </c>
      <c r="G137" t="str">
        <f t="shared" si="10"/>
        <v>Overweight</v>
      </c>
      <c r="H137" t="str">
        <f t="shared" si="11"/>
        <v>OK</v>
      </c>
      <c r="I137" t="str">
        <f t="shared" si="8"/>
        <v>OK</v>
      </c>
    </row>
    <row r="138" spans="1:9" x14ac:dyDescent="0.2">
      <c r="A138" t="str">
        <f>ObesityDataSet_raw_and_data_sin!A138</f>
        <v>Male</v>
      </c>
      <c r="B138">
        <f>ObesityDataSet_raw_and_data_sin!C138</f>
        <v>1.79</v>
      </c>
      <c r="C138">
        <f>ObesityDataSet_raw_and_data_sin!D138</f>
        <v>72</v>
      </c>
      <c r="D138" t="str">
        <f>ObesityDataSet_raw_and_data_sin!Q138</f>
        <v>Normal_Weight</v>
      </c>
      <c r="E138" t="b">
        <f t="shared" si="9"/>
        <v>0</v>
      </c>
      <c r="F138">
        <f>C138/(B138*B138)</f>
        <v>22.471208763771418</v>
      </c>
      <c r="G138" t="str">
        <f t="shared" si="10"/>
        <v>Normal</v>
      </c>
      <c r="H138" t="str">
        <f t="shared" si="11"/>
        <v>OK</v>
      </c>
      <c r="I138" t="str">
        <f t="shared" si="8"/>
        <v>OK</v>
      </c>
    </row>
    <row r="139" spans="1:9" x14ac:dyDescent="0.2">
      <c r="A139" t="str">
        <f>ObesityDataSet_raw_and_data_sin!A139</f>
        <v>Male</v>
      </c>
      <c r="B139">
        <f>ObesityDataSet_raw_and_data_sin!C139</f>
        <v>1.6</v>
      </c>
      <c r="C139">
        <f>ObesityDataSet_raw_and_data_sin!D139</f>
        <v>80</v>
      </c>
      <c r="D139" t="str">
        <f>ObesityDataSet_raw_and_data_sin!Q139</f>
        <v>Obesity_Type_I</v>
      </c>
      <c r="E139" t="b">
        <f t="shared" si="9"/>
        <v>0</v>
      </c>
      <c r="F139">
        <f>C139/(B139*B139)</f>
        <v>31.249999999999993</v>
      </c>
      <c r="G139" t="str">
        <f t="shared" si="10"/>
        <v>Obese</v>
      </c>
      <c r="H139" t="str">
        <f t="shared" si="11"/>
        <v>OK</v>
      </c>
      <c r="I139" t="str">
        <f t="shared" si="8"/>
        <v>OK</v>
      </c>
    </row>
    <row r="140" spans="1:9" x14ac:dyDescent="0.2">
      <c r="A140" t="str">
        <f>ObesityDataSet_raw_and_data_sin!A140</f>
        <v>Male</v>
      </c>
      <c r="B140">
        <f>ObesityDataSet_raw_and_data_sin!C140</f>
        <v>1.76</v>
      </c>
      <c r="C140">
        <f>ObesityDataSet_raw_and_data_sin!D140</f>
        <v>75</v>
      </c>
      <c r="D140" t="str">
        <f>ObesityDataSet_raw_and_data_sin!Q140</f>
        <v>Normal_Weight</v>
      </c>
      <c r="E140" t="b">
        <f t="shared" si="9"/>
        <v>0</v>
      </c>
      <c r="F140">
        <f>C140/(B140*B140)</f>
        <v>24.212293388429753</v>
      </c>
      <c r="G140" t="str">
        <f t="shared" si="10"/>
        <v>Normal</v>
      </c>
      <c r="H140" t="str">
        <f t="shared" si="11"/>
        <v>OK</v>
      </c>
      <c r="I140" t="str">
        <f t="shared" si="8"/>
        <v>OK</v>
      </c>
    </row>
    <row r="141" spans="1:9" x14ac:dyDescent="0.2">
      <c r="A141" t="str">
        <f>ObesityDataSet_raw_and_data_sin!A141</f>
        <v>Male</v>
      </c>
      <c r="B141">
        <f>ObesityDataSet_raw_and_data_sin!C141</f>
        <v>1.7</v>
      </c>
      <c r="C141">
        <f>ObesityDataSet_raw_and_data_sin!D141</f>
        <v>68</v>
      </c>
      <c r="D141" t="str">
        <f>ObesityDataSet_raw_and_data_sin!Q141</f>
        <v>Normal_Weight</v>
      </c>
      <c r="E141" t="b">
        <f t="shared" si="9"/>
        <v>0</v>
      </c>
      <c r="F141">
        <f>C141/(B141*B141)</f>
        <v>23.529411764705884</v>
      </c>
      <c r="G141" t="str">
        <f t="shared" si="10"/>
        <v>Normal</v>
      </c>
      <c r="H141" t="str">
        <f t="shared" si="11"/>
        <v>OK</v>
      </c>
      <c r="I141" t="str">
        <f t="shared" si="8"/>
        <v>OK</v>
      </c>
    </row>
    <row r="142" spans="1:9" x14ac:dyDescent="0.2">
      <c r="A142" t="str">
        <f>ObesityDataSet_raw_and_data_sin!A142</f>
        <v>Male</v>
      </c>
      <c r="B142">
        <f>ObesityDataSet_raw_and_data_sin!C142</f>
        <v>1.89</v>
      </c>
      <c r="C142">
        <f>ObesityDataSet_raw_and_data_sin!D142</f>
        <v>65</v>
      </c>
      <c r="D142" t="str">
        <f>ObesityDataSet_raw_and_data_sin!Q142</f>
        <v>Insufficient_Weight</v>
      </c>
      <c r="E142" t="b">
        <f t="shared" si="9"/>
        <v>0</v>
      </c>
      <c r="F142">
        <f>C142/(B142*B142)</f>
        <v>18.196579043139891</v>
      </c>
      <c r="G142" t="str">
        <f t="shared" si="10"/>
        <v>Normal</v>
      </c>
      <c r="H142" t="str">
        <f t="shared" si="11"/>
        <v>OK</v>
      </c>
      <c r="I142" t="str">
        <f t="shared" si="8"/>
        <v>OK</v>
      </c>
    </row>
    <row r="143" spans="1:9" x14ac:dyDescent="0.2">
      <c r="A143" t="str">
        <f>ObesityDataSet_raw_and_data_sin!A143</f>
        <v>Male</v>
      </c>
      <c r="B143">
        <f>ObesityDataSet_raw_and_data_sin!C143</f>
        <v>1.87</v>
      </c>
      <c r="C143">
        <f>ObesityDataSet_raw_and_data_sin!D143</f>
        <v>66</v>
      </c>
      <c r="D143" t="str">
        <f>ObesityDataSet_raw_and_data_sin!Q143</f>
        <v>Normal_Weight</v>
      </c>
      <c r="E143" t="b">
        <f t="shared" si="9"/>
        <v>0</v>
      </c>
      <c r="F143">
        <f>C143/(B143*B143)</f>
        <v>18.873859704309528</v>
      </c>
      <c r="G143" t="str">
        <f t="shared" si="10"/>
        <v>Normal</v>
      </c>
      <c r="H143" t="str">
        <f t="shared" si="11"/>
        <v>OK</v>
      </c>
      <c r="I143" t="str">
        <f t="shared" si="8"/>
        <v>OK</v>
      </c>
    </row>
    <row r="144" spans="1:9" x14ac:dyDescent="0.2">
      <c r="A144" t="str">
        <f>ObesityDataSet_raw_and_data_sin!A144</f>
        <v>Male</v>
      </c>
      <c r="B144">
        <f>ObesityDataSet_raw_and_data_sin!C144</f>
        <v>1.74</v>
      </c>
      <c r="C144">
        <f>ObesityDataSet_raw_and_data_sin!D144</f>
        <v>93.5</v>
      </c>
      <c r="D144" t="str">
        <f>ObesityDataSet_raw_and_data_sin!Q144</f>
        <v>Obesity_Type_I</v>
      </c>
      <c r="E144" t="b">
        <f t="shared" si="9"/>
        <v>0</v>
      </c>
      <c r="F144">
        <f>C144/(B144*B144)</f>
        <v>30.88254723213106</v>
      </c>
      <c r="G144" t="str">
        <f t="shared" si="10"/>
        <v>Obese</v>
      </c>
      <c r="H144" t="str">
        <f t="shared" si="11"/>
        <v>OK</v>
      </c>
      <c r="I144" t="str">
        <f t="shared" si="8"/>
        <v>OK</v>
      </c>
    </row>
    <row r="145" spans="1:9" x14ac:dyDescent="0.2">
      <c r="A145" t="str">
        <f>ObesityDataSet_raw_and_data_sin!A145</f>
        <v>Female</v>
      </c>
      <c r="B145">
        <f>ObesityDataSet_raw_and_data_sin!C145</f>
        <v>1.68</v>
      </c>
      <c r="C145">
        <f>ObesityDataSet_raw_and_data_sin!D145</f>
        <v>75</v>
      </c>
      <c r="D145" t="str">
        <f>ObesityDataSet_raw_and_data_sin!Q145</f>
        <v>Overweight_Level_I</v>
      </c>
      <c r="E145" t="b">
        <f t="shared" si="9"/>
        <v>0</v>
      </c>
      <c r="F145">
        <f>C145/(B145*B145)</f>
        <v>26.573129251700685</v>
      </c>
      <c r="G145" t="str">
        <f t="shared" si="10"/>
        <v>Overweight</v>
      </c>
      <c r="H145" t="str">
        <f t="shared" si="11"/>
        <v>OK</v>
      </c>
      <c r="I145" t="str">
        <f t="shared" si="8"/>
        <v>OK</v>
      </c>
    </row>
    <row r="146" spans="1:9" x14ac:dyDescent="0.2">
      <c r="A146" t="str">
        <f>ObesityDataSet_raw_and_data_sin!A146</f>
        <v>Male</v>
      </c>
      <c r="B146">
        <f>ObesityDataSet_raw_and_data_sin!C146</f>
        <v>1.61</v>
      </c>
      <c r="C146">
        <f>ObesityDataSet_raw_and_data_sin!D146</f>
        <v>67</v>
      </c>
      <c r="D146" t="str">
        <f>ObesityDataSet_raw_and_data_sin!Q146</f>
        <v>Overweight_Level_I</v>
      </c>
      <c r="E146" t="b">
        <f t="shared" si="9"/>
        <v>0</v>
      </c>
      <c r="F146">
        <f>C146/(B146*B146)</f>
        <v>25.847768218818715</v>
      </c>
      <c r="G146" t="str">
        <f t="shared" si="10"/>
        <v>Overweight</v>
      </c>
      <c r="H146" t="str">
        <f t="shared" si="11"/>
        <v>OK</v>
      </c>
      <c r="I146" t="str">
        <f t="shared" si="8"/>
        <v>OK</v>
      </c>
    </row>
    <row r="147" spans="1:9" x14ac:dyDescent="0.2">
      <c r="A147" t="str">
        <f>ObesityDataSet_raw_and_data_sin!A147</f>
        <v>Male</v>
      </c>
      <c r="B147">
        <f>ObesityDataSet_raw_and_data_sin!C147</f>
        <v>1.62</v>
      </c>
      <c r="C147">
        <f>ObesityDataSet_raw_and_data_sin!D147</f>
        <v>70</v>
      </c>
      <c r="D147" t="str">
        <f>ObesityDataSet_raw_and_data_sin!Q147</f>
        <v>Overweight_Level_I</v>
      </c>
      <c r="E147" t="b">
        <f t="shared" si="9"/>
        <v>0</v>
      </c>
      <c r="F147">
        <f>C147/(B147*B147)</f>
        <v>26.672763298277697</v>
      </c>
      <c r="G147" t="str">
        <f t="shared" si="10"/>
        <v>Overweight</v>
      </c>
      <c r="H147" t="str">
        <f t="shared" si="11"/>
        <v>OK</v>
      </c>
      <c r="I147" t="str">
        <f t="shared" si="8"/>
        <v>OK</v>
      </c>
    </row>
    <row r="148" spans="1:9" x14ac:dyDescent="0.2">
      <c r="A148" t="str">
        <f>ObesityDataSet_raw_and_data_sin!A148</f>
        <v>Female</v>
      </c>
      <c r="B148">
        <f>ObesityDataSet_raw_and_data_sin!C148</f>
        <v>1.56</v>
      </c>
      <c r="C148">
        <f>ObesityDataSet_raw_and_data_sin!D148</f>
        <v>51</v>
      </c>
      <c r="D148" t="str">
        <f>ObesityDataSet_raw_and_data_sin!Q148</f>
        <v>Normal_Weight</v>
      </c>
      <c r="E148" t="b">
        <f t="shared" si="9"/>
        <v>0</v>
      </c>
      <c r="F148">
        <f>C148/(B148*B148)</f>
        <v>20.956607495069033</v>
      </c>
      <c r="G148" t="str">
        <f t="shared" si="10"/>
        <v>Normal</v>
      </c>
      <c r="H148" t="str">
        <f t="shared" si="11"/>
        <v>OK</v>
      </c>
      <c r="I148" t="str">
        <f t="shared" si="8"/>
        <v>OK</v>
      </c>
    </row>
    <row r="149" spans="1:9" x14ac:dyDescent="0.2">
      <c r="A149" t="str">
        <f>ObesityDataSet_raw_and_data_sin!A149</f>
        <v>Female</v>
      </c>
      <c r="B149">
        <f>ObesityDataSet_raw_and_data_sin!C149</f>
        <v>1.63</v>
      </c>
      <c r="C149">
        <f>ObesityDataSet_raw_and_data_sin!D149</f>
        <v>80</v>
      </c>
      <c r="D149" t="str">
        <f>ObesityDataSet_raw_and_data_sin!Q149</f>
        <v>Obesity_Type_I</v>
      </c>
      <c r="E149" t="b">
        <f t="shared" si="9"/>
        <v>0</v>
      </c>
      <c r="F149">
        <f>C149/(B149*B149)</f>
        <v>30.110278896458279</v>
      </c>
      <c r="G149" t="str">
        <f t="shared" si="10"/>
        <v>Obese</v>
      </c>
      <c r="H149" t="str">
        <f t="shared" si="11"/>
        <v>OK</v>
      </c>
      <c r="I149" t="str">
        <f t="shared" si="8"/>
        <v>OK</v>
      </c>
    </row>
    <row r="150" spans="1:9" x14ac:dyDescent="0.2">
      <c r="A150" t="str">
        <f>ObesityDataSet_raw_and_data_sin!A150</f>
        <v>Female</v>
      </c>
      <c r="B150">
        <f>ObesityDataSet_raw_and_data_sin!C150</f>
        <v>1.6</v>
      </c>
      <c r="C150">
        <f>ObesityDataSet_raw_and_data_sin!D150</f>
        <v>61</v>
      </c>
      <c r="D150" t="str">
        <f>ObesityDataSet_raw_and_data_sin!Q150</f>
        <v>Normal_Weight</v>
      </c>
      <c r="E150" t="b">
        <f t="shared" si="9"/>
        <v>0</v>
      </c>
      <c r="F150">
        <f>C150/(B150*B150)</f>
        <v>23.828124999999996</v>
      </c>
      <c r="G150" t="str">
        <f t="shared" si="10"/>
        <v>Normal</v>
      </c>
      <c r="H150" t="str">
        <f t="shared" si="11"/>
        <v>OK</v>
      </c>
      <c r="I150" t="str">
        <f t="shared" si="8"/>
        <v>OK</v>
      </c>
    </row>
    <row r="151" spans="1:9" x14ac:dyDescent="0.2">
      <c r="A151" t="str">
        <f>ObesityDataSet_raw_and_data_sin!A151</f>
        <v>Female</v>
      </c>
      <c r="B151">
        <f>ObesityDataSet_raw_and_data_sin!C151</f>
        <v>1.67</v>
      </c>
      <c r="C151">
        <f>ObesityDataSet_raw_and_data_sin!D151</f>
        <v>90</v>
      </c>
      <c r="D151" t="str">
        <f>ObesityDataSet_raw_and_data_sin!Q151</f>
        <v>Obesity_Type_I</v>
      </c>
      <c r="E151" t="b">
        <f t="shared" si="9"/>
        <v>0</v>
      </c>
      <c r="F151">
        <f>C151/(B151*B151)</f>
        <v>32.270787765785798</v>
      </c>
      <c r="G151" t="str">
        <f t="shared" si="10"/>
        <v>Obese</v>
      </c>
      <c r="H151" t="str">
        <f t="shared" si="11"/>
        <v>OK</v>
      </c>
      <c r="I151" t="str">
        <f t="shared" si="8"/>
        <v>OK</v>
      </c>
    </row>
    <row r="152" spans="1:9" x14ac:dyDescent="0.2">
      <c r="A152" t="str">
        <f>ObesityDataSet_raw_and_data_sin!A152</f>
        <v>Male</v>
      </c>
      <c r="B152">
        <f>ObesityDataSet_raw_and_data_sin!C152</f>
        <v>1.78</v>
      </c>
      <c r="C152">
        <f>ObesityDataSet_raw_and_data_sin!D152</f>
        <v>78</v>
      </c>
      <c r="D152" t="str">
        <f>ObesityDataSet_raw_and_data_sin!Q152</f>
        <v>Normal_Weight</v>
      </c>
      <c r="E152" t="b">
        <f t="shared" si="9"/>
        <v>0</v>
      </c>
      <c r="F152">
        <f>C152/(B152*B152)</f>
        <v>24.618103774775911</v>
      </c>
      <c r="G152" t="str">
        <f t="shared" si="10"/>
        <v>Normal</v>
      </c>
      <c r="H152" t="str">
        <f t="shared" si="11"/>
        <v>OK</v>
      </c>
      <c r="I152" t="str">
        <f t="shared" si="8"/>
        <v>OK</v>
      </c>
    </row>
    <row r="153" spans="1:9" x14ac:dyDescent="0.2">
      <c r="A153" t="str">
        <f>ObesityDataSet_raw_and_data_sin!A153</f>
        <v>Female</v>
      </c>
      <c r="B153">
        <f>ObesityDataSet_raw_and_data_sin!C153</f>
        <v>1.62</v>
      </c>
      <c r="C153">
        <f>ObesityDataSet_raw_and_data_sin!D153</f>
        <v>59</v>
      </c>
      <c r="D153" t="str">
        <f>ObesityDataSet_raw_and_data_sin!Q153</f>
        <v>Normal_Weight</v>
      </c>
      <c r="E153" t="b">
        <f t="shared" si="9"/>
        <v>0</v>
      </c>
      <c r="F153">
        <f>C153/(B153*B153)</f>
        <v>22.481329065691202</v>
      </c>
      <c r="G153" t="str">
        <f t="shared" si="10"/>
        <v>Normal</v>
      </c>
      <c r="H153" t="str">
        <f t="shared" si="11"/>
        <v>OK</v>
      </c>
      <c r="I153" t="str">
        <f t="shared" si="8"/>
        <v>OK</v>
      </c>
    </row>
    <row r="154" spans="1:9" x14ac:dyDescent="0.2">
      <c r="A154" t="str">
        <f>ObesityDataSet_raw_and_data_sin!A154</f>
        <v>Female</v>
      </c>
      <c r="B154">
        <f>ObesityDataSet_raw_and_data_sin!C154</f>
        <v>1.5</v>
      </c>
      <c r="C154">
        <f>ObesityDataSet_raw_and_data_sin!D154</f>
        <v>60</v>
      </c>
      <c r="D154" t="str">
        <f>ObesityDataSet_raw_and_data_sin!Q154</f>
        <v>Overweight_Level_I</v>
      </c>
      <c r="E154" t="b">
        <f t="shared" si="9"/>
        <v>0</v>
      </c>
      <c r="F154">
        <f>C154/(B154*B154)</f>
        <v>26.666666666666668</v>
      </c>
      <c r="G154" t="str">
        <f t="shared" si="10"/>
        <v>Overweight</v>
      </c>
      <c r="H154" t="str">
        <f t="shared" si="11"/>
        <v>OK</v>
      </c>
      <c r="I154" t="str">
        <f t="shared" si="8"/>
        <v>OK</v>
      </c>
    </row>
    <row r="155" spans="1:9" x14ac:dyDescent="0.2">
      <c r="A155" t="str">
        <f>ObesityDataSet_raw_and_data_sin!A155</f>
        <v>Male</v>
      </c>
      <c r="B155">
        <f>ObesityDataSet_raw_and_data_sin!C155</f>
        <v>1.69</v>
      </c>
      <c r="C155">
        <f>ObesityDataSet_raw_and_data_sin!D155</f>
        <v>84</v>
      </c>
      <c r="D155" t="str">
        <f>ObesityDataSet_raw_and_data_sin!Q155</f>
        <v>Overweight_Level_II</v>
      </c>
      <c r="E155" t="b">
        <f t="shared" si="9"/>
        <v>0</v>
      </c>
      <c r="F155">
        <f>C155/(B155*B155)</f>
        <v>29.410734918245165</v>
      </c>
      <c r="G155" t="str">
        <f t="shared" si="10"/>
        <v>Overweight</v>
      </c>
      <c r="H155" t="str">
        <f t="shared" si="11"/>
        <v>OK</v>
      </c>
      <c r="I155" t="str">
        <f t="shared" si="8"/>
        <v>OK</v>
      </c>
    </row>
    <row r="156" spans="1:9" x14ac:dyDescent="0.2">
      <c r="A156" t="str">
        <f>ObesityDataSet_raw_and_data_sin!A156</f>
        <v>Male</v>
      </c>
      <c r="B156">
        <f>ObesityDataSet_raw_and_data_sin!C156</f>
        <v>1.74</v>
      </c>
      <c r="C156">
        <f>ObesityDataSet_raw_and_data_sin!D156</f>
        <v>94</v>
      </c>
      <c r="D156" t="str">
        <f>ObesityDataSet_raw_and_data_sin!Q156</f>
        <v>Obesity_Type_I</v>
      </c>
      <c r="E156" t="b">
        <f t="shared" si="9"/>
        <v>0</v>
      </c>
      <c r="F156">
        <f>C156/(B156*B156)</f>
        <v>31.047694543532831</v>
      </c>
      <c r="G156" t="str">
        <f t="shared" si="10"/>
        <v>Obese</v>
      </c>
      <c r="H156" t="str">
        <f t="shared" si="11"/>
        <v>OK</v>
      </c>
      <c r="I156" t="str">
        <f t="shared" si="8"/>
        <v>OK</v>
      </c>
    </row>
    <row r="157" spans="1:9" x14ac:dyDescent="0.2">
      <c r="A157" t="str">
        <f>ObesityDataSet_raw_and_data_sin!A157</f>
        <v>Female</v>
      </c>
      <c r="B157">
        <f>ObesityDataSet_raw_and_data_sin!C157</f>
        <v>1.68</v>
      </c>
      <c r="C157">
        <f>ObesityDataSet_raw_and_data_sin!D157</f>
        <v>63</v>
      </c>
      <c r="D157" t="str">
        <f>ObesityDataSet_raw_and_data_sin!Q157</f>
        <v>Normal_Weight</v>
      </c>
      <c r="E157" t="b">
        <f t="shared" si="9"/>
        <v>0</v>
      </c>
      <c r="F157">
        <f>C157/(B157*B157)</f>
        <v>22.321428571428577</v>
      </c>
      <c r="G157" t="str">
        <f t="shared" si="10"/>
        <v>Normal</v>
      </c>
      <c r="H157" t="str">
        <f t="shared" si="11"/>
        <v>OK</v>
      </c>
      <c r="I157" t="str">
        <f t="shared" si="8"/>
        <v>OK</v>
      </c>
    </row>
    <row r="158" spans="1:9" x14ac:dyDescent="0.2">
      <c r="A158" t="str">
        <f>ObesityDataSet_raw_and_data_sin!A158</f>
        <v>Female</v>
      </c>
      <c r="B158">
        <f>ObesityDataSet_raw_and_data_sin!C158</f>
        <v>1.53</v>
      </c>
      <c r="C158">
        <f>ObesityDataSet_raw_and_data_sin!D158</f>
        <v>45</v>
      </c>
      <c r="D158" t="str">
        <f>ObesityDataSet_raw_and_data_sin!Q158</f>
        <v>Normal_Weight</v>
      </c>
      <c r="E158" t="b">
        <f t="shared" si="9"/>
        <v>0</v>
      </c>
      <c r="F158">
        <f>C158/(B158*B158)</f>
        <v>19.223375624759708</v>
      </c>
      <c r="G158" t="str">
        <f t="shared" si="10"/>
        <v>Normal</v>
      </c>
      <c r="H158" t="str">
        <f t="shared" si="11"/>
        <v>OK</v>
      </c>
      <c r="I158" t="str">
        <f t="shared" si="8"/>
        <v>OK</v>
      </c>
    </row>
    <row r="159" spans="1:9" x14ac:dyDescent="0.2">
      <c r="A159" t="str">
        <f>ObesityDataSet_raw_and_data_sin!A159</f>
        <v>Male</v>
      </c>
      <c r="B159">
        <f>ObesityDataSet_raw_and_data_sin!C159</f>
        <v>1.67</v>
      </c>
      <c r="C159">
        <f>ObesityDataSet_raw_and_data_sin!D159</f>
        <v>60</v>
      </c>
      <c r="D159" t="str">
        <f>ObesityDataSet_raw_and_data_sin!Q159</f>
        <v>Normal_Weight</v>
      </c>
      <c r="E159" t="b">
        <f t="shared" si="9"/>
        <v>0</v>
      </c>
      <c r="F159">
        <f>C159/(B159*B159)</f>
        <v>21.513858510523864</v>
      </c>
      <c r="G159" t="str">
        <f t="shared" si="10"/>
        <v>Normal</v>
      </c>
      <c r="H159" t="str">
        <f t="shared" si="11"/>
        <v>OK</v>
      </c>
      <c r="I159" t="str">
        <f t="shared" si="8"/>
        <v>OK</v>
      </c>
    </row>
    <row r="160" spans="1:9" x14ac:dyDescent="0.2">
      <c r="A160" t="str">
        <f>ObesityDataSet_raw_and_data_sin!A160</f>
        <v>Female</v>
      </c>
      <c r="B160">
        <f>ObesityDataSet_raw_and_data_sin!C160</f>
        <v>1.55</v>
      </c>
      <c r="C160">
        <f>ObesityDataSet_raw_and_data_sin!D160</f>
        <v>62</v>
      </c>
      <c r="D160" t="str">
        <f>ObesityDataSet_raw_and_data_sin!Q160</f>
        <v>Overweight_Level_I</v>
      </c>
      <c r="E160" t="b">
        <f t="shared" si="9"/>
        <v>0</v>
      </c>
      <c r="F160">
        <f>C160/(B160*B160)</f>
        <v>25.806451612903224</v>
      </c>
      <c r="G160" t="str">
        <f t="shared" si="10"/>
        <v>Overweight</v>
      </c>
      <c r="H160" t="str">
        <f t="shared" si="11"/>
        <v>OK</v>
      </c>
      <c r="I160" t="str">
        <f t="shared" si="8"/>
        <v>OK</v>
      </c>
    </row>
    <row r="161" spans="1:9" x14ac:dyDescent="0.2">
      <c r="A161" t="str">
        <f>ObesityDataSet_raw_and_data_sin!A161</f>
        <v>Male</v>
      </c>
      <c r="B161">
        <f>ObesityDataSet_raw_and_data_sin!C161</f>
        <v>1.64</v>
      </c>
      <c r="C161">
        <f>ObesityDataSet_raw_and_data_sin!D161</f>
        <v>78</v>
      </c>
      <c r="D161" t="str">
        <f>ObesityDataSet_raw_and_data_sin!Q161</f>
        <v>Overweight_Level_II</v>
      </c>
      <c r="E161" t="b">
        <f t="shared" si="9"/>
        <v>0</v>
      </c>
      <c r="F161">
        <f>C161/(B161*B161)</f>
        <v>29.000594883997625</v>
      </c>
      <c r="G161" t="str">
        <f t="shared" si="10"/>
        <v>Overweight</v>
      </c>
      <c r="H161" t="str">
        <f t="shared" si="11"/>
        <v>OK</v>
      </c>
      <c r="I161" t="str">
        <f t="shared" si="8"/>
        <v>OK</v>
      </c>
    </row>
    <row r="162" spans="1:9" x14ac:dyDescent="0.2">
      <c r="A162" t="str">
        <f>ObesityDataSet_raw_and_data_sin!A162</f>
        <v>Male</v>
      </c>
      <c r="B162">
        <f>ObesityDataSet_raw_and_data_sin!C162</f>
        <v>1.83</v>
      </c>
      <c r="C162">
        <f>ObesityDataSet_raw_and_data_sin!D162</f>
        <v>72</v>
      </c>
      <c r="D162" t="str">
        <f>ObesityDataSet_raw_and_data_sin!Q162</f>
        <v>Normal_Weight</v>
      </c>
      <c r="E162" t="b">
        <f t="shared" si="9"/>
        <v>0</v>
      </c>
      <c r="F162">
        <f>C162/(B162*B162)</f>
        <v>21.49959688255845</v>
      </c>
      <c r="G162" t="str">
        <f t="shared" si="10"/>
        <v>Normal</v>
      </c>
      <c r="H162" t="str">
        <f t="shared" si="11"/>
        <v>OK</v>
      </c>
      <c r="I162" t="str">
        <f t="shared" si="8"/>
        <v>OK</v>
      </c>
    </row>
    <row r="163" spans="1:9" x14ac:dyDescent="0.2">
      <c r="A163" t="str">
        <f>ObesityDataSet_raw_and_data_sin!A163</f>
        <v>Male</v>
      </c>
      <c r="B163">
        <f>ObesityDataSet_raw_and_data_sin!C163</f>
        <v>1.65</v>
      </c>
      <c r="C163">
        <f>ObesityDataSet_raw_and_data_sin!D163</f>
        <v>80</v>
      </c>
      <c r="D163" t="str">
        <f>ObesityDataSet_raw_and_data_sin!Q163</f>
        <v>Overweight_Level_II</v>
      </c>
      <c r="E163" t="b">
        <f t="shared" si="9"/>
        <v>0</v>
      </c>
      <c r="F163">
        <f>C163/(B163*B163)</f>
        <v>29.384756657483933</v>
      </c>
      <c r="G163" t="str">
        <f t="shared" si="10"/>
        <v>Overweight</v>
      </c>
      <c r="H163" t="str">
        <f t="shared" si="11"/>
        <v>OK</v>
      </c>
      <c r="I163" t="str">
        <f t="shared" si="8"/>
        <v>OK</v>
      </c>
    </row>
    <row r="164" spans="1:9" x14ac:dyDescent="0.2">
      <c r="A164" t="str">
        <f>ObesityDataSet_raw_and_data_sin!A164</f>
        <v>Female</v>
      </c>
      <c r="B164">
        <f>ObesityDataSet_raw_and_data_sin!C164</f>
        <v>1.63</v>
      </c>
      <c r="C164">
        <f>ObesityDataSet_raw_and_data_sin!D164</f>
        <v>60</v>
      </c>
      <c r="D164" t="str">
        <f>ObesityDataSet_raw_and_data_sin!Q164</f>
        <v>Normal_Weight</v>
      </c>
      <c r="E164" t="b">
        <f t="shared" si="9"/>
        <v>0</v>
      </c>
      <c r="F164">
        <f>C164/(B164*B164)</f>
        <v>22.582709172343712</v>
      </c>
      <c r="G164" t="str">
        <f t="shared" si="10"/>
        <v>Normal</v>
      </c>
      <c r="H164" t="str">
        <f t="shared" si="11"/>
        <v>OK</v>
      </c>
      <c r="I164" t="str">
        <f t="shared" si="8"/>
        <v>OK</v>
      </c>
    </row>
    <row r="165" spans="1:9" x14ac:dyDescent="0.2">
      <c r="A165" t="str">
        <f>ObesityDataSet_raw_and_data_sin!A165</f>
        <v>Male</v>
      </c>
      <c r="B165">
        <f>ObesityDataSet_raw_and_data_sin!C165</f>
        <v>1.89</v>
      </c>
      <c r="C165">
        <f>ObesityDataSet_raw_and_data_sin!D165</f>
        <v>75</v>
      </c>
      <c r="D165" t="str">
        <f>ObesityDataSet_raw_and_data_sin!Q165</f>
        <v>Normal_Weight</v>
      </c>
      <c r="E165" t="b">
        <f t="shared" si="9"/>
        <v>0</v>
      </c>
      <c r="F165">
        <f>C165/(B165*B165)</f>
        <v>20.99605274208449</v>
      </c>
      <c r="G165" t="str">
        <f t="shared" si="10"/>
        <v>Normal</v>
      </c>
      <c r="H165" t="str">
        <f t="shared" si="11"/>
        <v>OK</v>
      </c>
      <c r="I165" t="str">
        <f t="shared" si="8"/>
        <v>OK</v>
      </c>
    </row>
    <row r="166" spans="1:9" x14ac:dyDescent="0.2">
      <c r="A166" t="str">
        <f>ObesityDataSet_raw_and_data_sin!A166</f>
        <v>Male</v>
      </c>
      <c r="B166">
        <f>ObesityDataSet_raw_and_data_sin!C166</f>
        <v>1.77</v>
      </c>
      <c r="C166">
        <f>ObesityDataSet_raw_and_data_sin!D166</f>
        <v>85</v>
      </c>
      <c r="D166" t="str">
        <f>ObesityDataSet_raw_and_data_sin!Q166</f>
        <v>Overweight_Level_II</v>
      </c>
      <c r="E166" t="b">
        <f t="shared" si="9"/>
        <v>0</v>
      </c>
      <c r="F166">
        <f>C166/(B166*B166)</f>
        <v>27.13141179099237</v>
      </c>
      <c r="G166" t="str">
        <f t="shared" si="10"/>
        <v>Overweight</v>
      </c>
      <c r="H166" t="str">
        <f t="shared" si="11"/>
        <v>OK</v>
      </c>
      <c r="I166" t="str">
        <f t="shared" si="8"/>
        <v>OK</v>
      </c>
    </row>
    <row r="167" spans="1:9" x14ac:dyDescent="0.2">
      <c r="A167" t="str">
        <f>ObesityDataSet_raw_and_data_sin!A167</f>
        <v>Male</v>
      </c>
      <c r="B167">
        <f>ObesityDataSet_raw_and_data_sin!C167</f>
        <v>1.92</v>
      </c>
      <c r="C167">
        <f>ObesityDataSet_raw_and_data_sin!D167</f>
        <v>130</v>
      </c>
      <c r="D167" t="str">
        <f>ObesityDataSet_raw_and_data_sin!Q167</f>
        <v>Obesity_Type_II</v>
      </c>
      <c r="E167" t="b">
        <f t="shared" si="9"/>
        <v>0</v>
      </c>
      <c r="F167">
        <f>C167/(B167*B167)</f>
        <v>35.264756944444443</v>
      </c>
      <c r="G167" t="str">
        <f t="shared" si="10"/>
        <v>Obese</v>
      </c>
      <c r="H167" t="str">
        <f t="shared" si="11"/>
        <v>OK</v>
      </c>
      <c r="I167" t="str">
        <f t="shared" si="8"/>
        <v>OK</v>
      </c>
    </row>
    <row r="168" spans="1:9" x14ac:dyDescent="0.2">
      <c r="A168" t="str">
        <f>ObesityDataSet_raw_and_data_sin!A168</f>
        <v>Female</v>
      </c>
      <c r="B168">
        <f>ObesityDataSet_raw_and_data_sin!C168</f>
        <v>1.74</v>
      </c>
      <c r="C168">
        <f>ObesityDataSet_raw_and_data_sin!D168</f>
        <v>72</v>
      </c>
      <c r="D168" t="str">
        <f>ObesityDataSet_raw_and_data_sin!Q168</f>
        <v>Normal_Weight</v>
      </c>
      <c r="E168" t="b">
        <f t="shared" si="9"/>
        <v>0</v>
      </c>
      <c r="F168">
        <f>C168/(B168*B168)</f>
        <v>23.781212841854934</v>
      </c>
      <c r="G168" t="str">
        <f t="shared" si="10"/>
        <v>Normal</v>
      </c>
      <c r="H168" t="str">
        <f t="shared" si="11"/>
        <v>OK</v>
      </c>
      <c r="I168" t="str">
        <f t="shared" si="8"/>
        <v>OK</v>
      </c>
    </row>
    <row r="169" spans="1:9" x14ac:dyDescent="0.2">
      <c r="A169" t="str">
        <f>ObesityDataSet_raw_and_data_sin!A169</f>
        <v>Male</v>
      </c>
      <c r="B169">
        <f>ObesityDataSet_raw_and_data_sin!C169</f>
        <v>1.65</v>
      </c>
      <c r="C169">
        <f>ObesityDataSet_raw_and_data_sin!D169</f>
        <v>80</v>
      </c>
      <c r="D169" t="str">
        <f>ObesityDataSet_raw_and_data_sin!Q169</f>
        <v>Overweight_Level_II</v>
      </c>
      <c r="E169" t="b">
        <f t="shared" si="9"/>
        <v>0</v>
      </c>
      <c r="F169">
        <f>C169/(B169*B169)</f>
        <v>29.384756657483933</v>
      </c>
      <c r="G169" t="str">
        <f t="shared" si="10"/>
        <v>Overweight</v>
      </c>
      <c r="H169" t="str">
        <f t="shared" si="11"/>
        <v>OK</v>
      </c>
      <c r="I169" t="str">
        <f t="shared" si="8"/>
        <v>OK</v>
      </c>
    </row>
    <row r="170" spans="1:9" x14ac:dyDescent="0.2">
      <c r="A170" t="str">
        <f>ObesityDataSet_raw_and_data_sin!A170</f>
        <v>Female</v>
      </c>
      <c r="B170">
        <f>ObesityDataSet_raw_and_data_sin!C170</f>
        <v>1.73</v>
      </c>
      <c r="C170">
        <f>ObesityDataSet_raw_and_data_sin!D170</f>
        <v>79</v>
      </c>
      <c r="D170" t="str">
        <f>ObesityDataSet_raw_and_data_sin!Q170</f>
        <v>Overweight_Level_I</v>
      </c>
      <c r="E170" t="b">
        <f t="shared" si="9"/>
        <v>0</v>
      </c>
      <c r="F170">
        <f>C170/(B170*B170)</f>
        <v>26.395803401383272</v>
      </c>
      <c r="G170" t="str">
        <f t="shared" si="10"/>
        <v>Overweight</v>
      </c>
      <c r="H170" t="str">
        <f t="shared" si="11"/>
        <v>OK</v>
      </c>
      <c r="I170" t="str">
        <f t="shared" si="8"/>
        <v>OK</v>
      </c>
    </row>
    <row r="171" spans="1:9" x14ac:dyDescent="0.2">
      <c r="A171" t="str">
        <f>ObesityDataSet_raw_and_data_sin!A171</f>
        <v>Female</v>
      </c>
      <c r="B171">
        <f>ObesityDataSet_raw_and_data_sin!C171</f>
        <v>1.63</v>
      </c>
      <c r="C171">
        <f>ObesityDataSet_raw_and_data_sin!D171</f>
        <v>77</v>
      </c>
      <c r="D171" t="str">
        <f>ObesityDataSet_raw_and_data_sin!Q171</f>
        <v>Overweight_Level_II</v>
      </c>
      <c r="E171" t="b">
        <f t="shared" si="9"/>
        <v>0</v>
      </c>
      <c r="F171">
        <f>C171/(B171*B171)</f>
        <v>28.981143437841094</v>
      </c>
      <c r="G171" t="str">
        <f t="shared" si="10"/>
        <v>Overweight</v>
      </c>
      <c r="H171" t="str">
        <f t="shared" si="11"/>
        <v>OK</v>
      </c>
      <c r="I171" t="str">
        <f t="shared" si="8"/>
        <v>OK</v>
      </c>
    </row>
    <row r="172" spans="1:9" x14ac:dyDescent="0.2">
      <c r="A172" t="str">
        <f>ObesityDataSet_raw_and_data_sin!A172</f>
        <v>Male</v>
      </c>
      <c r="B172">
        <f>ObesityDataSet_raw_and_data_sin!C172</f>
        <v>1.72</v>
      </c>
      <c r="C172">
        <f>ObesityDataSet_raw_and_data_sin!D172</f>
        <v>82</v>
      </c>
      <c r="D172" t="str">
        <f>ObesityDataSet_raw_and_data_sin!Q172</f>
        <v>Overweight_Level_II</v>
      </c>
      <c r="E172" t="b">
        <f t="shared" si="9"/>
        <v>0</v>
      </c>
      <c r="F172">
        <f>C172/(B172*B172)</f>
        <v>27.717685235262305</v>
      </c>
      <c r="G172" t="str">
        <f t="shared" si="10"/>
        <v>Overweight</v>
      </c>
      <c r="H172" t="str">
        <f t="shared" si="11"/>
        <v>OK</v>
      </c>
      <c r="I172" t="str">
        <f t="shared" si="8"/>
        <v>OK</v>
      </c>
    </row>
    <row r="173" spans="1:9" x14ac:dyDescent="0.2">
      <c r="A173" t="str">
        <f>ObesityDataSet_raw_and_data_sin!A173</f>
        <v>Male</v>
      </c>
      <c r="B173">
        <f>ObesityDataSet_raw_and_data_sin!C173</f>
        <v>1.6</v>
      </c>
      <c r="C173">
        <f>ObesityDataSet_raw_and_data_sin!D173</f>
        <v>58</v>
      </c>
      <c r="D173" t="str">
        <f>ObesityDataSet_raw_and_data_sin!Q173</f>
        <v>Normal_Weight</v>
      </c>
      <c r="E173" t="b">
        <f t="shared" si="9"/>
        <v>0</v>
      </c>
      <c r="F173">
        <f>C173/(B173*B173)</f>
        <v>22.656249999999996</v>
      </c>
      <c r="G173" t="str">
        <f t="shared" si="10"/>
        <v>Normal</v>
      </c>
      <c r="H173" t="str">
        <f t="shared" si="11"/>
        <v>OK</v>
      </c>
      <c r="I173" t="str">
        <f t="shared" si="8"/>
        <v>OK</v>
      </c>
    </row>
    <row r="174" spans="1:9" x14ac:dyDescent="0.2">
      <c r="A174" t="str">
        <f>ObesityDataSet_raw_and_data_sin!A174</f>
        <v>Female</v>
      </c>
      <c r="B174">
        <f>ObesityDataSet_raw_and_data_sin!C174</f>
        <v>1.65</v>
      </c>
      <c r="C174">
        <f>ObesityDataSet_raw_and_data_sin!D174</f>
        <v>59</v>
      </c>
      <c r="D174" t="str">
        <f>ObesityDataSet_raw_and_data_sin!Q174</f>
        <v>Normal_Weight</v>
      </c>
      <c r="E174" t="b">
        <f t="shared" si="9"/>
        <v>0</v>
      </c>
      <c r="F174">
        <f>C174/(B174*B174)</f>
        <v>21.6712580348944</v>
      </c>
      <c r="G174" t="str">
        <f t="shared" si="10"/>
        <v>Normal</v>
      </c>
      <c r="H174" t="str">
        <f t="shared" si="11"/>
        <v>OK</v>
      </c>
      <c r="I174" t="str">
        <f t="shared" si="8"/>
        <v>OK</v>
      </c>
    </row>
    <row r="175" spans="1:9" x14ac:dyDescent="0.2">
      <c r="A175" t="str">
        <f>ObesityDataSet_raw_and_data_sin!A175</f>
        <v>Male</v>
      </c>
      <c r="B175">
        <f>ObesityDataSet_raw_and_data_sin!C175</f>
        <v>1.74</v>
      </c>
      <c r="C175">
        <f>ObesityDataSet_raw_and_data_sin!D175</f>
        <v>64</v>
      </c>
      <c r="D175" t="str">
        <f>ObesityDataSet_raw_and_data_sin!Q175</f>
        <v>Normal_Weight</v>
      </c>
      <c r="E175" t="b">
        <f t="shared" si="9"/>
        <v>0</v>
      </c>
      <c r="F175">
        <f>C175/(B175*B175)</f>
        <v>21.138855859426609</v>
      </c>
      <c r="G175" t="str">
        <f t="shared" si="10"/>
        <v>Normal</v>
      </c>
      <c r="H175" t="str">
        <f t="shared" si="11"/>
        <v>OK</v>
      </c>
      <c r="I175" t="str">
        <f t="shared" si="8"/>
        <v>OK</v>
      </c>
    </row>
    <row r="176" spans="1:9" x14ac:dyDescent="0.2">
      <c r="A176" t="str">
        <f>ObesityDataSet_raw_and_data_sin!A176</f>
        <v>Male</v>
      </c>
      <c r="B176">
        <f>ObesityDataSet_raw_and_data_sin!C176</f>
        <v>1.62</v>
      </c>
      <c r="C176">
        <f>ObesityDataSet_raw_and_data_sin!D176</f>
        <v>70</v>
      </c>
      <c r="D176" t="str">
        <f>ObesityDataSet_raw_and_data_sin!Q176</f>
        <v>Overweight_Level_I</v>
      </c>
      <c r="E176" t="b">
        <f t="shared" si="9"/>
        <v>0</v>
      </c>
      <c r="F176">
        <f>C176/(B176*B176)</f>
        <v>26.672763298277697</v>
      </c>
      <c r="G176" t="str">
        <f t="shared" si="10"/>
        <v>Overweight</v>
      </c>
      <c r="H176" t="str">
        <f t="shared" si="11"/>
        <v>OK</v>
      </c>
      <c r="I176" t="str">
        <f t="shared" si="8"/>
        <v>OK</v>
      </c>
    </row>
    <row r="177" spans="1:9" x14ac:dyDescent="0.2">
      <c r="A177" t="str">
        <f>ObesityDataSet_raw_and_data_sin!A177</f>
        <v>Female</v>
      </c>
      <c r="B177">
        <f>ObesityDataSet_raw_and_data_sin!C177</f>
        <v>1.64</v>
      </c>
      <c r="C177">
        <f>ObesityDataSet_raw_and_data_sin!D177</f>
        <v>59.8</v>
      </c>
      <c r="D177" t="str">
        <f>ObesityDataSet_raw_and_data_sin!Q177</f>
        <v>Normal_Weight</v>
      </c>
      <c r="E177" t="b">
        <f t="shared" si="9"/>
        <v>0</v>
      </c>
      <c r="F177">
        <f>C177/(B177*B177)</f>
        <v>22.233789411064844</v>
      </c>
      <c r="G177" t="str">
        <f t="shared" si="10"/>
        <v>Normal</v>
      </c>
      <c r="H177" t="str">
        <f t="shared" si="11"/>
        <v>OK</v>
      </c>
      <c r="I177" t="str">
        <f t="shared" si="8"/>
        <v>OK</v>
      </c>
    </row>
    <row r="178" spans="1:9" x14ac:dyDescent="0.2">
      <c r="A178" t="str">
        <f>ObesityDataSet_raw_and_data_sin!A178</f>
        <v>Female</v>
      </c>
      <c r="B178">
        <f>ObesityDataSet_raw_and_data_sin!C178</f>
        <v>1.57</v>
      </c>
      <c r="C178">
        <f>ObesityDataSet_raw_and_data_sin!D178</f>
        <v>48</v>
      </c>
      <c r="D178" t="str">
        <f>ObesityDataSet_raw_and_data_sin!Q178</f>
        <v>Normal_Weight</v>
      </c>
      <c r="E178" t="b">
        <f t="shared" si="9"/>
        <v>0</v>
      </c>
      <c r="F178">
        <f>C178/(B178*B178)</f>
        <v>19.473406629072173</v>
      </c>
      <c r="G178" t="str">
        <f t="shared" si="10"/>
        <v>Normal</v>
      </c>
      <c r="H178" t="str">
        <f t="shared" si="11"/>
        <v>OK</v>
      </c>
      <c r="I178" t="str">
        <f t="shared" si="8"/>
        <v>OK</v>
      </c>
    </row>
    <row r="179" spans="1:9" x14ac:dyDescent="0.2">
      <c r="A179" t="str">
        <f>ObesityDataSet_raw_and_data_sin!A179</f>
        <v>Male</v>
      </c>
      <c r="B179">
        <f>ObesityDataSet_raw_and_data_sin!C179</f>
        <v>1.84</v>
      </c>
      <c r="C179">
        <f>ObesityDataSet_raw_and_data_sin!D179</f>
        <v>84</v>
      </c>
      <c r="D179" t="str">
        <f>ObesityDataSet_raw_and_data_sin!Q179</f>
        <v>Normal_Weight</v>
      </c>
      <c r="E179" t="b">
        <f t="shared" si="9"/>
        <v>0</v>
      </c>
      <c r="F179">
        <f>C179/(B179*B179)</f>
        <v>24.810964083175801</v>
      </c>
      <c r="G179" t="str">
        <f t="shared" si="10"/>
        <v>Normal</v>
      </c>
      <c r="H179" t="str">
        <f t="shared" si="11"/>
        <v>OK</v>
      </c>
      <c r="I179" t="str">
        <f t="shared" si="8"/>
        <v>OK</v>
      </c>
    </row>
    <row r="180" spans="1:9" x14ac:dyDescent="0.2">
      <c r="A180" t="str">
        <f>ObesityDataSet_raw_and_data_sin!A180</f>
        <v>Male</v>
      </c>
      <c r="B180">
        <f>ObesityDataSet_raw_and_data_sin!C180</f>
        <v>1.91</v>
      </c>
      <c r="C180">
        <f>ObesityDataSet_raw_and_data_sin!D180</f>
        <v>84</v>
      </c>
      <c r="D180" t="str">
        <f>ObesityDataSet_raw_and_data_sin!Q180</f>
        <v>Normal_Weight</v>
      </c>
      <c r="E180" t="b">
        <f t="shared" si="9"/>
        <v>0</v>
      </c>
      <c r="F180">
        <f>C180/(B180*B180)</f>
        <v>23.025684602944001</v>
      </c>
      <c r="G180" t="str">
        <f t="shared" si="10"/>
        <v>Normal</v>
      </c>
      <c r="H180" t="str">
        <f t="shared" si="11"/>
        <v>OK</v>
      </c>
      <c r="I180" t="str">
        <f t="shared" si="8"/>
        <v>OK</v>
      </c>
    </row>
    <row r="181" spans="1:9" x14ac:dyDescent="0.2">
      <c r="A181" t="str">
        <f>ObesityDataSet_raw_and_data_sin!A181</f>
        <v>Male</v>
      </c>
      <c r="B181">
        <f>ObesityDataSet_raw_and_data_sin!C181</f>
        <v>1.62</v>
      </c>
      <c r="C181">
        <f>ObesityDataSet_raw_and_data_sin!D181</f>
        <v>70</v>
      </c>
      <c r="D181" t="str">
        <f>ObesityDataSet_raw_and_data_sin!Q181</f>
        <v>Overweight_Level_I</v>
      </c>
      <c r="E181" t="b">
        <f t="shared" si="9"/>
        <v>0</v>
      </c>
      <c r="F181">
        <f>C181/(B181*B181)</f>
        <v>26.672763298277697</v>
      </c>
      <c r="G181" t="str">
        <f t="shared" si="10"/>
        <v>Overweight</v>
      </c>
      <c r="H181" t="str">
        <f t="shared" si="11"/>
        <v>OK</v>
      </c>
      <c r="I181" t="str">
        <f t="shared" si="8"/>
        <v>OK</v>
      </c>
    </row>
    <row r="182" spans="1:9" x14ac:dyDescent="0.2">
      <c r="A182" t="str">
        <f>ObesityDataSet_raw_and_data_sin!A182</f>
        <v>Female</v>
      </c>
      <c r="B182">
        <f>ObesityDataSet_raw_and_data_sin!C182</f>
        <v>1.58</v>
      </c>
      <c r="C182">
        <f>ObesityDataSet_raw_and_data_sin!D182</f>
        <v>48</v>
      </c>
      <c r="D182" t="str">
        <f>ObesityDataSet_raw_and_data_sin!Q182</f>
        <v>Normal_Weight</v>
      </c>
      <c r="E182" t="b">
        <f t="shared" si="9"/>
        <v>0</v>
      </c>
      <c r="F182">
        <f>C182/(B182*B182)</f>
        <v>19.227687870533565</v>
      </c>
      <c r="G182" t="str">
        <f t="shared" si="10"/>
        <v>Normal</v>
      </c>
      <c r="H182" t="str">
        <f t="shared" si="11"/>
        <v>OK</v>
      </c>
      <c r="I182" t="str">
        <f t="shared" si="8"/>
        <v>OK</v>
      </c>
    </row>
    <row r="183" spans="1:9" x14ac:dyDescent="0.2">
      <c r="A183" t="str">
        <f>ObesityDataSet_raw_and_data_sin!A183</f>
        <v>Female</v>
      </c>
      <c r="B183">
        <f>ObesityDataSet_raw_and_data_sin!C183</f>
        <v>1.68</v>
      </c>
      <c r="C183">
        <f>ObesityDataSet_raw_and_data_sin!D183</f>
        <v>67</v>
      </c>
      <c r="D183" t="str">
        <f>ObesityDataSet_raw_and_data_sin!Q183</f>
        <v>Normal_Weight</v>
      </c>
      <c r="E183" t="b">
        <f t="shared" si="9"/>
        <v>0</v>
      </c>
      <c r="F183">
        <f>C183/(B183*B183)</f>
        <v>23.738662131519277</v>
      </c>
      <c r="G183" t="str">
        <f t="shared" si="10"/>
        <v>Normal</v>
      </c>
      <c r="H183" t="str">
        <f t="shared" si="11"/>
        <v>OK</v>
      </c>
      <c r="I183" t="str">
        <f t="shared" si="8"/>
        <v>OK</v>
      </c>
    </row>
    <row r="184" spans="1:9" x14ac:dyDescent="0.2">
      <c r="A184" t="str">
        <f>ObesityDataSet_raw_and_data_sin!A184</f>
        <v>Female</v>
      </c>
      <c r="B184">
        <f>ObesityDataSet_raw_and_data_sin!C184</f>
        <v>1.68</v>
      </c>
      <c r="C184">
        <f>ObesityDataSet_raw_and_data_sin!D184</f>
        <v>52</v>
      </c>
      <c r="D184" t="str">
        <f>ObesityDataSet_raw_and_data_sin!Q184</f>
        <v>Insufficient_Weight</v>
      </c>
      <c r="E184" t="b">
        <f t="shared" si="9"/>
        <v>0</v>
      </c>
      <c r="F184">
        <f>C184/(B184*B184)</f>
        <v>18.424036281179141</v>
      </c>
      <c r="G184" t="str">
        <f t="shared" si="10"/>
        <v>Normal</v>
      </c>
      <c r="H184" t="str">
        <f t="shared" si="11"/>
        <v>OK</v>
      </c>
      <c r="I184" t="str">
        <f t="shared" si="8"/>
        <v>OK</v>
      </c>
    </row>
    <row r="185" spans="1:9" x14ac:dyDescent="0.2">
      <c r="A185" t="str">
        <f>ObesityDataSet_raw_and_data_sin!A185</f>
        <v>Female</v>
      </c>
      <c r="B185">
        <f>ObesityDataSet_raw_and_data_sin!C185</f>
        <v>1.48</v>
      </c>
      <c r="C185">
        <f>ObesityDataSet_raw_and_data_sin!D185</f>
        <v>60</v>
      </c>
      <c r="D185" t="str">
        <f>ObesityDataSet_raw_and_data_sin!Q185</f>
        <v>Overweight_Level_II</v>
      </c>
      <c r="E185" t="b">
        <f t="shared" si="9"/>
        <v>1</v>
      </c>
      <c r="F185">
        <f>C185/(B185*B185)</f>
        <v>27.392257121986852</v>
      </c>
      <c r="G185" t="str">
        <f t="shared" si="10"/>
        <v>Obese</v>
      </c>
      <c r="H185" t="str">
        <f t="shared" si="11"/>
        <v>OK</v>
      </c>
      <c r="I185" t="str">
        <f t="shared" si="8"/>
        <v>ERROR</v>
      </c>
    </row>
    <row r="186" spans="1:9" x14ac:dyDescent="0.2">
      <c r="A186" t="str">
        <f>ObesityDataSet_raw_and_data_sin!A186</f>
        <v>Male</v>
      </c>
      <c r="B186">
        <f>ObesityDataSet_raw_and_data_sin!C186</f>
        <v>1.62</v>
      </c>
      <c r="C186">
        <f>ObesityDataSet_raw_and_data_sin!D186</f>
        <v>70</v>
      </c>
      <c r="D186" t="str">
        <f>ObesityDataSet_raw_and_data_sin!Q186</f>
        <v>Overweight_Level_I</v>
      </c>
      <c r="E186" t="b">
        <f t="shared" si="9"/>
        <v>0</v>
      </c>
      <c r="F186">
        <f>C186/(B186*B186)</f>
        <v>26.672763298277697</v>
      </c>
      <c r="G186" t="str">
        <f t="shared" si="10"/>
        <v>Overweight</v>
      </c>
      <c r="H186" t="str">
        <f t="shared" si="11"/>
        <v>OK</v>
      </c>
      <c r="I186" t="str">
        <f t="shared" si="8"/>
        <v>OK</v>
      </c>
    </row>
    <row r="187" spans="1:9" x14ac:dyDescent="0.2">
      <c r="A187" t="str">
        <f>ObesityDataSet_raw_and_data_sin!A187</f>
        <v>Female</v>
      </c>
      <c r="B187">
        <f>ObesityDataSet_raw_and_data_sin!C187</f>
        <v>1.62</v>
      </c>
      <c r="C187">
        <f>ObesityDataSet_raw_and_data_sin!D187</f>
        <v>68</v>
      </c>
      <c r="D187" t="str">
        <f>ObesityDataSet_raw_and_data_sin!Q187</f>
        <v>Overweight_Level_I</v>
      </c>
      <c r="E187" t="b">
        <f t="shared" si="9"/>
        <v>0</v>
      </c>
      <c r="F187">
        <f>C187/(B187*B187)</f>
        <v>25.910684346898332</v>
      </c>
      <c r="G187" t="str">
        <f t="shared" si="10"/>
        <v>Overweight</v>
      </c>
      <c r="H187" t="str">
        <f t="shared" si="11"/>
        <v>OK</v>
      </c>
      <c r="I187" t="str">
        <f t="shared" si="8"/>
        <v>OK</v>
      </c>
    </row>
    <row r="188" spans="1:9" x14ac:dyDescent="0.2">
      <c r="A188" t="str">
        <f>ObesityDataSet_raw_and_data_sin!A188</f>
        <v>Male</v>
      </c>
      <c r="B188">
        <f>ObesityDataSet_raw_and_data_sin!C188</f>
        <v>1.78</v>
      </c>
      <c r="C188">
        <f>ObesityDataSet_raw_and_data_sin!D188</f>
        <v>96</v>
      </c>
      <c r="D188" t="str">
        <f>ObesityDataSet_raw_and_data_sin!Q188</f>
        <v>Obesity_Type_I</v>
      </c>
      <c r="E188" t="b">
        <f t="shared" si="9"/>
        <v>0</v>
      </c>
      <c r="F188">
        <f>C188/(B188*B188)</f>
        <v>30.299204645878046</v>
      </c>
      <c r="G188" t="str">
        <f t="shared" si="10"/>
        <v>Obese</v>
      </c>
      <c r="H188" t="str">
        <f t="shared" si="11"/>
        <v>OK</v>
      </c>
      <c r="I188" t="str">
        <f t="shared" si="8"/>
        <v>OK</v>
      </c>
    </row>
    <row r="189" spans="1:9" x14ac:dyDescent="0.2">
      <c r="A189" t="str">
        <f>ObesityDataSet_raw_and_data_sin!A189</f>
        <v>Male</v>
      </c>
      <c r="B189">
        <f>ObesityDataSet_raw_and_data_sin!C189</f>
        <v>1.78</v>
      </c>
      <c r="C189">
        <f>ObesityDataSet_raw_and_data_sin!D189</f>
        <v>98</v>
      </c>
      <c r="D189" t="str">
        <f>ObesityDataSet_raw_and_data_sin!Q189</f>
        <v>Obesity_Type_I</v>
      </c>
      <c r="E189" t="b">
        <f t="shared" si="9"/>
        <v>0</v>
      </c>
      <c r="F189">
        <f>C189/(B189*B189)</f>
        <v>30.930438076000502</v>
      </c>
      <c r="G189" t="str">
        <f t="shared" si="10"/>
        <v>Obese</v>
      </c>
      <c r="H189" t="str">
        <f t="shared" si="11"/>
        <v>OK</v>
      </c>
      <c r="I189" t="str">
        <f t="shared" si="8"/>
        <v>OK</v>
      </c>
    </row>
    <row r="190" spans="1:9" x14ac:dyDescent="0.2">
      <c r="A190" t="str">
        <f>ObesityDataSet_raw_and_data_sin!A190</f>
        <v>Male</v>
      </c>
      <c r="B190">
        <f>ObesityDataSet_raw_and_data_sin!C190</f>
        <v>1.78</v>
      </c>
      <c r="C190">
        <f>ObesityDataSet_raw_and_data_sin!D190</f>
        <v>105</v>
      </c>
      <c r="D190" t="str">
        <f>ObesityDataSet_raw_and_data_sin!Q190</f>
        <v>Obesity_Type_I</v>
      </c>
      <c r="E190" t="b">
        <f t="shared" si="9"/>
        <v>0</v>
      </c>
      <c r="F190">
        <f>C190/(B190*B190)</f>
        <v>33.139755081429108</v>
      </c>
      <c r="G190" t="str">
        <f t="shared" si="10"/>
        <v>Obese</v>
      </c>
      <c r="H190" t="str">
        <f t="shared" si="11"/>
        <v>OK</v>
      </c>
      <c r="I190" t="str">
        <f t="shared" si="8"/>
        <v>OK</v>
      </c>
    </row>
    <row r="191" spans="1:9" x14ac:dyDescent="0.2">
      <c r="A191" t="str">
        <f>ObesityDataSet_raw_and_data_sin!A191</f>
        <v>Female</v>
      </c>
      <c r="B191">
        <f>ObesityDataSet_raw_and_data_sin!C191</f>
        <v>1.63</v>
      </c>
      <c r="C191">
        <f>ObesityDataSet_raw_and_data_sin!D191</f>
        <v>62</v>
      </c>
      <c r="D191" t="str">
        <f>ObesityDataSet_raw_and_data_sin!Q191</f>
        <v>Normal_Weight</v>
      </c>
      <c r="E191" t="b">
        <f t="shared" si="9"/>
        <v>0</v>
      </c>
      <c r="F191">
        <f>C191/(B191*B191)</f>
        <v>23.335466144755166</v>
      </c>
      <c r="G191" t="str">
        <f t="shared" si="10"/>
        <v>Normal</v>
      </c>
      <c r="H191" t="str">
        <f t="shared" si="11"/>
        <v>OK</v>
      </c>
      <c r="I191" t="str">
        <f t="shared" si="8"/>
        <v>OK</v>
      </c>
    </row>
    <row r="192" spans="1:9" x14ac:dyDescent="0.2">
      <c r="A192" t="str">
        <f>ObesityDataSet_raw_and_data_sin!A192</f>
        <v>Male</v>
      </c>
      <c r="B192">
        <f>ObesityDataSet_raw_and_data_sin!C192</f>
        <v>1.6</v>
      </c>
      <c r="C192">
        <f>ObesityDataSet_raw_and_data_sin!D192</f>
        <v>56</v>
      </c>
      <c r="D192" t="str">
        <f>ObesityDataSet_raw_and_data_sin!Q192</f>
        <v>Normal_Weight</v>
      </c>
      <c r="E192" t="b">
        <f t="shared" si="9"/>
        <v>0</v>
      </c>
      <c r="F192">
        <f>C192/(B192*B192)</f>
        <v>21.874999999999996</v>
      </c>
      <c r="G192" t="str">
        <f t="shared" si="10"/>
        <v>Normal</v>
      </c>
      <c r="H192" t="str">
        <f t="shared" si="11"/>
        <v>OK</v>
      </c>
      <c r="I192" t="str">
        <f t="shared" si="8"/>
        <v>OK</v>
      </c>
    </row>
    <row r="193" spans="1:9" x14ac:dyDescent="0.2">
      <c r="A193" t="str">
        <f>ObesityDataSet_raw_and_data_sin!A193</f>
        <v>Male</v>
      </c>
      <c r="B193">
        <f>ObesityDataSet_raw_and_data_sin!C193</f>
        <v>1.75</v>
      </c>
      <c r="C193">
        <f>ObesityDataSet_raw_and_data_sin!D193</f>
        <v>80</v>
      </c>
      <c r="D193" t="str">
        <f>ObesityDataSet_raw_and_data_sin!Q193</f>
        <v>Overweight_Level_I</v>
      </c>
      <c r="E193" t="b">
        <f t="shared" si="9"/>
        <v>0</v>
      </c>
      <c r="F193">
        <f>C193/(B193*B193)</f>
        <v>26.122448979591837</v>
      </c>
      <c r="G193" t="str">
        <f t="shared" si="10"/>
        <v>Overweight</v>
      </c>
      <c r="H193" t="str">
        <f t="shared" si="11"/>
        <v>OK</v>
      </c>
      <c r="I193" t="str">
        <f t="shared" si="8"/>
        <v>OK</v>
      </c>
    </row>
    <row r="194" spans="1:9" x14ac:dyDescent="0.2">
      <c r="A194" t="str">
        <f>ObesityDataSet_raw_and_data_sin!A194</f>
        <v>Male</v>
      </c>
      <c r="B194">
        <f>ObesityDataSet_raw_and_data_sin!C194</f>
        <v>1.83</v>
      </c>
      <c r="C194">
        <f>ObesityDataSet_raw_and_data_sin!D194</f>
        <v>85</v>
      </c>
      <c r="D194" t="str">
        <f>ObesityDataSet_raw_and_data_sin!Q194</f>
        <v>Overweight_Level_I</v>
      </c>
      <c r="E194" t="b">
        <f t="shared" si="9"/>
        <v>0</v>
      </c>
      <c r="F194">
        <f>C194/(B194*B194)</f>
        <v>25.381468541909282</v>
      </c>
      <c r="G194" t="str">
        <f t="shared" si="10"/>
        <v>Overweight</v>
      </c>
      <c r="H194" t="str">
        <f t="shared" si="11"/>
        <v>OK</v>
      </c>
      <c r="I194" t="str">
        <f t="shared" ref="I194:I257" si="12">IF(AND(LEFT(D194,10)="Overweight",G194&lt;&gt;"Overweight"),"ERROR","OK")</f>
        <v>OK</v>
      </c>
    </row>
    <row r="195" spans="1:9" x14ac:dyDescent="0.2">
      <c r="A195" t="str">
        <f>ObesityDataSet_raw_and_data_sin!A195</f>
        <v>Male</v>
      </c>
      <c r="B195">
        <f>ObesityDataSet_raw_and_data_sin!C195</f>
        <v>1.78</v>
      </c>
      <c r="C195">
        <f>ObesityDataSet_raw_and_data_sin!D195</f>
        <v>68</v>
      </c>
      <c r="D195" t="str">
        <f>ObesityDataSet_raw_and_data_sin!Q195</f>
        <v>Normal_Weight</v>
      </c>
      <c r="E195" t="b">
        <f t="shared" ref="E195:E258" si="13">IF(AND(A195="Female", B195&lt;1.5), TRUE, IF(AND(A195="Male",B195&lt;1.6),TRUE, FALSE))</f>
        <v>0</v>
      </c>
      <c r="F195">
        <f>C195/(B195*B195)</f>
        <v>21.461936624163616</v>
      </c>
      <c r="G195" t="str">
        <f t="shared" ref="G195:G258" si="14">IF(E195=TRUE,IF(F195&lt;23,"Normal",IF(F195&lt;25,"Overweight","Obese")),IF(F195&lt;25,"Normal",IF(F195&lt;30,"Overweight","Obese")))</f>
        <v>Normal</v>
      </c>
      <c r="H195" t="str">
        <f t="shared" ref="H195:H258" si="15">IF(AND(D195="Normal_Weight",G195&lt;&gt;"Normal"),"ERROR","OK")</f>
        <v>OK</v>
      </c>
      <c r="I195" t="str">
        <f t="shared" si="12"/>
        <v>OK</v>
      </c>
    </row>
    <row r="196" spans="1:9" x14ac:dyDescent="0.2">
      <c r="A196" t="str">
        <f>ObesityDataSet_raw_and_data_sin!A196</f>
        <v>Female</v>
      </c>
      <c r="B196">
        <f>ObesityDataSet_raw_and_data_sin!C196</f>
        <v>1.6</v>
      </c>
      <c r="C196">
        <f>ObesityDataSet_raw_and_data_sin!D196</f>
        <v>83</v>
      </c>
      <c r="D196" t="str">
        <f>ObesityDataSet_raw_and_data_sin!Q196</f>
        <v>Obesity_Type_I</v>
      </c>
      <c r="E196" t="b">
        <f t="shared" si="13"/>
        <v>0</v>
      </c>
      <c r="F196">
        <f>C196/(B196*B196)</f>
        <v>32.421874999999993</v>
      </c>
      <c r="G196" t="str">
        <f t="shared" si="14"/>
        <v>Obese</v>
      </c>
      <c r="H196" t="str">
        <f t="shared" si="15"/>
        <v>OK</v>
      </c>
      <c r="I196" t="str">
        <f t="shared" si="12"/>
        <v>OK</v>
      </c>
    </row>
    <row r="197" spans="1:9" x14ac:dyDescent="0.2">
      <c r="A197" t="str">
        <f>ObesityDataSet_raw_and_data_sin!A197</f>
        <v>Male</v>
      </c>
      <c r="B197">
        <f>ObesityDataSet_raw_and_data_sin!C197</f>
        <v>1.8</v>
      </c>
      <c r="C197">
        <f>ObesityDataSet_raw_and_data_sin!D197</f>
        <v>85</v>
      </c>
      <c r="D197" t="str">
        <f>ObesityDataSet_raw_and_data_sin!Q197</f>
        <v>Overweight_Level_I</v>
      </c>
      <c r="E197" t="b">
        <f t="shared" si="13"/>
        <v>0</v>
      </c>
      <c r="F197">
        <f>C197/(B197*B197)</f>
        <v>26.234567901234566</v>
      </c>
      <c r="G197" t="str">
        <f t="shared" si="14"/>
        <v>Overweight</v>
      </c>
      <c r="H197" t="str">
        <f t="shared" si="15"/>
        <v>OK</v>
      </c>
      <c r="I197" t="str">
        <f t="shared" si="12"/>
        <v>OK</v>
      </c>
    </row>
    <row r="198" spans="1:9" x14ac:dyDescent="0.2">
      <c r="A198" t="str">
        <f>ObesityDataSet_raw_and_data_sin!A198</f>
        <v>Male</v>
      </c>
      <c r="B198">
        <f>ObesityDataSet_raw_and_data_sin!C198</f>
        <v>1.75</v>
      </c>
      <c r="C198">
        <f>ObesityDataSet_raw_and_data_sin!D198</f>
        <v>74</v>
      </c>
      <c r="D198" t="str">
        <f>ObesityDataSet_raw_and_data_sin!Q198</f>
        <v>Normal_Weight</v>
      </c>
      <c r="E198" t="b">
        <f t="shared" si="13"/>
        <v>0</v>
      </c>
      <c r="F198">
        <f>C198/(B198*B198)</f>
        <v>24.163265306122447</v>
      </c>
      <c r="G198" t="str">
        <f t="shared" si="14"/>
        <v>Normal</v>
      </c>
      <c r="H198" t="str">
        <f t="shared" si="15"/>
        <v>OK</v>
      </c>
      <c r="I198" t="str">
        <f t="shared" si="12"/>
        <v>OK</v>
      </c>
    </row>
    <row r="199" spans="1:9" x14ac:dyDescent="0.2">
      <c r="A199" t="str">
        <f>ObesityDataSet_raw_and_data_sin!A199</f>
        <v>Male</v>
      </c>
      <c r="B199">
        <f>ObesityDataSet_raw_and_data_sin!C199</f>
        <v>1.75</v>
      </c>
      <c r="C199">
        <f>ObesityDataSet_raw_and_data_sin!D199</f>
        <v>118</v>
      </c>
      <c r="D199" t="str">
        <f>ObesityDataSet_raw_and_data_sin!Q199</f>
        <v>Obesity_Type_II</v>
      </c>
      <c r="E199" t="b">
        <f t="shared" si="13"/>
        <v>0</v>
      </c>
      <c r="F199">
        <f>C199/(B199*B199)</f>
        <v>38.530612244897959</v>
      </c>
      <c r="G199" t="str">
        <f t="shared" si="14"/>
        <v>Obese</v>
      </c>
      <c r="H199" t="str">
        <f t="shared" si="15"/>
        <v>OK</v>
      </c>
      <c r="I199" t="str">
        <f t="shared" si="12"/>
        <v>OK</v>
      </c>
    </row>
    <row r="200" spans="1:9" x14ac:dyDescent="0.2">
      <c r="A200" t="str">
        <f>ObesityDataSet_raw_and_data_sin!A200</f>
        <v>Female</v>
      </c>
      <c r="B200">
        <f>ObesityDataSet_raw_and_data_sin!C200</f>
        <v>1.59</v>
      </c>
      <c r="C200">
        <f>ObesityDataSet_raw_and_data_sin!D200</f>
        <v>40</v>
      </c>
      <c r="D200" t="str">
        <f>ObesityDataSet_raw_and_data_sin!Q200</f>
        <v>Insufficient_Weight</v>
      </c>
      <c r="E200" t="b">
        <f t="shared" si="13"/>
        <v>0</v>
      </c>
      <c r="F200">
        <f>C200/(B200*B200)</f>
        <v>15.822158933586486</v>
      </c>
      <c r="G200" t="str">
        <f t="shared" si="14"/>
        <v>Normal</v>
      </c>
      <c r="H200" t="str">
        <f t="shared" si="15"/>
        <v>OK</v>
      </c>
      <c r="I200" t="str">
        <f t="shared" si="12"/>
        <v>OK</v>
      </c>
    </row>
    <row r="201" spans="1:9" x14ac:dyDescent="0.2">
      <c r="A201" t="str">
        <f>ObesityDataSet_raw_and_data_sin!A201</f>
        <v>Female</v>
      </c>
      <c r="B201">
        <f>ObesityDataSet_raw_and_data_sin!C201</f>
        <v>1.66</v>
      </c>
      <c r="C201">
        <f>ObesityDataSet_raw_and_data_sin!D201</f>
        <v>60</v>
      </c>
      <c r="D201" t="str">
        <f>ObesityDataSet_raw_and_data_sin!Q201</f>
        <v>Normal_Weight</v>
      </c>
      <c r="E201" t="b">
        <f t="shared" si="13"/>
        <v>0</v>
      </c>
      <c r="F201">
        <f>C201/(B201*B201)</f>
        <v>21.773842357381334</v>
      </c>
      <c r="G201" t="str">
        <f t="shared" si="14"/>
        <v>Normal</v>
      </c>
      <c r="H201" t="str">
        <f t="shared" si="15"/>
        <v>OK</v>
      </c>
      <c r="I201" t="str">
        <f t="shared" si="12"/>
        <v>OK</v>
      </c>
    </row>
    <row r="202" spans="1:9" x14ac:dyDescent="0.2">
      <c r="A202" t="str">
        <f>ObesityDataSet_raw_and_data_sin!A202</f>
        <v>Female</v>
      </c>
      <c r="B202">
        <f>ObesityDataSet_raw_and_data_sin!C202</f>
        <v>1.63</v>
      </c>
      <c r="C202">
        <f>ObesityDataSet_raw_and_data_sin!D202</f>
        <v>83</v>
      </c>
      <c r="D202" t="str">
        <f>ObesityDataSet_raw_and_data_sin!Q202</f>
        <v>Obesity_Type_I</v>
      </c>
      <c r="E202" t="b">
        <f t="shared" si="13"/>
        <v>0</v>
      </c>
      <c r="F202">
        <f>C202/(B202*B202)</f>
        <v>31.239414355075468</v>
      </c>
      <c r="G202" t="str">
        <f t="shared" si="14"/>
        <v>Obese</v>
      </c>
      <c r="H202" t="str">
        <f t="shared" si="15"/>
        <v>OK</v>
      </c>
      <c r="I202" t="str">
        <f t="shared" si="12"/>
        <v>OK</v>
      </c>
    </row>
    <row r="203" spans="1:9" x14ac:dyDescent="0.2">
      <c r="A203" t="str">
        <f>ObesityDataSet_raw_and_data_sin!A203</f>
        <v>Female</v>
      </c>
      <c r="B203">
        <f>ObesityDataSet_raw_and_data_sin!C203</f>
        <v>1.54</v>
      </c>
      <c r="C203">
        <f>ObesityDataSet_raw_and_data_sin!D203</f>
        <v>80</v>
      </c>
      <c r="D203" t="str">
        <f>ObesityDataSet_raw_and_data_sin!Q203</f>
        <v>Obesity_Type_I</v>
      </c>
      <c r="E203" t="b">
        <f t="shared" si="13"/>
        <v>0</v>
      </c>
      <c r="F203">
        <f>C203/(B203*B203)</f>
        <v>33.732501264968796</v>
      </c>
      <c r="G203" t="str">
        <f t="shared" si="14"/>
        <v>Obese</v>
      </c>
      <c r="H203" t="str">
        <f t="shared" si="15"/>
        <v>OK</v>
      </c>
      <c r="I203" t="str">
        <f t="shared" si="12"/>
        <v>OK</v>
      </c>
    </row>
    <row r="204" spans="1:9" x14ac:dyDescent="0.2">
      <c r="A204" t="str">
        <f>ObesityDataSet_raw_and_data_sin!A204</f>
        <v>Female</v>
      </c>
      <c r="B204">
        <f>ObesityDataSet_raw_and_data_sin!C204</f>
        <v>1.56</v>
      </c>
      <c r="C204">
        <f>ObesityDataSet_raw_and_data_sin!D204</f>
        <v>102</v>
      </c>
      <c r="D204" t="str">
        <f>ObesityDataSet_raw_and_data_sin!Q204</f>
        <v>Obesity_Type_III</v>
      </c>
      <c r="E204" t="b">
        <f t="shared" si="13"/>
        <v>0</v>
      </c>
      <c r="F204">
        <f>C204/(B204*B204)</f>
        <v>41.913214990138066</v>
      </c>
      <c r="G204" t="str">
        <f t="shared" si="14"/>
        <v>Obese</v>
      </c>
      <c r="H204" t="str">
        <f t="shared" si="15"/>
        <v>OK</v>
      </c>
      <c r="I204" t="str">
        <f t="shared" si="12"/>
        <v>OK</v>
      </c>
    </row>
    <row r="205" spans="1:9" x14ac:dyDescent="0.2">
      <c r="A205" t="str">
        <f>ObesityDataSet_raw_and_data_sin!A205</f>
        <v>Male</v>
      </c>
      <c r="B205">
        <f>ObesityDataSet_raw_and_data_sin!C205</f>
        <v>1.69</v>
      </c>
      <c r="C205">
        <f>ObesityDataSet_raw_and_data_sin!D205</f>
        <v>90</v>
      </c>
      <c r="D205" t="str">
        <f>ObesityDataSet_raw_and_data_sin!Q205</f>
        <v>Obesity_Type_I</v>
      </c>
      <c r="E205" t="b">
        <f t="shared" si="13"/>
        <v>0</v>
      </c>
      <c r="F205">
        <f>C205/(B205*B205)</f>
        <v>31.511501698119819</v>
      </c>
      <c r="G205" t="str">
        <f t="shared" si="14"/>
        <v>Obese</v>
      </c>
      <c r="H205" t="str">
        <f t="shared" si="15"/>
        <v>OK</v>
      </c>
      <c r="I205" t="str">
        <f t="shared" si="12"/>
        <v>OK</v>
      </c>
    </row>
    <row r="206" spans="1:9" x14ac:dyDescent="0.2">
      <c r="A206" t="str">
        <f>ObesityDataSet_raw_and_data_sin!A206</f>
        <v>Male</v>
      </c>
      <c r="B206">
        <f>ObesityDataSet_raw_and_data_sin!C206</f>
        <v>1.83</v>
      </c>
      <c r="C206">
        <f>ObesityDataSet_raw_and_data_sin!D206</f>
        <v>71</v>
      </c>
      <c r="D206" t="str">
        <f>ObesityDataSet_raw_and_data_sin!Q206</f>
        <v>Normal_Weight</v>
      </c>
      <c r="E206" t="b">
        <f t="shared" si="13"/>
        <v>0</v>
      </c>
      <c r="F206">
        <f>C206/(B206*B206)</f>
        <v>21.200991370300692</v>
      </c>
      <c r="G206" t="str">
        <f t="shared" si="14"/>
        <v>Normal</v>
      </c>
      <c r="H206" t="str">
        <f t="shared" si="15"/>
        <v>OK</v>
      </c>
      <c r="I206" t="str">
        <f t="shared" si="12"/>
        <v>OK</v>
      </c>
    </row>
    <row r="207" spans="1:9" x14ac:dyDescent="0.2">
      <c r="A207" t="str">
        <f>ObesityDataSet_raw_and_data_sin!A207</f>
        <v>Female</v>
      </c>
      <c r="B207">
        <f>ObesityDataSet_raw_and_data_sin!C207</f>
        <v>1.6</v>
      </c>
      <c r="C207">
        <f>ObesityDataSet_raw_and_data_sin!D207</f>
        <v>78</v>
      </c>
      <c r="D207" t="str">
        <f>ObesityDataSet_raw_and_data_sin!Q207</f>
        <v>Obesity_Type_I</v>
      </c>
      <c r="E207" t="b">
        <f t="shared" si="13"/>
        <v>0</v>
      </c>
      <c r="F207">
        <f>C207/(B207*B207)</f>
        <v>30.468749999999993</v>
      </c>
      <c r="G207" t="str">
        <f t="shared" si="14"/>
        <v>Obese</v>
      </c>
      <c r="H207" t="str">
        <f t="shared" si="15"/>
        <v>OK</v>
      </c>
      <c r="I207" t="str">
        <f t="shared" si="12"/>
        <v>OK</v>
      </c>
    </row>
    <row r="208" spans="1:9" x14ac:dyDescent="0.2">
      <c r="A208" t="str">
        <f>ObesityDataSet_raw_and_data_sin!A208</f>
        <v>Male</v>
      </c>
      <c r="B208">
        <f>ObesityDataSet_raw_and_data_sin!C208</f>
        <v>1.75</v>
      </c>
      <c r="C208">
        <f>ObesityDataSet_raw_and_data_sin!D208</f>
        <v>100</v>
      </c>
      <c r="D208" t="str">
        <f>ObesityDataSet_raw_and_data_sin!Q208</f>
        <v>Obesity_Type_I</v>
      </c>
      <c r="E208" t="b">
        <f t="shared" si="13"/>
        <v>0</v>
      </c>
      <c r="F208">
        <f>C208/(B208*B208)</f>
        <v>32.653061224489797</v>
      </c>
      <c r="G208" t="str">
        <f t="shared" si="14"/>
        <v>Obese</v>
      </c>
      <c r="H208" t="str">
        <f t="shared" si="15"/>
        <v>OK</v>
      </c>
      <c r="I208" t="str">
        <f t="shared" si="12"/>
        <v>OK</v>
      </c>
    </row>
    <row r="209" spans="1:9" x14ac:dyDescent="0.2">
      <c r="A209" t="str">
        <f>ObesityDataSet_raw_and_data_sin!A209</f>
        <v>Male</v>
      </c>
      <c r="B209">
        <f>ObesityDataSet_raw_and_data_sin!C209</f>
        <v>1.75</v>
      </c>
      <c r="C209">
        <f>ObesityDataSet_raw_and_data_sin!D209</f>
        <v>73</v>
      </c>
      <c r="D209" t="str">
        <f>ObesityDataSet_raw_and_data_sin!Q209</f>
        <v>Normal_Weight</v>
      </c>
      <c r="E209" t="b">
        <f t="shared" si="13"/>
        <v>0</v>
      </c>
      <c r="F209">
        <f>C209/(B209*B209)</f>
        <v>23.836734693877553</v>
      </c>
      <c r="G209" t="str">
        <f t="shared" si="14"/>
        <v>Normal</v>
      </c>
      <c r="H209" t="str">
        <f t="shared" si="15"/>
        <v>OK</v>
      </c>
      <c r="I209" t="str">
        <f t="shared" si="12"/>
        <v>OK</v>
      </c>
    </row>
    <row r="210" spans="1:9" x14ac:dyDescent="0.2">
      <c r="A210" t="str">
        <f>ObesityDataSet_raw_and_data_sin!A210</f>
        <v>Female</v>
      </c>
      <c r="B210">
        <f>ObesityDataSet_raw_and_data_sin!C210</f>
        <v>1.69</v>
      </c>
      <c r="C210">
        <f>ObesityDataSet_raw_and_data_sin!D210</f>
        <v>65</v>
      </c>
      <c r="D210" t="str">
        <f>ObesityDataSet_raw_and_data_sin!Q210</f>
        <v>Normal_Weight</v>
      </c>
      <c r="E210" t="b">
        <f t="shared" si="13"/>
        <v>0</v>
      </c>
      <c r="F210">
        <f>C210/(B210*B210)</f>
        <v>22.758306781975424</v>
      </c>
      <c r="G210" t="str">
        <f t="shared" si="14"/>
        <v>Normal</v>
      </c>
      <c r="H210" t="str">
        <f t="shared" si="15"/>
        <v>OK</v>
      </c>
      <c r="I210" t="str">
        <f t="shared" si="12"/>
        <v>OK</v>
      </c>
    </row>
    <row r="211" spans="1:9" x14ac:dyDescent="0.2">
      <c r="A211" t="str">
        <f>ObesityDataSet_raw_and_data_sin!A211</f>
        <v>Female</v>
      </c>
      <c r="B211">
        <f>ObesityDataSet_raw_and_data_sin!C211</f>
        <v>1.69</v>
      </c>
      <c r="C211">
        <f>ObesityDataSet_raw_and_data_sin!D211</f>
        <v>65</v>
      </c>
      <c r="D211" t="str">
        <f>ObesityDataSet_raw_and_data_sin!Q211</f>
        <v>Normal_Weight</v>
      </c>
      <c r="E211" t="b">
        <f t="shared" si="13"/>
        <v>0</v>
      </c>
      <c r="F211">
        <f>C211/(B211*B211)</f>
        <v>22.758306781975424</v>
      </c>
      <c r="G211" t="str">
        <f t="shared" si="14"/>
        <v>Normal</v>
      </c>
      <c r="H211" t="str">
        <f t="shared" si="15"/>
        <v>OK</v>
      </c>
      <c r="I211" t="str">
        <f t="shared" si="12"/>
        <v>OK</v>
      </c>
    </row>
    <row r="212" spans="1:9" x14ac:dyDescent="0.2">
      <c r="A212" t="str">
        <f>ObesityDataSet_raw_and_data_sin!A212</f>
        <v>Male</v>
      </c>
      <c r="B212">
        <f>ObesityDataSet_raw_and_data_sin!C212</f>
        <v>1.8</v>
      </c>
      <c r="C212">
        <f>ObesityDataSet_raw_and_data_sin!D212</f>
        <v>114</v>
      </c>
      <c r="D212" t="str">
        <f>ObesityDataSet_raw_and_data_sin!Q212</f>
        <v>Obesity_Type_II</v>
      </c>
      <c r="E212" t="b">
        <f t="shared" si="13"/>
        <v>0</v>
      </c>
      <c r="F212">
        <f>C212/(B212*B212)</f>
        <v>35.185185185185183</v>
      </c>
      <c r="G212" t="str">
        <f t="shared" si="14"/>
        <v>Obese</v>
      </c>
      <c r="H212" t="str">
        <f t="shared" si="15"/>
        <v>OK</v>
      </c>
      <c r="I212" t="str">
        <f t="shared" si="12"/>
        <v>OK</v>
      </c>
    </row>
    <row r="213" spans="1:9" x14ac:dyDescent="0.2">
      <c r="A213" t="str">
        <f>ObesityDataSet_raw_and_data_sin!A213</f>
        <v>Female</v>
      </c>
      <c r="B213">
        <f>ObesityDataSet_raw_and_data_sin!C213</f>
        <v>1.63</v>
      </c>
      <c r="C213">
        <f>ObesityDataSet_raw_and_data_sin!D213</f>
        <v>51</v>
      </c>
      <c r="D213" t="str">
        <f>ObesityDataSet_raw_and_data_sin!Q213</f>
        <v>Normal_Weight</v>
      </c>
      <c r="E213" t="b">
        <f t="shared" si="13"/>
        <v>0</v>
      </c>
      <c r="F213">
        <f>C213/(B213*B213)</f>
        <v>19.195302796492154</v>
      </c>
      <c r="G213" t="str">
        <f t="shared" si="14"/>
        <v>Normal</v>
      </c>
      <c r="H213" t="str">
        <f t="shared" si="15"/>
        <v>OK</v>
      </c>
      <c r="I213" t="str">
        <f t="shared" si="12"/>
        <v>OK</v>
      </c>
    </row>
    <row r="214" spans="1:9" x14ac:dyDescent="0.2">
      <c r="A214" t="str">
        <f>ObesityDataSet_raw_and_data_sin!A214</f>
        <v>Female</v>
      </c>
      <c r="B214">
        <f>ObesityDataSet_raw_and_data_sin!C214</f>
        <v>1.5</v>
      </c>
      <c r="C214">
        <f>ObesityDataSet_raw_and_data_sin!D214</f>
        <v>63</v>
      </c>
      <c r="D214" t="str">
        <f>ObesityDataSet_raw_and_data_sin!Q214</f>
        <v>Overweight_Level_II</v>
      </c>
      <c r="E214" t="b">
        <f t="shared" si="13"/>
        <v>0</v>
      </c>
      <c r="F214">
        <f>C214/(B214*B214)</f>
        <v>28</v>
      </c>
      <c r="G214" t="str">
        <f t="shared" si="14"/>
        <v>Overweight</v>
      </c>
      <c r="H214" t="str">
        <f t="shared" si="15"/>
        <v>OK</v>
      </c>
      <c r="I214" t="str">
        <f t="shared" si="12"/>
        <v>OK</v>
      </c>
    </row>
    <row r="215" spans="1:9" x14ac:dyDescent="0.2">
      <c r="A215" t="str">
        <f>ObesityDataSet_raw_and_data_sin!A215</f>
        <v>Male</v>
      </c>
      <c r="B215">
        <f>ObesityDataSet_raw_and_data_sin!C215</f>
        <v>1.8</v>
      </c>
      <c r="C215">
        <f>ObesityDataSet_raw_and_data_sin!D215</f>
        <v>62</v>
      </c>
      <c r="D215" t="str">
        <f>ObesityDataSet_raw_and_data_sin!Q215</f>
        <v>Normal_Weight</v>
      </c>
      <c r="E215" t="b">
        <f t="shared" si="13"/>
        <v>0</v>
      </c>
      <c r="F215">
        <f>C215/(B215*B215)</f>
        <v>19.1358024691358</v>
      </c>
      <c r="G215" t="str">
        <f t="shared" si="14"/>
        <v>Normal</v>
      </c>
      <c r="H215" t="str">
        <f t="shared" si="15"/>
        <v>OK</v>
      </c>
      <c r="I215" t="str">
        <f t="shared" si="12"/>
        <v>OK</v>
      </c>
    </row>
    <row r="216" spans="1:9" x14ac:dyDescent="0.2">
      <c r="A216" t="str">
        <f>ObesityDataSet_raw_and_data_sin!A216</f>
        <v>Male</v>
      </c>
      <c r="B216">
        <f>ObesityDataSet_raw_and_data_sin!C216</f>
        <v>1.65</v>
      </c>
      <c r="C216">
        <f>ObesityDataSet_raw_and_data_sin!D216</f>
        <v>53</v>
      </c>
      <c r="D216" t="str">
        <f>ObesityDataSet_raw_and_data_sin!Q216</f>
        <v>Normal_Weight</v>
      </c>
      <c r="E216" t="b">
        <f t="shared" si="13"/>
        <v>0</v>
      </c>
      <c r="F216">
        <f>C216/(B216*B216)</f>
        <v>19.467401285583104</v>
      </c>
      <c r="G216" t="str">
        <f t="shared" si="14"/>
        <v>Normal</v>
      </c>
      <c r="H216" t="str">
        <f t="shared" si="15"/>
        <v>OK</v>
      </c>
      <c r="I216" t="str">
        <f t="shared" si="12"/>
        <v>OK</v>
      </c>
    </row>
    <row r="217" spans="1:9" x14ac:dyDescent="0.2">
      <c r="A217" t="str">
        <f>ObesityDataSet_raw_and_data_sin!A217</f>
        <v>Male</v>
      </c>
      <c r="B217">
        <f>ObesityDataSet_raw_and_data_sin!C217</f>
        <v>1.68</v>
      </c>
      <c r="C217">
        <f>ObesityDataSet_raw_and_data_sin!D217</f>
        <v>70</v>
      </c>
      <c r="D217" t="str">
        <f>ObesityDataSet_raw_and_data_sin!Q217</f>
        <v>Normal_Weight</v>
      </c>
      <c r="E217" t="b">
        <f t="shared" si="13"/>
        <v>0</v>
      </c>
      <c r="F217">
        <f>C217/(B217*B217)</f>
        <v>24.801587301587304</v>
      </c>
      <c r="G217" t="str">
        <f t="shared" si="14"/>
        <v>Normal</v>
      </c>
      <c r="H217" t="str">
        <f t="shared" si="15"/>
        <v>OK</v>
      </c>
      <c r="I217" t="str">
        <f t="shared" si="12"/>
        <v>OK</v>
      </c>
    </row>
    <row r="218" spans="1:9" x14ac:dyDescent="0.2">
      <c r="A218" t="str">
        <f>ObesityDataSet_raw_and_data_sin!A218</f>
        <v>Female</v>
      </c>
      <c r="B218">
        <f>ObesityDataSet_raw_and_data_sin!C218</f>
        <v>1.6</v>
      </c>
      <c r="C218">
        <f>ObesityDataSet_raw_and_data_sin!D218</f>
        <v>63</v>
      </c>
      <c r="D218" t="str">
        <f>ObesityDataSet_raw_and_data_sin!Q218</f>
        <v>Normal_Weight</v>
      </c>
      <c r="E218" t="b">
        <f t="shared" si="13"/>
        <v>0</v>
      </c>
      <c r="F218">
        <f>C218/(B218*B218)</f>
        <v>24.609374999999996</v>
      </c>
      <c r="G218" t="str">
        <f t="shared" si="14"/>
        <v>Normal</v>
      </c>
      <c r="H218" t="str">
        <f t="shared" si="15"/>
        <v>OK</v>
      </c>
      <c r="I218" t="str">
        <f t="shared" si="12"/>
        <v>OK</v>
      </c>
    </row>
    <row r="219" spans="1:9" x14ac:dyDescent="0.2">
      <c r="A219" t="str">
        <f>ObesityDataSet_raw_and_data_sin!A219</f>
        <v>Male</v>
      </c>
      <c r="B219">
        <f>ObesityDataSet_raw_and_data_sin!C219</f>
        <v>1.71</v>
      </c>
      <c r="C219">
        <f>ObesityDataSet_raw_and_data_sin!D219</f>
        <v>75</v>
      </c>
      <c r="D219" t="str">
        <f>ObesityDataSet_raw_and_data_sin!Q219</f>
        <v>Overweight_Level_I</v>
      </c>
      <c r="E219" t="b">
        <f t="shared" si="13"/>
        <v>0</v>
      </c>
      <c r="F219">
        <f>C219/(B219*B219)</f>
        <v>25.64891761567662</v>
      </c>
      <c r="G219" t="str">
        <f t="shared" si="14"/>
        <v>Overweight</v>
      </c>
      <c r="H219" t="str">
        <f t="shared" si="15"/>
        <v>OK</v>
      </c>
      <c r="I219" t="str">
        <f t="shared" si="12"/>
        <v>OK</v>
      </c>
    </row>
    <row r="220" spans="1:9" x14ac:dyDescent="0.2">
      <c r="A220" t="str">
        <f>ObesityDataSet_raw_and_data_sin!A220</f>
        <v>Female</v>
      </c>
      <c r="B220">
        <f>ObesityDataSet_raw_and_data_sin!C220</f>
        <v>1.5</v>
      </c>
      <c r="C220">
        <f>ObesityDataSet_raw_and_data_sin!D220</f>
        <v>42.3</v>
      </c>
      <c r="D220" t="str">
        <f>ObesityDataSet_raw_and_data_sin!Q220</f>
        <v>Normal_Weight</v>
      </c>
      <c r="E220" t="b">
        <f t="shared" si="13"/>
        <v>0</v>
      </c>
      <c r="F220">
        <f>C220/(B220*B220)</f>
        <v>18.799999999999997</v>
      </c>
      <c r="G220" t="str">
        <f t="shared" si="14"/>
        <v>Normal</v>
      </c>
      <c r="H220" t="str">
        <f t="shared" si="15"/>
        <v>OK</v>
      </c>
      <c r="I220" t="str">
        <f t="shared" si="12"/>
        <v>OK</v>
      </c>
    </row>
    <row r="221" spans="1:9" x14ac:dyDescent="0.2">
      <c r="A221" t="str">
        <f>ObesityDataSet_raw_and_data_sin!A221</f>
        <v>Female</v>
      </c>
      <c r="B221">
        <f>ObesityDataSet_raw_and_data_sin!C221</f>
        <v>1.6</v>
      </c>
      <c r="C221">
        <f>ObesityDataSet_raw_and_data_sin!D221</f>
        <v>68</v>
      </c>
      <c r="D221" t="str">
        <f>ObesityDataSet_raw_and_data_sin!Q221</f>
        <v>Overweight_Level_I</v>
      </c>
      <c r="E221" t="b">
        <f t="shared" si="13"/>
        <v>0</v>
      </c>
      <c r="F221">
        <f>C221/(B221*B221)</f>
        <v>26.562499999999996</v>
      </c>
      <c r="G221" t="str">
        <f t="shared" si="14"/>
        <v>Overweight</v>
      </c>
      <c r="H221" t="str">
        <f t="shared" si="15"/>
        <v>OK</v>
      </c>
      <c r="I221" t="str">
        <f t="shared" si="12"/>
        <v>OK</v>
      </c>
    </row>
    <row r="222" spans="1:9" x14ac:dyDescent="0.2">
      <c r="A222" t="str">
        <f>ObesityDataSet_raw_and_data_sin!A222</f>
        <v>Female</v>
      </c>
      <c r="B222">
        <f>ObesityDataSet_raw_and_data_sin!C222</f>
        <v>1.75</v>
      </c>
      <c r="C222">
        <f>ObesityDataSet_raw_and_data_sin!D222</f>
        <v>78</v>
      </c>
      <c r="D222" t="str">
        <f>ObesityDataSet_raw_and_data_sin!Q222</f>
        <v>Overweight_Level_I</v>
      </c>
      <c r="E222" t="b">
        <f t="shared" si="13"/>
        <v>0</v>
      </c>
      <c r="F222">
        <f>C222/(B222*B222)</f>
        <v>25.469387755102041</v>
      </c>
      <c r="G222" t="str">
        <f t="shared" si="14"/>
        <v>Overweight</v>
      </c>
      <c r="H222" t="str">
        <f t="shared" si="15"/>
        <v>OK</v>
      </c>
      <c r="I222" t="str">
        <f t="shared" si="12"/>
        <v>OK</v>
      </c>
    </row>
    <row r="223" spans="1:9" x14ac:dyDescent="0.2">
      <c r="A223" t="str">
        <f>ObesityDataSet_raw_and_data_sin!A223</f>
        <v>Male</v>
      </c>
      <c r="B223">
        <f>ObesityDataSet_raw_and_data_sin!C223</f>
        <v>1.72</v>
      </c>
      <c r="C223">
        <f>ObesityDataSet_raw_and_data_sin!D223</f>
        <v>82</v>
      </c>
      <c r="D223" t="str">
        <f>ObesityDataSet_raw_and_data_sin!Q223</f>
        <v>Overweight_Level_II</v>
      </c>
      <c r="E223" t="b">
        <f t="shared" si="13"/>
        <v>0</v>
      </c>
      <c r="F223">
        <f>C223/(B223*B223)</f>
        <v>27.717685235262305</v>
      </c>
      <c r="G223" t="str">
        <f t="shared" si="14"/>
        <v>Overweight</v>
      </c>
      <c r="H223" t="str">
        <f t="shared" si="15"/>
        <v>OK</v>
      </c>
      <c r="I223" t="str">
        <f t="shared" si="12"/>
        <v>OK</v>
      </c>
    </row>
    <row r="224" spans="1:9" x14ac:dyDescent="0.2">
      <c r="A224" t="str">
        <f>ObesityDataSet_raw_and_data_sin!A224</f>
        <v>Female</v>
      </c>
      <c r="B224">
        <f>ObesityDataSet_raw_and_data_sin!C224</f>
        <v>1.72</v>
      </c>
      <c r="C224">
        <f>ObesityDataSet_raw_and_data_sin!D224</f>
        <v>66.5</v>
      </c>
      <c r="D224" t="str">
        <f>ObesityDataSet_raw_and_data_sin!Q224</f>
        <v>Normal_Weight</v>
      </c>
      <c r="E224" t="b">
        <f t="shared" si="13"/>
        <v>0</v>
      </c>
      <c r="F224">
        <f>C224/(B224*B224)</f>
        <v>22.478366684694432</v>
      </c>
      <c r="G224" t="str">
        <f t="shared" si="14"/>
        <v>Normal</v>
      </c>
      <c r="H224" t="str">
        <f t="shared" si="15"/>
        <v>OK</v>
      </c>
      <c r="I224" t="str">
        <f t="shared" si="12"/>
        <v>OK</v>
      </c>
    </row>
    <row r="225" spans="1:9" x14ac:dyDescent="0.2">
      <c r="A225" t="str">
        <f>ObesityDataSet_raw_and_data_sin!A225</f>
        <v>Female</v>
      </c>
      <c r="B225">
        <f>ObesityDataSet_raw_and_data_sin!C225</f>
        <v>1.61</v>
      </c>
      <c r="C225">
        <f>ObesityDataSet_raw_and_data_sin!D225</f>
        <v>63</v>
      </c>
      <c r="D225" t="str">
        <f>ObesityDataSet_raw_and_data_sin!Q225</f>
        <v>Normal_Weight</v>
      </c>
      <c r="E225" t="b">
        <f t="shared" si="13"/>
        <v>0</v>
      </c>
      <c r="F225">
        <f>C225/(B225*B225)</f>
        <v>24.304617877396701</v>
      </c>
      <c r="G225" t="str">
        <f t="shared" si="14"/>
        <v>Normal</v>
      </c>
      <c r="H225" t="str">
        <f t="shared" si="15"/>
        <v>OK</v>
      </c>
      <c r="I225" t="str">
        <f t="shared" si="12"/>
        <v>OK</v>
      </c>
    </row>
    <row r="226" spans="1:9" x14ac:dyDescent="0.2">
      <c r="A226" t="str">
        <f>ObesityDataSet_raw_and_data_sin!A226</f>
        <v>Female</v>
      </c>
      <c r="B226">
        <f>ObesityDataSet_raw_and_data_sin!C226</f>
        <v>1.63</v>
      </c>
      <c r="C226">
        <f>ObesityDataSet_raw_and_data_sin!D226</f>
        <v>82</v>
      </c>
      <c r="D226" t="str">
        <f>ObesityDataSet_raw_and_data_sin!Q226</f>
        <v>Obesity_Type_I</v>
      </c>
      <c r="E226" t="b">
        <f t="shared" si="13"/>
        <v>0</v>
      </c>
      <c r="F226">
        <f>C226/(B226*B226)</f>
        <v>30.863035868869737</v>
      </c>
      <c r="G226" t="str">
        <f t="shared" si="14"/>
        <v>Obese</v>
      </c>
      <c r="H226" t="str">
        <f t="shared" si="15"/>
        <v>OK</v>
      </c>
      <c r="I226" t="str">
        <f t="shared" si="12"/>
        <v>OK</v>
      </c>
    </row>
    <row r="227" spans="1:9" x14ac:dyDescent="0.2">
      <c r="A227" t="str">
        <f>ObesityDataSet_raw_and_data_sin!A227</f>
        <v>Male</v>
      </c>
      <c r="B227">
        <f>ObesityDataSet_raw_and_data_sin!C227</f>
        <v>1.83</v>
      </c>
      <c r="C227">
        <f>ObesityDataSet_raw_and_data_sin!D227</f>
        <v>121</v>
      </c>
      <c r="D227" t="str">
        <f>ObesityDataSet_raw_and_data_sin!Q227</f>
        <v>Obesity_Type_II</v>
      </c>
      <c r="E227" t="b">
        <f t="shared" si="13"/>
        <v>0</v>
      </c>
      <c r="F227">
        <f>C227/(B227*B227)</f>
        <v>36.131266983188503</v>
      </c>
      <c r="G227" t="str">
        <f t="shared" si="14"/>
        <v>Obese</v>
      </c>
      <c r="H227" t="str">
        <f t="shared" si="15"/>
        <v>OK</v>
      </c>
      <c r="I227" t="str">
        <f t="shared" si="12"/>
        <v>OK</v>
      </c>
    </row>
    <row r="228" spans="1:9" x14ac:dyDescent="0.2">
      <c r="A228" t="str">
        <f>ObesityDataSet_raw_and_data_sin!A228</f>
        <v>Female</v>
      </c>
      <c r="B228">
        <f>ObesityDataSet_raw_and_data_sin!C228</f>
        <v>1.6</v>
      </c>
      <c r="C228">
        <f>ObesityDataSet_raw_and_data_sin!D228</f>
        <v>50</v>
      </c>
      <c r="D228" t="str">
        <f>ObesityDataSet_raw_and_data_sin!Q228</f>
        <v>Normal_Weight</v>
      </c>
      <c r="E228" t="b">
        <f t="shared" si="13"/>
        <v>0</v>
      </c>
      <c r="F228">
        <f>C228/(B228*B228)</f>
        <v>19.531249999999996</v>
      </c>
      <c r="G228" t="str">
        <f t="shared" si="14"/>
        <v>Normal</v>
      </c>
      <c r="H228" t="str">
        <f t="shared" si="15"/>
        <v>OK</v>
      </c>
      <c r="I228" t="str">
        <f t="shared" si="12"/>
        <v>OK</v>
      </c>
    </row>
    <row r="229" spans="1:9" x14ac:dyDescent="0.2">
      <c r="A229" t="str">
        <f>ObesityDataSet_raw_and_data_sin!A229</f>
        <v>Female</v>
      </c>
      <c r="B229">
        <f>ObesityDataSet_raw_and_data_sin!C229</f>
        <v>1.62</v>
      </c>
      <c r="C229">
        <f>ObesityDataSet_raw_and_data_sin!D229</f>
        <v>58</v>
      </c>
      <c r="D229" t="str">
        <f>ObesityDataSet_raw_and_data_sin!Q229</f>
        <v>Normal_Weight</v>
      </c>
      <c r="E229" t="b">
        <f t="shared" si="13"/>
        <v>0</v>
      </c>
      <c r="F229">
        <f>C229/(B229*B229)</f>
        <v>22.10028959000152</v>
      </c>
      <c r="G229" t="str">
        <f t="shared" si="14"/>
        <v>Normal</v>
      </c>
      <c r="H229" t="str">
        <f t="shared" si="15"/>
        <v>OK</v>
      </c>
      <c r="I229" t="str">
        <f t="shared" si="12"/>
        <v>OK</v>
      </c>
    </row>
    <row r="230" spans="1:9" x14ac:dyDescent="0.2">
      <c r="A230" t="str">
        <f>ObesityDataSet_raw_and_data_sin!A230</f>
        <v>Female</v>
      </c>
      <c r="B230">
        <f>ObesityDataSet_raw_and_data_sin!C230</f>
        <v>1.68</v>
      </c>
      <c r="C230">
        <f>ObesityDataSet_raw_and_data_sin!D230</f>
        <v>80</v>
      </c>
      <c r="D230" t="str">
        <f>ObesityDataSet_raw_and_data_sin!Q230</f>
        <v>Overweight_Level_II</v>
      </c>
      <c r="E230" t="b">
        <f t="shared" si="13"/>
        <v>0</v>
      </c>
      <c r="F230">
        <f>C230/(B230*B230)</f>
        <v>28.344671201814062</v>
      </c>
      <c r="G230" t="str">
        <f t="shared" si="14"/>
        <v>Overweight</v>
      </c>
      <c r="H230" t="str">
        <f t="shared" si="15"/>
        <v>OK</v>
      </c>
      <c r="I230" t="str">
        <f t="shared" si="12"/>
        <v>OK</v>
      </c>
    </row>
    <row r="231" spans="1:9" x14ac:dyDescent="0.2">
      <c r="A231" t="str">
        <f>ObesityDataSet_raw_and_data_sin!A231</f>
        <v>Male</v>
      </c>
      <c r="B231">
        <f>ObesityDataSet_raw_and_data_sin!C231</f>
        <v>1.75</v>
      </c>
      <c r="C231">
        <f>ObesityDataSet_raw_and_data_sin!D231</f>
        <v>120</v>
      </c>
      <c r="D231" t="str">
        <f>ObesityDataSet_raw_and_data_sin!Q231</f>
        <v>Obesity_Type_II</v>
      </c>
      <c r="E231" t="b">
        <f t="shared" si="13"/>
        <v>0</v>
      </c>
      <c r="F231">
        <f>C231/(B231*B231)</f>
        <v>39.183673469387756</v>
      </c>
      <c r="G231" t="str">
        <f t="shared" si="14"/>
        <v>Obese</v>
      </c>
      <c r="H231" t="str">
        <f t="shared" si="15"/>
        <v>OK</v>
      </c>
      <c r="I231" t="str">
        <f t="shared" si="12"/>
        <v>OK</v>
      </c>
    </row>
    <row r="232" spans="1:9" x14ac:dyDescent="0.2">
      <c r="A232" t="str">
        <f>ObesityDataSet_raw_and_data_sin!A232</f>
        <v>Male</v>
      </c>
      <c r="B232">
        <f>ObesityDataSet_raw_and_data_sin!C232</f>
        <v>1.9</v>
      </c>
      <c r="C232">
        <f>ObesityDataSet_raw_and_data_sin!D232</f>
        <v>91</v>
      </c>
      <c r="D232" t="str">
        <f>ObesityDataSet_raw_and_data_sin!Q232</f>
        <v>Overweight_Level_I</v>
      </c>
      <c r="E232" t="b">
        <f t="shared" si="13"/>
        <v>0</v>
      </c>
      <c r="F232">
        <f>C232/(B232*B232)</f>
        <v>25.207756232686982</v>
      </c>
      <c r="G232" t="str">
        <f t="shared" si="14"/>
        <v>Overweight</v>
      </c>
      <c r="H232" t="str">
        <f t="shared" si="15"/>
        <v>OK</v>
      </c>
      <c r="I232" t="str">
        <f t="shared" si="12"/>
        <v>OK</v>
      </c>
    </row>
    <row r="233" spans="1:9" x14ac:dyDescent="0.2">
      <c r="A233" t="str">
        <f>ObesityDataSet_raw_and_data_sin!A233</f>
        <v>Female</v>
      </c>
      <c r="B233">
        <f>ObesityDataSet_raw_and_data_sin!C233</f>
        <v>1.63</v>
      </c>
      <c r="C233">
        <f>ObesityDataSet_raw_and_data_sin!D233</f>
        <v>66</v>
      </c>
      <c r="D233" t="str">
        <f>ObesityDataSet_raw_and_data_sin!Q233</f>
        <v>Normal_Weight</v>
      </c>
      <c r="E233" t="b">
        <f t="shared" si="13"/>
        <v>0</v>
      </c>
      <c r="F233">
        <f>C233/(B233*B233)</f>
        <v>24.840980089578082</v>
      </c>
      <c r="G233" t="str">
        <f t="shared" si="14"/>
        <v>Normal</v>
      </c>
      <c r="H233" t="str">
        <f t="shared" si="15"/>
        <v>OK</v>
      </c>
      <c r="I233" t="str">
        <f t="shared" si="12"/>
        <v>OK</v>
      </c>
    </row>
    <row r="234" spans="1:9" x14ac:dyDescent="0.2">
      <c r="A234" t="str">
        <f>ObesityDataSet_raw_and_data_sin!A234</f>
        <v>Female</v>
      </c>
      <c r="B234">
        <f>ObesityDataSet_raw_and_data_sin!C234</f>
        <v>1.59</v>
      </c>
      <c r="C234">
        <f>ObesityDataSet_raw_and_data_sin!D234</f>
        <v>50</v>
      </c>
      <c r="D234" t="str">
        <f>ObesityDataSet_raw_and_data_sin!Q234</f>
        <v>Normal_Weight</v>
      </c>
      <c r="E234" t="b">
        <f t="shared" si="13"/>
        <v>0</v>
      </c>
      <c r="F234">
        <f>C234/(B234*B234)</f>
        <v>19.77769866698311</v>
      </c>
      <c r="G234" t="str">
        <f t="shared" si="14"/>
        <v>Normal</v>
      </c>
      <c r="H234" t="str">
        <f t="shared" si="15"/>
        <v>OK</v>
      </c>
      <c r="I234" t="str">
        <f t="shared" si="12"/>
        <v>OK</v>
      </c>
    </row>
    <row r="235" spans="1:9" x14ac:dyDescent="0.2">
      <c r="A235" t="str">
        <f>ObesityDataSet_raw_and_data_sin!A235</f>
        <v>Female</v>
      </c>
      <c r="B235">
        <f>ObesityDataSet_raw_and_data_sin!C235</f>
        <v>1.68</v>
      </c>
      <c r="C235">
        <f>ObesityDataSet_raw_and_data_sin!D235</f>
        <v>77</v>
      </c>
      <c r="D235" t="str">
        <f>ObesityDataSet_raw_and_data_sin!Q235</f>
        <v>Overweight_Level_II</v>
      </c>
      <c r="E235" t="b">
        <f t="shared" si="13"/>
        <v>0</v>
      </c>
      <c r="F235">
        <f>C235/(B235*B235)</f>
        <v>27.281746031746035</v>
      </c>
      <c r="G235" t="str">
        <f t="shared" si="14"/>
        <v>Overweight</v>
      </c>
      <c r="H235" t="str">
        <f t="shared" si="15"/>
        <v>OK</v>
      </c>
      <c r="I235" t="str">
        <f t="shared" si="12"/>
        <v>OK</v>
      </c>
    </row>
    <row r="236" spans="1:9" x14ac:dyDescent="0.2">
      <c r="A236" t="str">
        <f>ObesityDataSet_raw_and_data_sin!A236</f>
        <v>Female</v>
      </c>
      <c r="B236">
        <f>ObesityDataSet_raw_and_data_sin!C236</f>
        <v>1.59</v>
      </c>
      <c r="C236">
        <f>ObesityDataSet_raw_and_data_sin!D236</f>
        <v>49</v>
      </c>
      <c r="D236" t="str">
        <f>ObesityDataSet_raw_and_data_sin!Q236</f>
        <v>Normal_Weight</v>
      </c>
      <c r="E236" t="b">
        <f t="shared" si="13"/>
        <v>0</v>
      </c>
      <c r="F236">
        <f>C236/(B236*B236)</f>
        <v>19.382144693643447</v>
      </c>
      <c r="G236" t="str">
        <f t="shared" si="14"/>
        <v>Normal</v>
      </c>
      <c r="H236" t="str">
        <f t="shared" si="15"/>
        <v>OK</v>
      </c>
      <c r="I236" t="str">
        <f t="shared" si="12"/>
        <v>OK</v>
      </c>
    </row>
    <row r="237" spans="1:9" x14ac:dyDescent="0.2">
      <c r="A237" t="str">
        <f>ObesityDataSet_raw_and_data_sin!A237</f>
        <v>Female</v>
      </c>
      <c r="B237">
        <f>ObesityDataSet_raw_and_data_sin!C237</f>
        <v>1.69</v>
      </c>
      <c r="C237">
        <f>ObesityDataSet_raw_and_data_sin!D237</f>
        <v>70</v>
      </c>
      <c r="D237" t="str">
        <f>ObesityDataSet_raw_and_data_sin!Q237</f>
        <v>Normal_Weight</v>
      </c>
      <c r="E237" t="b">
        <f t="shared" si="13"/>
        <v>0</v>
      </c>
      <c r="F237">
        <f>C237/(B237*B237)</f>
        <v>24.508945765204302</v>
      </c>
      <c r="G237" t="str">
        <f t="shared" si="14"/>
        <v>Normal</v>
      </c>
      <c r="H237" t="str">
        <f t="shared" si="15"/>
        <v>OK</v>
      </c>
      <c r="I237" t="str">
        <f t="shared" si="12"/>
        <v>OK</v>
      </c>
    </row>
    <row r="238" spans="1:9" x14ac:dyDescent="0.2">
      <c r="A238" t="str">
        <f>ObesityDataSet_raw_and_data_sin!A238</f>
        <v>Female</v>
      </c>
      <c r="B238">
        <f>ObesityDataSet_raw_and_data_sin!C238</f>
        <v>1.66</v>
      </c>
      <c r="C238">
        <f>ObesityDataSet_raw_and_data_sin!D238</f>
        <v>59</v>
      </c>
      <c r="D238" t="str">
        <f>ObesityDataSet_raw_and_data_sin!Q238</f>
        <v>Normal_Weight</v>
      </c>
      <c r="E238" t="b">
        <f t="shared" si="13"/>
        <v>0</v>
      </c>
      <c r="F238">
        <f>C238/(B238*B238)</f>
        <v>21.410944984758313</v>
      </c>
      <c r="G238" t="str">
        <f t="shared" si="14"/>
        <v>Normal</v>
      </c>
      <c r="H238" t="str">
        <f t="shared" si="15"/>
        <v>OK</v>
      </c>
      <c r="I238" t="str">
        <f t="shared" si="12"/>
        <v>OK</v>
      </c>
    </row>
    <row r="239" spans="1:9" x14ac:dyDescent="0.2">
      <c r="A239" t="str">
        <f>ObesityDataSet_raw_and_data_sin!A239</f>
        <v>Female</v>
      </c>
      <c r="B239">
        <f>ObesityDataSet_raw_and_data_sin!C239</f>
        <v>1.64</v>
      </c>
      <c r="C239">
        <f>ObesityDataSet_raw_and_data_sin!D239</f>
        <v>53</v>
      </c>
      <c r="D239" t="str">
        <f>ObesityDataSet_raw_and_data_sin!Q239</f>
        <v>Normal_Weight</v>
      </c>
      <c r="E239" t="b">
        <f t="shared" si="13"/>
        <v>0</v>
      </c>
      <c r="F239">
        <f>C239/(B239*B239)</f>
        <v>19.705532421177875</v>
      </c>
      <c r="G239" t="str">
        <f t="shared" si="14"/>
        <v>Normal</v>
      </c>
      <c r="H239" t="str">
        <f t="shared" si="15"/>
        <v>OK</v>
      </c>
      <c r="I239" t="str">
        <f t="shared" si="12"/>
        <v>OK</v>
      </c>
    </row>
    <row r="240" spans="1:9" x14ac:dyDescent="0.2">
      <c r="A240" t="str">
        <f>ObesityDataSet_raw_and_data_sin!A240</f>
        <v>Female</v>
      </c>
      <c r="B240">
        <f>ObesityDataSet_raw_and_data_sin!C240</f>
        <v>1.62</v>
      </c>
      <c r="C240">
        <f>ObesityDataSet_raw_and_data_sin!D240</f>
        <v>53</v>
      </c>
      <c r="D240" t="str">
        <f>ObesityDataSet_raw_and_data_sin!Q240</f>
        <v>Normal_Weight</v>
      </c>
      <c r="E240" t="b">
        <f t="shared" si="13"/>
        <v>0</v>
      </c>
      <c r="F240">
        <f>C240/(B240*B240)</f>
        <v>20.195092211553114</v>
      </c>
      <c r="G240" t="str">
        <f t="shared" si="14"/>
        <v>Normal</v>
      </c>
      <c r="H240" t="str">
        <f t="shared" si="15"/>
        <v>OK</v>
      </c>
      <c r="I240" t="str">
        <f t="shared" si="12"/>
        <v>OK</v>
      </c>
    </row>
    <row r="241" spans="1:9" x14ac:dyDescent="0.2">
      <c r="A241" t="str">
        <f>ObesityDataSet_raw_and_data_sin!A241</f>
        <v>Female</v>
      </c>
      <c r="B241">
        <f>ObesityDataSet_raw_and_data_sin!C241</f>
        <v>1.7</v>
      </c>
      <c r="C241">
        <f>ObesityDataSet_raw_and_data_sin!D241</f>
        <v>64</v>
      </c>
      <c r="D241" t="str">
        <f>ObesityDataSet_raw_and_data_sin!Q241</f>
        <v>Normal_Weight</v>
      </c>
      <c r="E241" t="b">
        <f t="shared" si="13"/>
        <v>0</v>
      </c>
      <c r="F241">
        <f>C241/(B241*B241)</f>
        <v>22.145328719723185</v>
      </c>
      <c r="G241" t="str">
        <f t="shared" si="14"/>
        <v>Normal</v>
      </c>
      <c r="H241" t="str">
        <f t="shared" si="15"/>
        <v>OK</v>
      </c>
      <c r="I241" t="str">
        <f t="shared" si="12"/>
        <v>OK</v>
      </c>
    </row>
    <row r="242" spans="1:9" x14ac:dyDescent="0.2">
      <c r="A242" t="str">
        <f>ObesityDataSet_raw_and_data_sin!A242</f>
        <v>Female</v>
      </c>
      <c r="B242">
        <f>ObesityDataSet_raw_and_data_sin!C242</f>
        <v>1.63</v>
      </c>
      <c r="C242">
        <f>ObesityDataSet_raw_and_data_sin!D242</f>
        <v>65</v>
      </c>
      <c r="D242" t="str">
        <f>ObesityDataSet_raw_and_data_sin!Q242</f>
        <v>Normal_Weight</v>
      </c>
      <c r="E242" t="b">
        <f t="shared" si="13"/>
        <v>0</v>
      </c>
      <c r="F242">
        <f>C242/(B242*B242)</f>
        <v>24.464601603372351</v>
      </c>
      <c r="G242" t="str">
        <f t="shared" si="14"/>
        <v>Normal</v>
      </c>
      <c r="H242" t="str">
        <f t="shared" si="15"/>
        <v>OK</v>
      </c>
      <c r="I242" t="str">
        <f t="shared" si="12"/>
        <v>OK</v>
      </c>
    </row>
    <row r="243" spans="1:9" x14ac:dyDescent="0.2">
      <c r="A243" t="str">
        <f>ObesityDataSet_raw_and_data_sin!A243</f>
        <v>Male</v>
      </c>
      <c r="B243">
        <f>ObesityDataSet_raw_and_data_sin!C243</f>
        <v>1.6</v>
      </c>
      <c r="C243">
        <f>ObesityDataSet_raw_and_data_sin!D243</f>
        <v>66</v>
      </c>
      <c r="D243" t="str">
        <f>ObesityDataSet_raw_and_data_sin!Q243</f>
        <v>Overweight_Level_I</v>
      </c>
      <c r="E243" t="b">
        <f t="shared" si="13"/>
        <v>0</v>
      </c>
      <c r="F243">
        <f>C243/(B243*B243)</f>
        <v>25.781249999999996</v>
      </c>
      <c r="G243" t="str">
        <f t="shared" si="14"/>
        <v>Overweight</v>
      </c>
      <c r="H243" t="str">
        <f t="shared" si="15"/>
        <v>OK</v>
      </c>
      <c r="I243" t="str">
        <f t="shared" si="12"/>
        <v>OK</v>
      </c>
    </row>
    <row r="244" spans="1:9" x14ac:dyDescent="0.2">
      <c r="A244" t="str">
        <f>ObesityDataSet_raw_and_data_sin!A244</f>
        <v>Female</v>
      </c>
      <c r="B244">
        <f>ObesityDataSet_raw_and_data_sin!C244</f>
        <v>1.63</v>
      </c>
      <c r="C244">
        <f>ObesityDataSet_raw_and_data_sin!D244</f>
        <v>64</v>
      </c>
      <c r="D244" t="str">
        <f>ObesityDataSet_raw_and_data_sin!Q244</f>
        <v>Normal_Weight</v>
      </c>
      <c r="E244" t="b">
        <f t="shared" si="13"/>
        <v>0</v>
      </c>
      <c r="F244">
        <f>C244/(B244*B244)</f>
        <v>24.088223117166624</v>
      </c>
      <c r="G244" t="str">
        <f t="shared" si="14"/>
        <v>Normal</v>
      </c>
      <c r="H244" t="str">
        <f t="shared" si="15"/>
        <v>OK</v>
      </c>
      <c r="I244" t="str">
        <f t="shared" si="12"/>
        <v>OK</v>
      </c>
    </row>
    <row r="245" spans="1:9" x14ac:dyDescent="0.2">
      <c r="A245" t="str">
        <f>ObesityDataSet_raw_and_data_sin!A245</f>
        <v>Male</v>
      </c>
      <c r="B245">
        <f>ObesityDataSet_raw_and_data_sin!C245</f>
        <v>1.85</v>
      </c>
      <c r="C245">
        <f>ObesityDataSet_raw_and_data_sin!D245</f>
        <v>99</v>
      </c>
      <c r="D245" t="str">
        <f>ObesityDataSet_raw_and_data_sin!Q245</f>
        <v>Overweight_Level_II</v>
      </c>
      <c r="E245" t="b">
        <f t="shared" si="13"/>
        <v>0</v>
      </c>
      <c r="F245">
        <f>C245/(B245*B245)</f>
        <v>28.926223520818112</v>
      </c>
      <c r="G245" t="str">
        <f t="shared" si="14"/>
        <v>Overweight</v>
      </c>
      <c r="H245" t="str">
        <f t="shared" si="15"/>
        <v>OK</v>
      </c>
      <c r="I245" t="str">
        <f t="shared" si="12"/>
        <v>OK</v>
      </c>
    </row>
    <row r="246" spans="1:9" x14ac:dyDescent="0.2">
      <c r="A246" t="str">
        <f>ObesityDataSet_raw_and_data_sin!A246</f>
        <v>Female</v>
      </c>
      <c r="B246">
        <f>ObesityDataSet_raw_and_data_sin!C246</f>
        <v>1.54</v>
      </c>
      <c r="C246">
        <f>ObesityDataSet_raw_and_data_sin!D246</f>
        <v>49</v>
      </c>
      <c r="D246" t="str">
        <f>ObesityDataSet_raw_and_data_sin!Q246</f>
        <v>Normal_Weight</v>
      </c>
      <c r="E246" t="b">
        <f t="shared" si="13"/>
        <v>0</v>
      </c>
      <c r="F246">
        <f>C246/(B246*B246)</f>
        <v>20.66115702479339</v>
      </c>
      <c r="G246" t="str">
        <f t="shared" si="14"/>
        <v>Normal</v>
      </c>
      <c r="H246" t="str">
        <f t="shared" si="15"/>
        <v>OK</v>
      </c>
      <c r="I246" t="str">
        <f t="shared" si="12"/>
        <v>OK</v>
      </c>
    </row>
    <row r="247" spans="1:9" x14ac:dyDescent="0.2">
      <c r="A247" t="str">
        <f>ObesityDataSet_raw_and_data_sin!A247</f>
        <v>Female</v>
      </c>
      <c r="B247">
        <f>ObesityDataSet_raw_and_data_sin!C247</f>
        <v>1.64</v>
      </c>
      <c r="C247">
        <f>ObesityDataSet_raw_and_data_sin!D247</f>
        <v>49</v>
      </c>
      <c r="D247" t="str">
        <f>ObesityDataSet_raw_and_data_sin!Q247</f>
        <v>Insufficient_Weight</v>
      </c>
      <c r="E247" t="b">
        <f t="shared" si="13"/>
        <v>0</v>
      </c>
      <c r="F247">
        <f>C247/(B247*B247)</f>
        <v>18.218322427126715</v>
      </c>
      <c r="G247" t="str">
        <f t="shared" si="14"/>
        <v>Normal</v>
      </c>
      <c r="H247" t="str">
        <f t="shared" si="15"/>
        <v>OK</v>
      </c>
      <c r="I247" t="str">
        <f t="shared" si="12"/>
        <v>OK</v>
      </c>
    </row>
    <row r="248" spans="1:9" x14ac:dyDescent="0.2">
      <c r="A248" t="str">
        <f>ObesityDataSet_raw_and_data_sin!A248</f>
        <v>Female</v>
      </c>
      <c r="B248">
        <f>ObesityDataSet_raw_and_data_sin!C248</f>
        <v>1.57</v>
      </c>
      <c r="C248">
        <f>ObesityDataSet_raw_and_data_sin!D248</f>
        <v>60</v>
      </c>
      <c r="D248" t="str">
        <f>ObesityDataSet_raw_and_data_sin!Q248</f>
        <v>Normal_Weight</v>
      </c>
      <c r="E248" t="b">
        <f t="shared" si="13"/>
        <v>0</v>
      </c>
      <c r="F248">
        <f>C248/(B248*B248)</f>
        <v>24.341758286340216</v>
      </c>
      <c r="G248" t="str">
        <f t="shared" si="14"/>
        <v>Normal</v>
      </c>
      <c r="H248" t="str">
        <f t="shared" si="15"/>
        <v>OK</v>
      </c>
      <c r="I248" t="str">
        <f t="shared" si="12"/>
        <v>OK</v>
      </c>
    </row>
    <row r="249" spans="1:9" x14ac:dyDescent="0.2">
      <c r="A249" t="str">
        <f>ObesityDataSet_raw_and_data_sin!A249</f>
        <v>Female</v>
      </c>
      <c r="B249">
        <f>ObesityDataSet_raw_and_data_sin!C249</f>
        <v>1.62</v>
      </c>
      <c r="C249">
        <f>ObesityDataSet_raw_and_data_sin!D249</f>
        <v>52</v>
      </c>
      <c r="D249" t="str">
        <f>ObesityDataSet_raw_and_data_sin!Q249</f>
        <v>Normal_Weight</v>
      </c>
      <c r="E249" t="b">
        <f t="shared" si="13"/>
        <v>0</v>
      </c>
      <c r="F249">
        <f>C249/(B249*B249)</f>
        <v>19.814052735863431</v>
      </c>
      <c r="G249" t="str">
        <f t="shared" si="14"/>
        <v>Normal</v>
      </c>
      <c r="H249" t="str">
        <f t="shared" si="15"/>
        <v>OK</v>
      </c>
      <c r="I249" t="str">
        <f t="shared" si="12"/>
        <v>OK</v>
      </c>
    </row>
    <row r="250" spans="1:9" x14ac:dyDescent="0.2">
      <c r="A250" t="str">
        <f>ObesityDataSet_raw_and_data_sin!A250</f>
        <v>Male</v>
      </c>
      <c r="B250">
        <f>ObesityDataSet_raw_and_data_sin!C250</f>
        <v>1.72</v>
      </c>
      <c r="C250">
        <f>ObesityDataSet_raw_and_data_sin!D250</f>
        <v>72</v>
      </c>
      <c r="D250" t="str">
        <f>ObesityDataSet_raw_and_data_sin!Q250</f>
        <v>Normal_Weight</v>
      </c>
      <c r="E250" t="b">
        <f t="shared" si="13"/>
        <v>0</v>
      </c>
      <c r="F250">
        <f>C250/(B250*B250)</f>
        <v>24.337479718766904</v>
      </c>
      <c r="G250" t="str">
        <f t="shared" si="14"/>
        <v>Normal</v>
      </c>
      <c r="H250" t="str">
        <f t="shared" si="15"/>
        <v>OK</v>
      </c>
      <c r="I250" t="str">
        <f t="shared" si="12"/>
        <v>OK</v>
      </c>
    </row>
    <row r="251" spans="1:9" x14ac:dyDescent="0.2">
      <c r="A251" t="str">
        <f>ObesityDataSet_raw_and_data_sin!A251</f>
        <v>Male</v>
      </c>
      <c r="B251">
        <f>ObesityDataSet_raw_and_data_sin!C251</f>
        <v>1.76</v>
      </c>
      <c r="C251">
        <f>ObesityDataSet_raw_and_data_sin!D251</f>
        <v>78</v>
      </c>
      <c r="D251" t="str">
        <f>ObesityDataSet_raw_and_data_sin!Q251</f>
        <v>Overweight_Level_I</v>
      </c>
      <c r="E251" t="b">
        <f t="shared" si="13"/>
        <v>0</v>
      </c>
      <c r="F251">
        <f>C251/(B251*B251)</f>
        <v>25.180785123966942</v>
      </c>
      <c r="G251" t="str">
        <f t="shared" si="14"/>
        <v>Overweight</v>
      </c>
      <c r="H251" t="str">
        <f t="shared" si="15"/>
        <v>OK</v>
      </c>
      <c r="I251" t="str">
        <f t="shared" si="12"/>
        <v>OK</v>
      </c>
    </row>
    <row r="252" spans="1:9" x14ac:dyDescent="0.2">
      <c r="A252" t="str">
        <f>ObesityDataSet_raw_and_data_sin!A252</f>
        <v>Female</v>
      </c>
      <c r="B252">
        <f>ObesityDataSet_raw_and_data_sin!C252</f>
        <v>1.65</v>
      </c>
      <c r="C252">
        <f>ObesityDataSet_raw_and_data_sin!D252</f>
        <v>75</v>
      </c>
      <c r="D252" t="str">
        <f>ObesityDataSet_raw_and_data_sin!Q252</f>
        <v>Overweight_Level_II</v>
      </c>
      <c r="E252" t="b">
        <f t="shared" si="13"/>
        <v>0</v>
      </c>
      <c r="F252">
        <f>C252/(B252*B252)</f>
        <v>27.548209366391188</v>
      </c>
      <c r="G252" t="str">
        <f t="shared" si="14"/>
        <v>Overweight</v>
      </c>
      <c r="H252" t="str">
        <f t="shared" si="15"/>
        <v>OK</v>
      </c>
      <c r="I252" t="str">
        <f t="shared" si="12"/>
        <v>OK</v>
      </c>
    </row>
    <row r="253" spans="1:9" x14ac:dyDescent="0.2">
      <c r="A253" t="str">
        <f>ObesityDataSet_raw_and_data_sin!A253</f>
        <v>Male</v>
      </c>
      <c r="B253">
        <f>ObesityDataSet_raw_and_data_sin!C253</f>
        <v>1.67</v>
      </c>
      <c r="C253">
        <f>ObesityDataSet_raw_and_data_sin!D253</f>
        <v>78</v>
      </c>
      <c r="D253" t="str">
        <f>ObesityDataSet_raw_and_data_sin!Q253</f>
        <v>Overweight_Level_II</v>
      </c>
      <c r="E253" t="b">
        <f t="shared" si="13"/>
        <v>0</v>
      </c>
      <c r="F253">
        <f>C253/(B253*B253)</f>
        <v>27.968016063681024</v>
      </c>
      <c r="G253" t="str">
        <f t="shared" si="14"/>
        <v>Overweight</v>
      </c>
      <c r="H253" t="str">
        <f t="shared" si="15"/>
        <v>OK</v>
      </c>
      <c r="I253" t="str">
        <f t="shared" si="12"/>
        <v>OK</v>
      </c>
    </row>
    <row r="254" spans="1:9" x14ac:dyDescent="0.2">
      <c r="A254" t="str">
        <f>ObesityDataSet_raw_and_data_sin!A254</f>
        <v>Male</v>
      </c>
      <c r="B254">
        <f>ObesityDataSet_raw_and_data_sin!C254</f>
        <v>1.79</v>
      </c>
      <c r="C254">
        <f>ObesityDataSet_raw_and_data_sin!D254</f>
        <v>90</v>
      </c>
      <c r="D254" t="str">
        <f>ObesityDataSet_raw_and_data_sin!Q254</f>
        <v>Overweight_Level_II</v>
      </c>
      <c r="E254" t="b">
        <f t="shared" si="13"/>
        <v>0</v>
      </c>
      <c r="F254">
        <f>C254/(B254*B254)</f>
        <v>28.089010954714272</v>
      </c>
      <c r="G254" t="str">
        <f t="shared" si="14"/>
        <v>Overweight</v>
      </c>
      <c r="H254" t="str">
        <f t="shared" si="15"/>
        <v>OK</v>
      </c>
      <c r="I254" t="str">
        <f t="shared" si="12"/>
        <v>OK</v>
      </c>
    </row>
    <row r="255" spans="1:9" x14ac:dyDescent="0.2">
      <c r="A255" t="str">
        <f>ObesityDataSet_raw_and_data_sin!A255</f>
        <v>Female</v>
      </c>
      <c r="B255">
        <f>ObesityDataSet_raw_and_data_sin!C255</f>
        <v>1.59</v>
      </c>
      <c r="C255">
        <f>ObesityDataSet_raw_and_data_sin!D255</f>
        <v>47</v>
      </c>
      <c r="D255" t="str">
        <f>ObesityDataSet_raw_and_data_sin!Q255</f>
        <v>Normal_Weight</v>
      </c>
      <c r="E255" t="b">
        <f t="shared" si="13"/>
        <v>0</v>
      </c>
      <c r="F255">
        <f>C255/(B255*B255)</f>
        <v>18.591036746964122</v>
      </c>
      <c r="G255" t="str">
        <f t="shared" si="14"/>
        <v>Normal</v>
      </c>
      <c r="H255" t="str">
        <f t="shared" si="15"/>
        <v>OK</v>
      </c>
      <c r="I255" t="str">
        <f t="shared" si="12"/>
        <v>OK</v>
      </c>
    </row>
    <row r="256" spans="1:9" x14ac:dyDescent="0.2">
      <c r="A256" t="str">
        <f>ObesityDataSet_raw_and_data_sin!A256</f>
        <v>Female</v>
      </c>
      <c r="B256">
        <f>ObesityDataSet_raw_and_data_sin!C256</f>
        <v>1.64</v>
      </c>
      <c r="C256">
        <f>ObesityDataSet_raw_and_data_sin!D256</f>
        <v>56</v>
      </c>
      <c r="D256" t="str">
        <f>ObesityDataSet_raw_and_data_sin!Q256</f>
        <v>Normal_Weight</v>
      </c>
      <c r="E256" t="b">
        <f t="shared" si="13"/>
        <v>0</v>
      </c>
      <c r="F256">
        <f>C256/(B256*B256)</f>
        <v>20.820939916716245</v>
      </c>
      <c r="G256" t="str">
        <f t="shared" si="14"/>
        <v>Normal</v>
      </c>
      <c r="H256" t="str">
        <f t="shared" si="15"/>
        <v>OK</v>
      </c>
      <c r="I256" t="str">
        <f t="shared" si="12"/>
        <v>OK</v>
      </c>
    </row>
    <row r="257" spans="1:9" x14ac:dyDescent="0.2">
      <c r="A257" t="str">
        <f>ObesityDataSet_raw_and_data_sin!A257</f>
        <v>Male</v>
      </c>
      <c r="B257">
        <f>ObesityDataSet_raw_and_data_sin!C257</f>
        <v>1.78</v>
      </c>
      <c r="C257">
        <f>ObesityDataSet_raw_and_data_sin!D257</f>
        <v>81</v>
      </c>
      <c r="D257" t="str">
        <f>ObesityDataSet_raw_and_data_sin!Q257</f>
        <v>Overweight_Level_I</v>
      </c>
      <c r="E257" t="b">
        <f t="shared" si="13"/>
        <v>0</v>
      </c>
      <c r="F257">
        <f>C257/(B257*B257)</f>
        <v>25.564953919959599</v>
      </c>
      <c r="G257" t="str">
        <f t="shared" si="14"/>
        <v>Overweight</v>
      </c>
      <c r="H257" t="str">
        <f t="shared" si="15"/>
        <v>OK</v>
      </c>
      <c r="I257" t="str">
        <f t="shared" si="12"/>
        <v>OK</v>
      </c>
    </row>
    <row r="258" spans="1:9" x14ac:dyDescent="0.2">
      <c r="A258" t="str">
        <f>ObesityDataSet_raw_and_data_sin!A258</f>
        <v>Male</v>
      </c>
      <c r="B258">
        <f>ObesityDataSet_raw_and_data_sin!C258</f>
        <v>1.75</v>
      </c>
      <c r="C258">
        <f>ObesityDataSet_raw_and_data_sin!D258</f>
        <v>85</v>
      </c>
      <c r="D258" t="str">
        <f>ObesityDataSet_raw_and_data_sin!Q258</f>
        <v>Overweight_Level_II</v>
      </c>
      <c r="E258" t="b">
        <f t="shared" si="13"/>
        <v>0</v>
      </c>
      <c r="F258">
        <f>C258/(B258*B258)</f>
        <v>27.755102040816325</v>
      </c>
      <c r="G258" t="str">
        <f t="shared" si="14"/>
        <v>Overweight</v>
      </c>
      <c r="H258" t="str">
        <f t="shared" si="15"/>
        <v>OK</v>
      </c>
      <c r="I258" t="str">
        <f t="shared" ref="I258:I321" si="16">IF(AND(LEFT(D258,10)="Overweight",G258&lt;&gt;"Overweight"),"ERROR","OK")</f>
        <v>OK</v>
      </c>
    </row>
    <row r="259" spans="1:9" x14ac:dyDescent="0.2">
      <c r="A259" t="str">
        <f>ObesityDataSet_raw_and_data_sin!A259</f>
        <v>Male</v>
      </c>
      <c r="B259">
        <f>ObesityDataSet_raw_and_data_sin!C259</f>
        <v>1.85</v>
      </c>
      <c r="C259">
        <f>ObesityDataSet_raw_and_data_sin!D259</f>
        <v>115</v>
      </c>
      <c r="D259" t="str">
        <f>ObesityDataSet_raw_and_data_sin!Q259</f>
        <v>Obesity_Type_I</v>
      </c>
      <c r="E259" t="b">
        <f t="shared" ref="E259:E322" si="17">IF(AND(A259="Female", B259&lt;1.5), TRUE, IF(AND(A259="Male",B259&lt;1.6),TRUE, FALSE))</f>
        <v>0</v>
      </c>
      <c r="F259">
        <f>C259/(B259*B259)</f>
        <v>33.601168736303869</v>
      </c>
      <c r="G259" t="str">
        <f t="shared" ref="G259:G322" si="18">IF(E259=TRUE,IF(F259&lt;23,"Normal",IF(F259&lt;25,"Overweight","Obese")),IF(F259&lt;25,"Normal",IF(F259&lt;30,"Overweight","Obese")))</f>
        <v>Obese</v>
      </c>
      <c r="H259" t="str">
        <f t="shared" ref="H259:H322" si="19">IF(AND(D259="Normal_Weight",G259&lt;&gt;"Normal"),"ERROR","OK")</f>
        <v>OK</v>
      </c>
      <c r="I259" t="str">
        <f t="shared" si="16"/>
        <v>OK</v>
      </c>
    </row>
    <row r="260" spans="1:9" x14ac:dyDescent="0.2">
      <c r="A260" t="str">
        <f>ObesityDataSet_raw_and_data_sin!A260</f>
        <v>Male</v>
      </c>
      <c r="B260">
        <f>ObesityDataSet_raw_and_data_sin!C260</f>
        <v>1.7</v>
      </c>
      <c r="C260">
        <f>ObesityDataSet_raw_and_data_sin!D260</f>
        <v>80</v>
      </c>
      <c r="D260" t="str">
        <f>ObesityDataSet_raw_and_data_sin!Q260</f>
        <v>Overweight_Level_II</v>
      </c>
      <c r="E260" t="b">
        <f t="shared" si="17"/>
        <v>0</v>
      </c>
      <c r="F260">
        <f>C260/(B260*B260)</f>
        <v>27.681660899653981</v>
      </c>
      <c r="G260" t="str">
        <f t="shared" si="18"/>
        <v>Overweight</v>
      </c>
      <c r="H260" t="str">
        <f t="shared" si="19"/>
        <v>OK</v>
      </c>
      <c r="I260" t="str">
        <f t="shared" si="16"/>
        <v>OK</v>
      </c>
    </row>
    <row r="261" spans="1:9" x14ac:dyDescent="0.2">
      <c r="A261" t="str">
        <f>ObesityDataSet_raw_and_data_sin!A261</f>
        <v>Female</v>
      </c>
      <c r="B261">
        <f>ObesityDataSet_raw_and_data_sin!C261</f>
        <v>1.67</v>
      </c>
      <c r="C261">
        <f>ObesityDataSet_raw_and_data_sin!D261</f>
        <v>91</v>
      </c>
      <c r="D261" t="str">
        <f>ObesityDataSet_raw_and_data_sin!Q261</f>
        <v>Obesity_Type_I</v>
      </c>
      <c r="E261" t="b">
        <f t="shared" si="17"/>
        <v>0</v>
      </c>
      <c r="F261">
        <f>C261/(B261*B261)</f>
        <v>32.629352074294523</v>
      </c>
      <c r="G261" t="str">
        <f t="shared" si="18"/>
        <v>Obese</v>
      </c>
      <c r="H261" t="str">
        <f t="shared" si="19"/>
        <v>OK</v>
      </c>
      <c r="I261" t="str">
        <f t="shared" si="16"/>
        <v>OK</v>
      </c>
    </row>
    <row r="262" spans="1:9" x14ac:dyDescent="0.2">
      <c r="A262" t="str">
        <f>ObesityDataSet_raw_and_data_sin!A262</f>
        <v>Male</v>
      </c>
      <c r="B262">
        <f>ObesityDataSet_raw_and_data_sin!C262</f>
        <v>1.72</v>
      </c>
      <c r="C262">
        <f>ObesityDataSet_raw_and_data_sin!D262</f>
        <v>75</v>
      </c>
      <c r="D262" t="str">
        <f>ObesityDataSet_raw_and_data_sin!Q262</f>
        <v>Overweight_Level_I</v>
      </c>
      <c r="E262" t="b">
        <f t="shared" si="17"/>
        <v>0</v>
      </c>
      <c r="F262">
        <f>C262/(B262*B262)</f>
        <v>25.351541373715524</v>
      </c>
      <c r="G262" t="str">
        <f t="shared" si="18"/>
        <v>Overweight</v>
      </c>
      <c r="H262" t="str">
        <f t="shared" si="19"/>
        <v>OK</v>
      </c>
      <c r="I262" t="str">
        <f t="shared" si="16"/>
        <v>OK</v>
      </c>
    </row>
    <row r="263" spans="1:9" x14ac:dyDescent="0.2">
      <c r="A263" t="str">
        <f>ObesityDataSet_raw_and_data_sin!A263</f>
        <v>Female</v>
      </c>
      <c r="B263">
        <f>ObesityDataSet_raw_and_data_sin!C263</f>
        <v>1.7</v>
      </c>
      <c r="C263">
        <f>ObesityDataSet_raw_and_data_sin!D263</f>
        <v>73</v>
      </c>
      <c r="D263" t="str">
        <f>ObesityDataSet_raw_and_data_sin!Q263</f>
        <v>Overweight_Level_I</v>
      </c>
      <c r="E263" t="b">
        <f t="shared" si="17"/>
        <v>0</v>
      </c>
      <c r="F263">
        <f>C263/(B263*B263)</f>
        <v>25.259515570934258</v>
      </c>
      <c r="G263" t="str">
        <f t="shared" si="18"/>
        <v>Overweight</v>
      </c>
      <c r="H263" t="str">
        <f t="shared" si="19"/>
        <v>OK</v>
      </c>
      <c r="I263" t="str">
        <f t="shared" si="16"/>
        <v>OK</v>
      </c>
    </row>
    <row r="264" spans="1:9" x14ac:dyDescent="0.2">
      <c r="A264" t="str">
        <f>ObesityDataSet_raw_and_data_sin!A264</f>
        <v>Male</v>
      </c>
      <c r="B264">
        <f>ObesityDataSet_raw_and_data_sin!C264</f>
        <v>1.74</v>
      </c>
      <c r="C264">
        <f>ObesityDataSet_raw_and_data_sin!D264</f>
        <v>70</v>
      </c>
      <c r="D264" t="str">
        <f>ObesityDataSet_raw_and_data_sin!Q264</f>
        <v>Normal_Weight</v>
      </c>
      <c r="E264" t="b">
        <f t="shared" si="17"/>
        <v>0</v>
      </c>
      <c r="F264">
        <f>C264/(B264*B264)</f>
        <v>23.120623596247853</v>
      </c>
      <c r="G264" t="str">
        <f t="shared" si="18"/>
        <v>Normal</v>
      </c>
      <c r="H264" t="str">
        <f t="shared" si="19"/>
        <v>OK</v>
      </c>
      <c r="I264" t="str">
        <f t="shared" si="16"/>
        <v>OK</v>
      </c>
    </row>
    <row r="265" spans="1:9" x14ac:dyDescent="0.2">
      <c r="A265" t="str">
        <f>ObesityDataSet_raw_and_data_sin!A265</f>
        <v>Male</v>
      </c>
      <c r="B265">
        <f>ObesityDataSet_raw_and_data_sin!C265</f>
        <v>1.74</v>
      </c>
      <c r="C265">
        <f>ObesityDataSet_raw_and_data_sin!D265</f>
        <v>53</v>
      </c>
      <c r="D265" t="str">
        <f>ObesityDataSet_raw_and_data_sin!Q265</f>
        <v>Insufficient_Weight</v>
      </c>
      <c r="E265" t="b">
        <f t="shared" si="17"/>
        <v>0</v>
      </c>
      <c r="F265">
        <f>C265/(B265*B265)</f>
        <v>17.505615008587661</v>
      </c>
      <c r="G265" t="str">
        <f t="shared" si="18"/>
        <v>Normal</v>
      </c>
      <c r="H265" t="str">
        <f t="shared" si="19"/>
        <v>OK</v>
      </c>
      <c r="I265" t="str">
        <f t="shared" si="16"/>
        <v>OK</v>
      </c>
    </row>
    <row r="266" spans="1:9" x14ac:dyDescent="0.2">
      <c r="A266" t="str">
        <f>ObesityDataSet_raw_and_data_sin!A266</f>
        <v>Male</v>
      </c>
      <c r="B266">
        <f>ObesityDataSet_raw_and_data_sin!C266</f>
        <v>1.87</v>
      </c>
      <c r="C266">
        <f>ObesityDataSet_raw_and_data_sin!D266</f>
        <v>67</v>
      </c>
      <c r="D266" t="str">
        <f>ObesityDataSet_raw_and_data_sin!Q266</f>
        <v>Normal_Weight</v>
      </c>
      <c r="E266" t="b">
        <f t="shared" si="17"/>
        <v>0</v>
      </c>
      <c r="F266">
        <f>C266/(B266*B266)</f>
        <v>19.159827275586945</v>
      </c>
      <c r="G266" t="str">
        <f t="shared" si="18"/>
        <v>Normal</v>
      </c>
      <c r="H266" t="str">
        <f t="shared" si="19"/>
        <v>OK</v>
      </c>
      <c r="I266" t="str">
        <f t="shared" si="16"/>
        <v>OK</v>
      </c>
    </row>
    <row r="267" spans="1:9" x14ac:dyDescent="0.2">
      <c r="A267" t="str">
        <f>ObesityDataSet_raw_and_data_sin!A267</f>
        <v>Male</v>
      </c>
      <c r="B267">
        <f>ObesityDataSet_raw_and_data_sin!C267</f>
        <v>1.7</v>
      </c>
      <c r="C267">
        <f>ObesityDataSet_raw_and_data_sin!D267</f>
        <v>50</v>
      </c>
      <c r="D267" t="str">
        <f>ObesityDataSet_raw_and_data_sin!Q267</f>
        <v>Insufficient_Weight</v>
      </c>
      <c r="E267" t="b">
        <f t="shared" si="17"/>
        <v>0</v>
      </c>
      <c r="F267">
        <f>C267/(B267*B267)</f>
        <v>17.301038062283737</v>
      </c>
      <c r="G267" t="str">
        <f t="shared" si="18"/>
        <v>Normal</v>
      </c>
      <c r="H267" t="str">
        <f t="shared" si="19"/>
        <v>OK</v>
      </c>
      <c r="I267" t="str">
        <f t="shared" si="16"/>
        <v>OK</v>
      </c>
    </row>
    <row r="268" spans="1:9" x14ac:dyDescent="0.2">
      <c r="A268" t="str">
        <f>ObesityDataSet_raw_and_data_sin!A268</f>
        <v>Female</v>
      </c>
      <c r="B268">
        <f>ObesityDataSet_raw_and_data_sin!C268</f>
        <v>1.65</v>
      </c>
      <c r="C268">
        <f>ObesityDataSet_raw_and_data_sin!D268</f>
        <v>50</v>
      </c>
      <c r="D268" t="str">
        <f>ObesityDataSet_raw_and_data_sin!Q268</f>
        <v>Insufficient_Weight</v>
      </c>
      <c r="E268" t="b">
        <f t="shared" si="17"/>
        <v>0</v>
      </c>
      <c r="F268">
        <f>C268/(B268*B268)</f>
        <v>18.365472910927458</v>
      </c>
      <c r="G268" t="str">
        <f t="shared" si="18"/>
        <v>Normal</v>
      </c>
      <c r="H268" t="str">
        <f t="shared" si="19"/>
        <v>OK</v>
      </c>
      <c r="I268" t="str">
        <f t="shared" si="16"/>
        <v>OK</v>
      </c>
    </row>
    <row r="269" spans="1:9" x14ac:dyDescent="0.2">
      <c r="A269" t="str">
        <f>ObesityDataSet_raw_and_data_sin!A269</f>
        <v>Male</v>
      </c>
      <c r="B269">
        <f>ObesityDataSet_raw_and_data_sin!C269</f>
        <v>1.7</v>
      </c>
      <c r="C269">
        <f>ObesityDataSet_raw_and_data_sin!D269</f>
        <v>78</v>
      </c>
      <c r="D269" t="str">
        <f>ObesityDataSet_raw_and_data_sin!Q269</f>
        <v>Overweight_Level_II</v>
      </c>
      <c r="E269" t="b">
        <f t="shared" si="17"/>
        <v>0</v>
      </c>
      <c r="F269">
        <f>C269/(B269*B269)</f>
        <v>26.989619377162633</v>
      </c>
      <c r="G269" t="str">
        <f t="shared" si="18"/>
        <v>Overweight</v>
      </c>
      <c r="H269" t="str">
        <f t="shared" si="19"/>
        <v>OK</v>
      </c>
      <c r="I269" t="str">
        <f t="shared" si="16"/>
        <v>OK</v>
      </c>
    </row>
    <row r="270" spans="1:9" x14ac:dyDescent="0.2">
      <c r="A270" t="str">
        <f>ObesityDataSet_raw_and_data_sin!A270</f>
        <v>Male</v>
      </c>
      <c r="B270">
        <f>ObesityDataSet_raw_and_data_sin!C270</f>
        <v>1.67</v>
      </c>
      <c r="C270">
        <f>ObesityDataSet_raw_and_data_sin!D270</f>
        <v>60</v>
      </c>
      <c r="D270" t="str">
        <f>ObesityDataSet_raw_and_data_sin!Q270</f>
        <v>Normal_Weight</v>
      </c>
      <c r="E270" t="b">
        <f t="shared" si="17"/>
        <v>0</v>
      </c>
      <c r="F270">
        <f>C270/(B270*B270)</f>
        <v>21.513858510523864</v>
      </c>
      <c r="G270" t="str">
        <f t="shared" si="18"/>
        <v>Normal</v>
      </c>
      <c r="H270" t="str">
        <f t="shared" si="19"/>
        <v>OK</v>
      </c>
      <c r="I270" t="str">
        <f t="shared" si="16"/>
        <v>OK</v>
      </c>
    </row>
    <row r="271" spans="1:9" x14ac:dyDescent="0.2">
      <c r="A271" t="str">
        <f>ObesityDataSet_raw_and_data_sin!A271</f>
        <v>Male</v>
      </c>
      <c r="B271">
        <f>ObesityDataSet_raw_and_data_sin!C271</f>
        <v>1.72</v>
      </c>
      <c r="C271">
        <f>ObesityDataSet_raw_and_data_sin!D271</f>
        <v>66</v>
      </c>
      <c r="D271" t="str">
        <f>ObesityDataSet_raw_and_data_sin!Q271</f>
        <v>Normal_Weight</v>
      </c>
      <c r="E271" t="b">
        <f t="shared" si="17"/>
        <v>0</v>
      </c>
      <c r="F271">
        <f>C271/(B271*B271)</f>
        <v>22.309356408869661</v>
      </c>
      <c r="G271" t="str">
        <f t="shared" si="18"/>
        <v>Normal</v>
      </c>
      <c r="H271" t="str">
        <f t="shared" si="19"/>
        <v>OK</v>
      </c>
      <c r="I271" t="str">
        <f t="shared" si="16"/>
        <v>OK</v>
      </c>
    </row>
    <row r="272" spans="1:9" x14ac:dyDescent="0.2">
      <c r="A272" t="str">
        <f>ObesityDataSet_raw_and_data_sin!A272</f>
        <v>Male</v>
      </c>
      <c r="B272">
        <f>ObesityDataSet_raw_and_data_sin!C272</f>
        <v>1.82</v>
      </c>
      <c r="C272">
        <f>ObesityDataSet_raw_and_data_sin!D272</f>
        <v>107</v>
      </c>
      <c r="D272" t="str">
        <f>ObesityDataSet_raw_and_data_sin!Q272</f>
        <v>Obesity_Type_I</v>
      </c>
      <c r="E272" t="b">
        <f t="shared" si="17"/>
        <v>0</v>
      </c>
      <c r="F272">
        <f>C272/(B272*B272)</f>
        <v>32.302861973191639</v>
      </c>
      <c r="G272" t="str">
        <f t="shared" si="18"/>
        <v>Obese</v>
      </c>
      <c r="H272" t="str">
        <f t="shared" si="19"/>
        <v>OK</v>
      </c>
      <c r="I272" t="str">
        <f t="shared" si="16"/>
        <v>OK</v>
      </c>
    </row>
    <row r="273" spans="1:9" x14ac:dyDescent="0.2">
      <c r="A273" t="str">
        <f>ObesityDataSet_raw_and_data_sin!A273</f>
        <v>Female</v>
      </c>
      <c r="B273">
        <f>ObesityDataSet_raw_and_data_sin!C273</f>
        <v>1.5</v>
      </c>
      <c r="C273">
        <f>ObesityDataSet_raw_and_data_sin!D273</f>
        <v>50</v>
      </c>
      <c r="D273" t="str">
        <f>ObesityDataSet_raw_and_data_sin!Q273</f>
        <v>Normal_Weight</v>
      </c>
      <c r="E273" t="b">
        <f t="shared" si="17"/>
        <v>0</v>
      </c>
      <c r="F273">
        <f>C273/(B273*B273)</f>
        <v>22.222222222222221</v>
      </c>
      <c r="G273" t="str">
        <f t="shared" si="18"/>
        <v>Normal</v>
      </c>
      <c r="H273" t="str">
        <f t="shared" si="19"/>
        <v>OK</v>
      </c>
      <c r="I273" t="str">
        <f t="shared" si="16"/>
        <v>OK</v>
      </c>
    </row>
    <row r="274" spans="1:9" x14ac:dyDescent="0.2">
      <c r="A274" t="str">
        <f>ObesityDataSet_raw_and_data_sin!A274</f>
        <v>Male</v>
      </c>
      <c r="B274">
        <f>ObesityDataSet_raw_and_data_sin!C274</f>
        <v>1.7</v>
      </c>
      <c r="C274">
        <f>ObesityDataSet_raw_and_data_sin!D274</f>
        <v>60</v>
      </c>
      <c r="D274" t="str">
        <f>ObesityDataSet_raw_and_data_sin!Q274</f>
        <v>Normal_Weight</v>
      </c>
      <c r="E274" t="b">
        <f t="shared" si="17"/>
        <v>0</v>
      </c>
      <c r="F274">
        <f>C274/(B274*B274)</f>
        <v>20.761245674740486</v>
      </c>
      <c r="G274" t="str">
        <f t="shared" si="18"/>
        <v>Normal</v>
      </c>
      <c r="H274" t="str">
        <f t="shared" si="19"/>
        <v>OK</v>
      </c>
      <c r="I274" t="str">
        <f t="shared" si="16"/>
        <v>OK</v>
      </c>
    </row>
    <row r="275" spans="1:9" x14ac:dyDescent="0.2">
      <c r="A275" t="str">
        <f>ObesityDataSet_raw_and_data_sin!A275</f>
        <v>Male</v>
      </c>
      <c r="B275">
        <f>ObesityDataSet_raw_and_data_sin!C275</f>
        <v>1.71</v>
      </c>
      <c r="C275">
        <f>ObesityDataSet_raw_and_data_sin!D275</f>
        <v>71</v>
      </c>
      <c r="D275" t="str">
        <f>ObesityDataSet_raw_and_data_sin!Q275</f>
        <v>Normal_Weight</v>
      </c>
      <c r="E275" t="b">
        <f t="shared" si="17"/>
        <v>0</v>
      </c>
      <c r="F275">
        <f>C275/(B275*B275)</f>
        <v>24.280975342840534</v>
      </c>
      <c r="G275" t="str">
        <f t="shared" si="18"/>
        <v>Normal</v>
      </c>
      <c r="H275" t="str">
        <f t="shared" si="19"/>
        <v>OK</v>
      </c>
      <c r="I275" t="str">
        <f t="shared" si="16"/>
        <v>OK</v>
      </c>
    </row>
    <row r="276" spans="1:9" x14ac:dyDescent="0.2">
      <c r="A276" t="str">
        <f>ObesityDataSet_raw_and_data_sin!A276</f>
        <v>Female</v>
      </c>
      <c r="B276">
        <f>ObesityDataSet_raw_and_data_sin!C276</f>
        <v>1.61</v>
      </c>
      <c r="C276">
        <f>ObesityDataSet_raw_and_data_sin!D276</f>
        <v>61</v>
      </c>
      <c r="D276" t="str">
        <f>ObesityDataSet_raw_and_data_sin!Q276</f>
        <v>Normal_Weight</v>
      </c>
      <c r="E276" t="b">
        <f t="shared" si="17"/>
        <v>0</v>
      </c>
      <c r="F276">
        <f>C276/(B276*B276)</f>
        <v>23.533042706685695</v>
      </c>
      <c r="G276" t="str">
        <f t="shared" si="18"/>
        <v>Normal</v>
      </c>
      <c r="H276" t="str">
        <f t="shared" si="19"/>
        <v>OK</v>
      </c>
      <c r="I276" t="str">
        <f t="shared" si="16"/>
        <v>OK</v>
      </c>
    </row>
    <row r="277" spans="1:9" x14ac:dyDescent="0.2">
      <c r="A277" t="str">
        <f>ObesityDataSet_raw_and_data_sin!A277</f>
        <v>Female</v>
      </c>
      <c r="B277">
        <f>ObesityDataSet_raw_and_data_sin!C277</f>
        <v>1.5</v>
      </c>
      <c r="C277">
        <f>ObesityDataSet_raw_and_data_sin!D277</f>
        <v>50</v>
      </c>
      <c r="D277" t="str">
        <f>ObesityDataSet_raw_and_data_sin!Q277</f>
        <v>Normal_Weight</v>
      </c>
      <c r="E277" t="b">
        <f t="shared" si="17"/>
        <v>0</v>
      </c>
      <c r="F277">
        <f>C277/(B277*B277)</f>
        <v>22.222222222222221</v>
      </c>
      <c r="G277" t="str">
        <f t="shared" si="18"/>
        <v>Normal</v>
      </c>
      <c r="H277" t="str">
        <f t="shared" si="19"/>
        <v>OK</v>
      </c>
      <c r="I277" t="str">
        <f t="shared" si="16"/>
        <v>OK</v>
      </c>
    </row>
    <row r="278" spans="1:9" x14ac:dyDescent="0.2">
      <c r="A278" t="str">
        <f>ObesityDataSet_raw_and_data_sin!A278</f>
        <v>Male</v>
      </c>
      <c r="B278">
        <f>ObesityDataSet_raw_and_data_sin!C278</f>
        <v>1.67</v>
      </c>
      <c r="C278">
        <f>ObesityDataSet_raw_and_data_sin!D278</f>
        <v>50</v>
      </c>
      <c r="D278" t="str">
        <f>ObesityDataSet_raw_and_data_sin!Q278</f>
        <v>Insufficient_Weight</v>
      </c>
      <c r="E278" t="b">
        <f t="shared" si="17"/>
        <v>0</v>
      </c>
      <c r="F278">
        <f>C278/(B278*B278)</f>
        <v>17.928215425436552</v>
      </c>
      <c r="G278" t="str">
        <f t="shared" si="18"/>
        <v>Normal</v>
      </c>
      <c r="H278" t="str">
        <f t="shared" si="19"/>
        <v>OK</v>
      </c>
      <c r="I278" t="str">
        <f t="shared" si="16"/>
        <v>OK</v>
      </c>
    </row>
    <row r="279" spans="1:9" x14ac:dyDescent="0.2">
      <c r="A279" t="str">
        <f>ObesityDataSet_raw_and_data_sin!A279</f>
        <v>Male</v>
      </c>
      <c r="B279">
        <f>ObesityDataSet_raw_and_data_sin!C279</f>
        <v>1.82</v>
      </c>
      <c r="C279">
        <f>ObesityDataSet_raw_and_data_sin!D279</f>
        <v>67</v>
      </c>
      <c r="D279" t="str">
        <f>ObesityDataSet_raw_and_data_sin!Q279</f>
        <v>Normal_Weight</v>
      </c>
      <c r="E279" t="b">
        <f t="shared" si="17"/>
        <v>0</v>
      </c>
      <c r="F279">
        <f>C279/(B279*B279)</f>
        <v>20.227025721531216</v>
      </c>
      <c r="G279" t="str">
        <f t="shared" si="18"/>
        <v>Normal</v>
      </c>
      <c r="H279" t="str">
        <f t="shared" si="19"/>
        <v>OK</v>
      </c>
      <c r="I279" t="str">
        <f t="shared" si="16"/>
        <v>OK</v>
      </c>
    </row>
    <row r="280" spans="1:9" x14ac:dyDescent="0.2">
      <c r="A280" t="str">
        <f>ObesityDataSet_raw_and_data_sin!A280</f>
        <v>Female</v>
      </c>
      <c r="B280">
        <f>ObesityDataSet_raw_and_data_sin!C280</f>
        <v>1.57</v>
      </c>
      <c r="C280">
        <f>ObesityDataSet_raw_and_data_sin!D280</f>
        <v>57</v>
      </c>
      <c r="D280" t="str">
        <f>ObesityDataSet_raw_and_data_sin!Q280</f>
        <v>Normal_Weight</v>
      </c>
      <c r="E280" t="b">
        <f t="shared" si="17"/>
        <v>0</v>
      </c>
      <c r="F280">
        <f>C280/(B280*B280)</f>
        <v>23.124670372023203</v>
      </c>
      <c r="G280" t="str">
        <f t="shared" si="18"/>
        <v>Normal</v>
      </c>
      <c r="H280" t="str">
        <f t="shared" si="19"/>
        <v>OK</v>
      </c>
      <c r="I280" t="str">
        <f t="shared" si="16"/>
        <v>OK</v>
      </c>
    </row>
    <row r="281" spans="1:9" x14ac:dyDescent="0.2">
      <c r="A281" t="str">
        <f>ObesityDataSet_raw_and_data_sin!A281</f>
        <v>Male</v>
      </c>
      <c r="B281">
        <f>ObesityDataSet_raw_and_data_sin!C281</f>
        <v>1.79</v>
      </c>
      <c r="C281">
        <f>ObesityDataSet_raw_and_data_sin!D281</f>
        <v>52</v>
      </c>
      <c r="D281" t="str">
        <f>ObesityDataSet_raw_and_data_sin!Q281</f>
        <v>Insufficient_Weight</v>
      </c>
      <c r="E281" t="b">
        <f t="shared" si="17"/>
        <v>0</v>
      </c>
      <c r="F281">
        <f>C281/(B281*B281)</f>
        <v>16.229206329390468</v>
      </c>
      <c r="G281" t="str">
        <f t="shared" si="18"/>
        <v>Normal</v>
      </c>
      <c r="H281" t="str">
        <f t="shared" si="19"/>
        <v>OK</v>
      </c>
      <c r="I281" t="str">
        <f t="shared" si="16"/>
        <v>OK</v>
      </c>
    </row>
    <row r="282" spans="1:9" x14ac:dyDescent="0.2">
      <c r="A282" t="str">
        <f>ObesityDataSet_raw_and_data_sin!A282</f>
        <v>Male</v>
      </c>
      <c r="B282">
        <f>ObesityDataSet_raw_and_data_sin!C282</f>
        <v>1.75</v>
      </c>
      <c r="C282">
        <f>ObesityDataSet_raw_and_data_sin!D282</f>
        <v>62</v>
      </c>
      <c r="D282" t="str">
        <f>ObesityDataSet_raw_and_data_sin!Q282</f>
        <v>Normal_Weight</v>
      </c>
      <c r="E282" t="b">
        <f t="shared" si="17"/>
        <v>0</v>
      </c>
      <c r="F282">
        <f>C282/(B282*B282)</f>
        <v>20.244897959183675</v>
      </c>
      <c r="G282" t="str">
        <f t="shared" si="18"/>
        <v>Normal</v>
      </c>
      <c r="H282" t="str">
        <f t="shared" si="19"/>
        <v>OK</v>
      </c>
      <c r="I282" t="str">
        <f t="shared" si="16"/>
        <v>OK</v>
      </c>
    </row>
    <row r="283" spans="1:9" x14ac:dyDescent="0.2">
      <c r="A283" t="str">
        <f>ObesityDataSet_raw_and_data_sin!A283</f>
        <v>Male</v>
      </c>
      <c r="B283">
        <f>ObesityDataSet_raw_and_data_sin!C283</f>
        <v>1.7</v>
      </c>
      <c r="C283">
        <f>ObesityDataSet_raw_and_data_sin!D283</f>
        <v>55</v>
      </c>
      <c r="D283" t="str">
        <f>ObesityDataSet_raw_and_data_sin!Q283</f>
        <v>Normal_Weight</v>
      </c>
      <c r="E283" t="b">
        <f t="shared" si="17"/>
        <v>0</v>
      </c>
      <c r="F283">
        <f>C283/(B283*B283)</f>
        <v>19.031141868512112</v>
      </c>
      <c r="G283" t="str">
        <f t="shared" si="18"/>
        <v>Normal</v>
      </c>
      <c r="H283" t="str">
        <f t="shared" si="19"/>
        <v>OK</v>
      </c>
      <c r="I283" t="str">
        <f t="shared" si="16"/>
        <v>OK</v>
      </c>
    </row>
    <row r="284" spans="1:9" x14ac:dyDescent="0.2">
      <c r="A284" t="str">
        <f>ObesityDataSet_raw_and_data_sin!A284</f>
        <v>Female</v>
      </c>
      <c r="B284">
        <f>ObesityDataSet_raw_and_data_sin!C284</f>
        <v>1.62</v>
      </c>
      <c r="C284">
        <f>ObesityDataSet_raw_and_data_sin!D284</f>
        <v>55</v>
      </c>
      <c r="D284" t="str">
        <f>ObesityDataSet_raw_and_data_sin!Q284</f>
        <v>Normal_Weight</v>
      </c>
      <c r="E284" t="b">
        <f t="shared" si="17"/>
        <v>0</v>
      </c>
      <c r="F284">
        <f>C284/(B284*B284)</f>
        <v>20.957171162932475</v>
      </c>
      <c r="G284" t="str">
        <f t="shared" si="18"/>
        <v>Normal</v>
      </c>
      <c r="H284" t="str">
        <f t="shared" si="19"/>
        <v>OK</v>
      </c>
      <c r="I284" t="str">
        <f t="shared" si="16"/>
        <v>OK</v>
      </c>
    </row>
    <row r="285" spans="1:9" x14ac:dyDescent="0.2">
      <c r="A285" t="str">
        <f>ObesityDataSet_raw_and_data_sin!A285</f>
        <v>Male</v>
      </c>
      <c r="B285">
        <f>ObesityDataSet_raw_and_data_sin!C285</f>
        <v>1.69</v>
      </c>
      <c r="C285">
        <f>ObesityDataSet_raw_and_data_sin!D285</f>
        <v>60</v>
      </c>
      <c r="D285" t="str">
        <f>ObesityDataSet_raw_and_data_sin!Q285</f>
        <v>Normal_Weight</v>
      </c>
      <c r="E285" t="b">
        <f t="shared" si="17"/>
        <v>0</v>
      </c>
      <c r="F285">
        <f>C285/(B285*B285)</f>
        <v>21.007667798746546</v>
      </c>
      <c r="G285" t="str">
        <f t="shared" si="18"/>
        <v>Normal</v>
      </c>
      <c r="H285" t="str">
        <f t="shared" si="19"/>
        <v>OK</v>
      </c>
      <c r="I285" t="str">
        <f t="shared" si="16"/>
        <v>OK</v>
      </c>
    </row>
    <row r="286" spans="1:9" x14ac:dyDescent="0.2">
      <c r="A286" t="str">
        <f>ObesityDataSet_raw_and_data_sin!A286</f>
        <v>Male</v>
      </c>
      <c r="B286">
        <f>ObesityDataSet_raw_and_data_sin!C286</f>
        <v>1.77</v>
      </c>
      <c r="C286">
        <f>ObesityDataSet_raw_and_data_sin!D286</f>
        <v>70</v>
      </c>
      <c r="D286" t="str">
        <f>ObesityDataSet_raw_and_data_sin!Q286</f>
        <v>Normal_Weight</v>
      </c>
      <c r="E286" t="b">
        <f t="shared" si="17"/>
        <v>0</v>
      </c>
      <c r="F286">
        <f>C286/(B286*B286)</f>
        <v>22.343515592581952</v>
      </c>
      <c r="G286" t="str">
        <f t="shared" si="18"/>
        <v>Normal</v>
      </c>
      <c r="H286" t="str">
        <f t="shared" si="19"/>
        <v>OK</v>
      </c>
      <c r="I286" t="str">
        <f t="shared" si="16"/>
        <v>OK</v>
      </c>
    </row>
    <row r="287" spans="1:9" x14ac:dyDescent="0.2">
      <c r="A287" t="str">
        <f>ObesityDataSet_raw_and_data_sin!A287</f>
        <v>Male</v>
      </c>
      <c r="B287">
        <f>ObesityDataSet_raw_and_data_sin!C287</f>
        <v>1.79</v>
      </c>
      <c r="C287">
        <f>ObesityDataSet_raw_and_data_sin!D287</f>
        <v>105</v>
      </c>
      <c r="D287" t="str">
        <f>ObesityDataSet_raw_and_data_sin!Q287</f>
        <v>Obesity_Type_I</v>
      </c>
      <c r="E287" t="b">
        <f t="shared" si="17"/>
        <v>0</v>
      </c>
      <c r="F287">
        <f>C287/(B287*B287)</f>
        <v>32.770512780499985</v>
      </c>
      <c r="G287" t="str">
        <f t="shared" si="18"/>
        <v>Obese</v>
      </c>
      <c r="H287" t="str">
        <f t="shared" si="19"/>
        <v>OK</v>
      </c>
      <c r="I287" t="str">
        <f t="shared" si="16"/>
        <v>OK</v>
      </c>
    </row>
    <row r="288" spans="1:9" x14ac:dyDescent="0.2">
      <c r="A288" t="str">
        <f>ObesityDataSet_raw_and_data_sin!A288</f>
        <v>Female</v>
      </c>
      <c r="B288">
        <f>ObesityDataSet_raw_and_data_sin!C288</f>
        <v>1.6</v>
      </c>
      <c r="C288">
        <f>ObesityDataSet_raw_and_data_sin!D288</f>
        <v>61</v>
      </c>
      <c r="D288" t="str">
        <f>ObesityDataSet_raw_and_data_sin!Q288</f>
        <v>Normal_Weight</v>
      </c>
      <c r="E288" t="b">
        <f t="shared" si="17"/>
        <v>0</v>
      </c>
      <c r="F288">
        <f>C288/(B288*B288)</f>
        <v>23.828124999999996</v>
      </c>
      <c r="G288" t="str">
        <f t="shared" si="18"/>
        <v>Normal</v>
      </c>
      <c r="H288" t="str">
        <f t="shared" si="19"/>
        <v>OK</v>
      </c>
      <c r="I288" t="str">
        <f t="shared" si="16"/>
        <v>OK</v>
      </c>
    </row>
    <row r="289" spans="1:9" x14ac:dyDescent="0.2">
      <c r="A289" t="str">
        <f>ObesityDataSet_raw_and_data_sin!A289</f>
        <v>Female</v>
      </c>
      <c r="B289">
        <f>ObesityDataSet_raw_and_data_sin!C289</f>
        <v>1.6</v>
      </c>
      <c r="C289">
        <f>ObesityDataSet_raw_and_data_sin!D289</f>
        <v>58</v>
      </c>
      <c r="D289" t="str">
        <f>ObesityDataSet_raw_and_data_sin!Q289</f>
        <v>Normal_Weight</v>
      </c>
      <c r="E289" t="b">
        <f t="shared" si="17"/>
        <v>0</v>
      </c>
      <c r="F289">
        <f>C289/(B289*B289)</f>
        <v>22.656249999999996</v>
      </c>
      <c r="G289" t="str">
        <f t="shared" si="18"/>
        <v>Normal</v>
      </c>
      <c r="H289" t="str">
        <f t="shared" si="19"/>
        <v>OK</v>
      </c>
      <c r="I289" t="str">
        <f t="shared" si="16"/>
        <v>OK</v>
      </c>
    </row>
    <row r="290" spans="1:9" x14ac:dyDescent="0.2">
      <c r="A290" t="str">
        <f>ObesityDataSet_raw_and_data_sin!A290</f>
        <v>Female</v>
      </c>
      <c r="B290">
        <f>ObesityDataSet_raw_and_data_sin!C290</f>
        <v>1.56</v>
      </c>
      <c r="C290">
        <f>ObesityDataSet_raw_and_data_sin!D290</f>
        <v>51</v>
      </c>
      <c r="D290" t="str">
        <f>ObesityDataSet_raw_and_data_sin!Q290</f>
        <v>Normal_Weight</v>
      </c>
      <c r="E290" t="b">
        <f t="shared" si="17"/>
        <v>0</v>
      </c>
      <c r="F290">
        <f>C290/(B290*B290)</f>
        <v>20.956607495069033</v>
      </c>
      <c r="G290" t="str">
        <f t="shared" si="18"/>
        <v>Normal</v>
      </c>
      <c r="H290" t="str">
        <f t="shared" si="19"/>
        <v>OK</v>
      </c>
      <c r="I290" t="str">
        <f t="shared" si="16"/>
        <v>OK</v>
      </c>
    </row>
    <row r="291" spans="1:9" x14ac:dyDescent="0.2">
      <c r="A291" t="str">
        <f>ObesityDataSet_raw_and_data_sin!A291</f>
        <v>Male</v>
      </c>
      <c r="B291">
        <f>ObesityDataSet_raw_and_data_sin!C291</f>
        <v>1.88</v>
      </c>
      <c r="C291">
        <f>ObesityDataSet_raw_and_data_sin!D291</f>
        <v>79</v>
      </c>
      <c r="D291" t="str">
        <f>ObesityDataSet_raw_and_data_sin!Q291</f>
        <v>Normal_Weight</v>
      </c>
      <c r="E291" t="b">
        <f t="shared" si="17"/>
        <v>0</v>
      </c>
      <c r="F291">
        <f>C291/(B291*B291)</f>
        <v>22.351742870076958</v>
      </c>
      <c r="G291" t="str">
        <f t="shared" si="18"/>
        <v>Normal</v>
      </c>
      <c r="H291" t="str">
        <f t="shared" si="19"/>
        <v>OK</v>
      </c>
      <c r="I291" t="str">
        <f t="shared" si="16"/>
        <v>OK</v>
      </c>
    </row>
    <row r="292" spans="1:9" x14ac:dyDescent="0.2">
      <c r="A292" t="str">
        <f>ObesityDataSet_raw_and_data_sin!A292</f>
        <v>Male</v>
      </c>
      <c r="B292">
        <f>ObesityDataSet_raw_and_data_sin!C292</f>
        <v>1.82</v>
      </c>
      <c r="C292">
        <f>ObesityDataSet_raw_and_data_sin!D292</f>
        <v>71</v>
      </c>
      <c r="D292" t="str">
        <f>ObesityDataSet_raw_and_data_sin!Q292</f>
        <v>Normal_Weight</v>
      </c>
      <c r="E292" t="b">
        <f t="shared" si="17"/>
        <v>0</v>
      </c>
      <c r="F292">
        <f>C292/(B292*B292)</f>
        <v>21.434609346697258</v>
      </c>
      <c r="G292" t="str">
        <f t="shared" si="18"/>
        <v>Normal</v>
      </c>
      <c r="H292" t="str">
        <f t="shared" si="19"/>
        <v>OK</v>
      </c>
      <c r="I292" t="str">
        <f t="shared" si="16"/>
        <v>OK</v>
      </c>
    </row>
    <row r="293" spans="1:9" x14ac:dyDescent="0.2">
      <c r="A293" t="str">
        <f>ObesityDataSet_raw_and_data_sin!A293</f>
        <v>Male</v>
      </c>
      <c r="B293">
        <f>ObesityDataSet_raw_and_data_sin!C293</f>
        <v>1.8</v>
      </c>
      <c r="C293">
        <f>ObesityDataSet_raw_and_data_sin!D293</f>
        <v>58</v>
      </c>
      <c r="D293" t="str">
        <f>ObesityDataSet_raw_and_data_sin!Q293</f>
        <v>Insufficient_Weight</v>
      </c>
      <c r="E293" t="b">
        <f t="shared" si="17"/>
        <v>0</v>
      </c>
      <c r="F293">
        <f>C293/(B293*B293)</f>
        <v>17.901234567901234</v>
      </c>
      <c r="G293" t="str">
        <f t="shared" si="18"/>
        <v>Normal</v>
      </c>
      <c r="H293" t="str">
        <f t="shared" si="19"/>
        <v>OK</v>
      </c>
      <c r="I293" t="str">
        <f t="shared" si="16"/>
        <v>OK</v>
      </c>
    </row>
    <row r="294" spans="1:9" x14ac:dyDescent="0.2">
      <c r="A294" t="str">
        <f>ObesityDataSet_raw_and_data_sin!A294</f>
        <v>Male</v>
      </c>
      <c r="B294">
        <f>ObesityDataSet_raw_and_data_sin!C294</f>
        <v>1.7</v>
      </c>
      <c r="C294">
        <f>ObesityDataSet_raw_and_data_sin!D294</f>
        <v>65</v>
      </c>
      <c r="D294" t="str">
        <f>ObesityDataSet_raw_and_data_sin!Q294</f>
        <v>Normal_Weight</v>
      </c>
      <c r="E294" t="b">
        <f t="shared" si="17"/>
        <v>0</v>
      </c>
      <c r="F294">
        <f>C294/(B294*B294)</f>
        <v>22.491349480968861</v>
      </c>
      <c r="G294" t="str">
        <f t="shared" si="18"/>
        <v>Normal</v>
      </c>
      <c r="H294" t="str">
        <f t="shared" si="19"/>
        <v>OK</v>
      </c>
      <c r="I294" t="str">
        <f t="shared" si="16"/>
        <v>OK</v>
      </c>
    </row>
    <row r="295" spans="1:9" x14ac:dyDescent="0.2">
      <c r="A295" t="str">
        <f>ObesityDataSet_raw_and_data_sin!A295</f>
        <v>Male</v>
      </c>
      <c r="B295">
        <f>ObesityDataSet_raw_and_data_sin!C295</f>
        <v>1.82</v>
      </c>
      <c r="C295">
        <f>ObesityDataSet_raw_and_data_sin!D295</f>
        <v>75</v>
      </c>
      <c r="D295" t="str">
        <f>ObesityDataSet_raw_and_data_sin!Q295</f>
        <v>Normal_Weight</v>
      </c>
      <c r="E295" t="b">
        <f t="shared" si="17"/>
        <v>0</v>
      </c>
      <c r="F295">
        <f>C295/(B295*B295)</f>
        <v>22.642192971863299</v>
      </c>
      <c r="G295" t="str">
        <f t="shared" si="18"/>
        <v>Normal</v>
      </c>
      <c r="H295" t="str">
        <f t="shared" si="19"/>
        <v>OK</v>
      </c>
      <c r="I295" t="str">
        <f t="shared" si="16"/>
        <v>OK</v>
      </c>
    </row>
    <row r="296" spans="1:9" x14ac:dyDescent="0.2">
      <c r="A296" t="str">
        <f>ObesityDataSet_raw_and_data_sin!A296</f>
        <v>Male</v>
      </c>
      <c r="B296">
        <f>ObesityDataSet_raw_and_data_sin!C296</f>
        <v>1.86</v>
      </c>
      <c r="C296">
        <f>ObesityDataSet_raw_and_data_sin!D296</f>
        <v>110</v>
      </c>
      <c r="D296" t="str">
        <f>ObesityDataSet_raw_and_data_sin!Q296</f>
        <v>Obesity_Type_I</v>
      </c>
      <c r="E296" t="b">
        <f t="shared" si="17"/>
        <v>0</v>
      </c>
      <c r="F296">
        <f>C296/(B296*B296)</f>
        <v>31.795583304428252</v>
      </c>
      <c r="G296" t="str">
        <f t="shared" si="18"/>
        <v>Obese</v>
      </c>
      <c r="H296" t="str">
        <f t="shared" si="19"/>
        <v>OK</v>
      </c>
      <c r="I296" t="str">
        <f t="shared" si="16"/>
        <v>OK</v>
      </c>
    </row>
    <row r="297" spans="1:9" x14ac:dyDescent="0.2">
      <c r="A297" t="str">
        <f>ObesityDataSet_raw_and_data_sin!A297</f>
        <v>Female</v>
      </c>
      <c r="B297">
        <f>ObesityDataSet_raw_and_data_sin!C297</f>
        <v>1.66</v>
      </c>
      <c r="C297">
        <f>ObesityDataSet_raw_and_data_sin!D297</f>
        <v>58</v>
      </c>
      <c r="D297" t="str">
        <f>ObesityDataSet_raw_and_data_sin!Q297</f>
        <v>Normal_Weight</v>
      </c>
      <c r="E297" t="b">
        <f t="shared" si="17"/>
        <v>0</v>
      </c>
      <c r="F297">
        <f>C297/(B297*B297)</f>
        <v>21.048047612135289</v>
      </c>
      <c r="G297" t="str">
        <f t="shared" si="18"/>
        <v>Normal</v>
      </c>
      <c r="H297" t="str">
        <f t="shared" si="19"/>
        <v>OK</v>
      </c>
      <c r="I297" t="str">
        <f t="shared" si="16"/>
        <v>OK</v>
      </c>
    </row>
    <row r="298" spans="1:9" x14ac:dyDescent="0.2">
      <c r="A298" t="str">
        <f>ObesityDataSet_raw_and_data_sin!A298</f>
        <v>Female</v>
      </c>
      <c r="B298">
        <f>ObesityDataSet_raw_and_data_sin!C298</f>
        <v>1.53</v>
      </c>
      <c r="C298">
        <f>ObesityDataSet_raw_and_data_sin!D298</f>
        <v>53</v>
      </c>
      <c r="D298" t="str">
        <f>ObesityDataSet_raw_and_data_sin!Q298</f>
        <v>Normal_Weight</v>
      </c>
      <c r="E298" t="b">
        <f t="shared" si="17"/>
        <v>0</v>
      </c>
      <c r="F298">
        <f>C298/(B298*B298)</f>
        <v>22.64086462471699</v>
      </c>
      <c r="G298" t="str">
        <f t="shared" si="18"/>
        <v>Normal</v>
      </c>
      <c r="H298" t="str">
        <f t="shared" si="19"/>
        <v>OK</v>
      </c>
      <c r="I298" t="str">
        <f t="shared" si="16"/>
        <v>OK</v>
      </c>
    </row>
    <row r="299" spans="1:9" x14ac:dyDescent="0.2">
      <c r="A299" t="str">
        <f>ObesityDataSet_raw_and_data_sin!A299</f>
        <v>Male</v>
      </c>
      <c r="B299">
        <f>ObesityDataSet_raw_and_data_sin!C299</f>
        <v>1.74</v>
      </c>
      <c r="C299">
        <f>ObesityDataSet_raw_and_data_sin!D299</f>
        <v>80</v>
      </c>
      <c r="D299" t="str">
        <f>ObesityDataSet_raw_and_data_sin!Q299</f>
        <v>Overweight_Level_I</v>
      </c>
      <c r="E299" t="b">
        <f t="shared" si="17"/>
        <v>0</v>
      </c>
      <c r="F299">
        <f>C299/(B299*B299)</f>
        <v>26.423569824283259</v>
      </c>
      <c r="G299" t="str">
        <f t="shared" si="18"/>
        <v>Overweight</v>
      </c>
      <c r="H299" t="str">
        <f t="shared" si="19"/>
        <v>OK</v>
      </c>
      <c r="I299" t="str">
        <f t="shared" si="16"/>
        <v>OK</v>
      </c>
    </row>
    <row r="300" spans="1:9" x14ac:dyDescent="0.2">
      <c r="A300" t="str">
        <f>ObesityDataSet_raw_and_data_sin!A300</f>
        <v>Male</v>
      </c>
      <c r="B300">
        <f>ObesityDataSet_raw_and_data_sin!C300</f>
        <v>1.8</v>
      </c>
      <c r="C300">
        <f>ObesityDataSet_raw_and_data_sin!D300</f>
        <v>80</v>
      </c>
      <c r="D300" t="str">
        <f>ObesityDataSet_raw_and_data_sin!Q300</f>
        <v>Normal_Weight</v>
      </c>
      <c r="E300" t="b">
        <f t="shared" si="17"/>
        <v>0</v>
      </c>
      <c r="F300">
        <f>C300/(B300*B300)</f>
        <v>24.691358024691358</v>
      </c>
      <c r="G300" t="str">
        <f t="shared" si="18"/>
        <v>Normal</v>
      </c>
      <c r="H300" t="str">
        <f t="shared" si="19"/>
        <v>OK</v>
      </c>
      <c r="I300" t="str">
        <f t="shared" si="16"/>
        <v>OK</v>
      </c>
    </row>
    <row r="301" spans="1:9" x14ac:dyDescent="0.2">
      <c r="A301" t="str">
        <f>ObesityDataSet_raw_and_data_sin!A301</f>
        <v>Male</v>
      </c>
      <c r="B301">
        <f>ObesityDataSet_raw_and_data_sin!C301</f>
        <v>1.7</v>
      </c>
      <c r="C301">
        <f>ObesityDataSet_raw_and_data_sin!D301</f>
        <v>75</v>
      </c>
      <c r="D301" t="str">
        <f>ObesityDataSet_raw_and_data_sin!Q301</f>
        <v>Overweight_Level_I</v>
      </c>
      <c r="E301" t="b">
        <f t="shared" si="17"/>
        <v>0</v>
      </c>
      <c r="F301">
        <f>C301/(B301*B301)</f>
        <v>25.95155709342561</v>
      </c>
      <c r="G301" t="str">
        <f t="shared" si="18"/>
        <v>Overweight</v>
      </c>
      <c r="H301" t="str">
        <f t="shared" si="19"/>
        <v>OK</v>
      </c>
      <c r="I301" t="str">
        <f t="shared" si="16"/>
        <v>OK</v>
      </c>
    </row>
    <row r="302" spans="1:9" x14ac:dyDescent="0.2">
      <c r="A302" t="str">
        <f>ObesityDataSet_raw_and_data_sin!A302</f>
        <v>Male</v>
      </c>
      <c r="B302">
        <f>ObesityDataSet_raw_and_data_sin!C302</f>
        <v>1.7</v>
      </c>
      <c r="C302">
        <f>ObesityDataSet_raw_and_data_sin!D302</f>
        <v>70</v>
      </c>
      <c r="D302" t="str">
        <f>ObesityDataSet_raw_and_data_sin!Q302</f>
        <v>Normal_Weight</v>
      </c>
      <c r="E302" t="b">
        <f t="shared" si="17"/>
        <v>0</v>
      </c>
      <c r="F302">
        <f>C302/(B302*B302)</f>
        <v>24.221453287197235</v>
      </c>
      <c r="G302" t="str">
        <f t="shared" si="18"/>
        <v>Normal</v>
      </c>
      <c r="H302" t="str">
        <f t="shared" si="19"/>
        <v>OK</v>
      </c>
      <c r="I302" t="str">
        <f t="shared" si="16"/>
        <v>OK</v>
      </c>
    </row>
    <row r="303" spans="1:9" x14ac:dyDescent="0.2">
      <c r="A303" t="str">
        <f>ObesityDataSet_raw_and_data_sin!A303</f>
        <v>Male</v>
      </c>
      <c r="B303">
        <f>ObesityDataSet_raw_and_data_sin!C303</f>
        <v>1.72</v>
      </c>
      <c r="C303">
        <f>ObesityDataSet_raw_and_data_sin!D303</f>
        <v>55</v>
      </c>
      <c r="D303" t="str">
        <f>ObesityDataSet_raw_and_data_sin!Q303</f>
        <v>Normal_Weight</v>
      </c>
      <c r="E303" t="b">
        <f t="shared" si="17"/>
        <v>0</v>
      </c>
      <c r="F303">
        <f>C303/(B303*B303)</f>
        <v>18.591130340724717</v>
      </c>
      <c r="G303" t="str">
        <f t="shared" si="18"/>
        <v>Normal</v>
      </c>
      <c r="H303" t="str">
        <f t="shared" si="19"/>
        <v>OK</v>
      </c>
      <c r="I303" t="str">
        <f t="shared" si="16"/>
        <v>OK</v>
      </c>
    </row>
    <row r="304" spans="1:9" x14ac:dyDescent="0.2">
      <c r="A304" t="str">
        <f>ObesityDataSet_raw_and_data_sin!A304</f>
        <v>Male</v>
      </c>
      <c r="B304">
        <f>ObesityDataSet_raw_and_data_sin!C304</f>
        <v>1.84</v>
      </c>
      <c r="C304">
        <f>ObesityDataSet_raw_and_data_sin!D304</f>
        <v>45</v>
      </c>
      <c r="D304" t="str">
        <f>ObesityDataSet_raw_and_data_sin!Q304</f>
        <v>Insufficient_Weight</v>
      </c>
      <c r="E304" t="b">
        <f t="shared" si="17"/>
        <v>0</v>
      </c>
      <c r="F304">
        <f>C304/(B304*B304)</f>
        <v>13.291587901701323</v>
      </c>
      <c r="G304" t="str">
        <f t="shared" si="18"/>
        <v>Normal</v>
      </c>
      <c r="H304" t="str">
        <f t="shared" si="19"/>
        <v>OK</v>
      </c>
      <c r="I304" t="str">
        <f t="shared" si="16"/>
        <v>OK</v>
      </c>
    </row>
    <row r="305" spans="1:9" x14ac:dyDescent="0.2">
      <c r="A305" t="str">
        <f>ObesityDataSet_raw_and_data_sin!A305</f>
        <v>Female</v>
      </c>
      <c r="B305">
        <f>ObesityDataSet_raw_and_data_sin!C305</f>
        <v>1.57</v>
      </c>
      <c r="C305">
        <f>ObesityDataSet_raw_and_data_sin!D305</f>
        <v>49</v>
      </c>
      <c r="D305" t="str">
        <f>ObesityDataSet_raw_and_data_sin!Q305</f>
        <v>Normal_Weight</v>
      </c>
      <c r="E305" t="b">
        <f t="shared" si="17"/>
        <v>0</v>
      </c>
      <c r="F305">
        <f>C305/(B305*B305)</f>
        <v>19.879102600511175</v>
      </c>
      <c r="G305" t="str">
        <f t="shared" si="18"/>
        <v>Normal</v>
      </c>
      <c r="H305" t="str">
        <f t="shared" si="19"/>
        <v>OK</v>
      </c>
      <c r="I305" t="str">
        <f t="shared" si="16"/>
        <v>OK</v>
      </c>
    </row>
    <row r="306" spans="1:9" x14ac:dyDescent="0.2">
      <c r="A306" t="str">
        <f>ObesityDataSet_raw_and_data_sin!A306</f>
        <v>Male</v>
      </c>
      <c r="B306">
        <f>ObesityDataSet_raw_and_data_sin!C306</f>
        <v>1.8</v>
      </c>
      <c r="C306">
        <f>ObesityDataSet_raw_and_data_sin!D306</f>
        <v>85</v>
      </c>
      <c r="D306" t="str">
        <f>ObesityDataSet_raw_and_data_sin!Q306</f>
        <v>Overweight_Level_I</v>
      </c>
      <c r="E306" t="b">
        <f t="shared" si="17"/>
        <v>0</v>
      </c>
      <c r="F306">
        <f>C306/(B306*B306)</f>
        <v>26.234567901234566</v>
      </c>
      <c r="G306" t="str">
        <f t="shared" si="18"/>
        <v>Overweight</v>
      </c>
      <c r="H306" t="str">
        <f t="shared" si="19"/>
        <v>OK</v>
      </c>
      <c r="I306" t="str">
        <f t="shared" si="16"/>
        <v>OK</v>
      </c>
    </row>
    <row r="307" spans="1:9" x14ac:dyDescent="0.2">
      <c r="A307" t="str">
        <f>ObesityDataSet_raw_and_data_sin!A307</f>
        <v>Male</v>
      </c>
      <c r="B307">
        <f>ObesityDataSet_raw_and_data_sin!C307</f>
        <v>1.75</v>
      </c>
      <c r="C307">
        <f>ObesityDataSet_raw_and_data_sin!D307</f>
        <v>120</v>
      </c>
      <c r="D307" t="str">
        <f>ObesityDataSet_raw_and_data_sin!Q307</f>
        <v>Obesity_Type_II</v>
      </c>
      <c r="E307" t="b">
        <f t="shared" si="17"/>
        <v>0</v>
      </c>
      <c r="F307">
        <f>C307/(B307*B307)</f>
        <v>39.183673469387756</v>
      </c>
      <c r="G307" t="str">
        <f t="shared" si="18"/>
        <v>Obese</v>
      </c>
      <c r="H307" t="str">
        <f t="shared" si="19"/>
        <v>OK</v>
      </c>
      <c r="I307" t="str">
        <f t="shared" si="16"/>
        <v>OK</v>
      </c>
    </row>
    <row r="308" spans="1:9" x14ac:dyDescent="0.2">
      <c r="A308" t="str">
        <f>ObesityDataSet_raw_and_data_sin!A308</f>
        <v>Female</v>
      </c>
      <c r="B308">
        <f>ObesityDataSet_raw_and_data_sin!C308</f>
        <v>1.56</v>
      </c>
      <c r="C308">
        <f>ObesityDataSet_raw_and_data_sin!D308</f>
        <v>60</v>
      </c>
      <c r="D308" t="str">
        <f>ObesityDataSet_raw_and_data_sin!Q308</f>
        <v>Normal_Weight</v>
      </c>
      <c r="E308" t="b">
        <f t="shared" si="17"/>
        <v>0</v>
      </c>
      <c r="F308">
        <f>C308/(B308*B308)</f>
        <v>24.654832347140037</v>
      </c>
      <c r="G308" t="str">
        <f t="shared" si="18"/>
        <v>Normal</v>
      </c>
      <c r="H308" t="str">
        <f t="shared" si="19"/>
        <v>OK</v>
      </c>
      <c r="I308" t="str">
        <f t="shared" si="16"/>
        <v>OK</v>
      </c>
    </row>
    <row r="309" spans="1:9" x14ac:dyDescent="0.2">
      <c r="A309" t="str">
        <f>ObesityDataSet_raw_and_data_sin!A309</f>
        <v>Female</v>
      </c>
      <c r="B309">
        <f>ObesityDataSet_raw_and_data_sin!C309</f>
        <v>1.59</v>
      </c>
      <c r="C309">
        <f>ObesityDataSet_raw_and_data_sin!D309</f>
        <v>48</v>
      </c>
      <c r="D309" t="str">
        <f>ObesityDataSet_raw_and_data_sin!Q309</f>
        <v>Normal_Weight</v>
      </c>
      <c r="E309" t="b">
        <f t="shared" si="17"/>
        <v>0</v>
      </c>
      <c r="F309">
        <f>C309/(B309*B309)</f>
        <v>18.986590720303784</v>
      </c>
      <c r="G309" t="str">
        <f t="shared" si="18"/>
        <v>Normal</v>
      </c>
      <c r="H309" t="str">
        <f t="shared" si="19"/>
        <v>OK</v>
      </c>
      <c r="I309" t="str">
        <f t="shared" si="16"/>
        <v>OK</v>
      </c>
    </row>
    <row r="310" spans="1:9" x14ac:dyDescent="0.2">
      <c r="A310" t="str">
        <f>ObesityDataSet_raw_and_data_sin!A310</f>
        <v>Male</v>
      </c>
      <c r="B310">
        <f>ObesityDataSet_raw_and_data_sin!C310</f>
        <v>1.8</v>
      </c>
      <c r="C310">
        <f>ObesityDataSet_raw_and_data_sin!D310</f>
        <v>75</v>
      </c>
      <c r="D310" t="str">
        <f>ObesityDataSet_raw_and_data_sin!Q310</f>
        <v>Normal_Weight</v>
      </c>
      <c r="E310" t="b">
        <f t="shared" si="17"/>
        <v>0</v>
      </c>
      <c r="F310">
        <f>C310/(B310*B310)</f>
        <v>23.148148148148145</v>
      </c>
      <c r="G310" t="str">
        <f t="shared" si="18"/>
        <v>Normal</v>
      </c>
      <c r="H310" t="str">
        <f t="shared" si="19"/>
        <v>OK</v>
      </c>
      <c r="I310" t="str">
        <f t="shared" si="16"/>
        <v>OK</v>
      </c>
    </row>
    <row r="311" spans="1:9" x14ac:dyDescent="0.2">
      <c r="A311" t="str">
        <f>ObesityDataSet_raw_and_data_sin!A311</f>
        <v>Female</v>
      </c>
      <c r="B311">
        <f>ObesityDataSet_raw_and_data_sin!C311</f>
        <v>1.66</v>
      </c>
      <c r="C311">
        <f>ObesityDataSet_raw_and_data_sin!D311</f>
        <v>58</v>
      </c>
      <c r="D311" t="str">
        <f>ObesityDataSet_raw_and_data_sin!Q311</f>
        <v>Normal_Weight</v>
      </c>
      <c r="E311" t="b">
        <f t="shared" si="17"/>
        <v>0</v>
      </c>
      <c r="F311">
        <f>C311/(B311*B311)</f>
        <v>21.048047612135289</v>
      </c>
      <c r="G311" t="str">
        <f t="shared" si="18"/>
        <v>Normal</v>
      </c>
      <c r="H311" t="str">
        <f t="shared" si="19"/>
        <v>OK</v>
      </c>
      <c r="I311" t="str">
        <f t="shared" si="16"/>
        <v>OK</v>
      </c>
    </row>
    <row r="312" spans="1:9" x14ac:dyDescent="0.2">
      <c r="A312" t="str">
        <f>ObesityDataSet_raw_and_data_sin!A312</f>
        <v>Male</v>
      </c>
      <c r="B312">
        <f>ObesityDataSet_raw_and_data_sin!C312</f>
        <v>1.79</v>
      </c>
      <c r="C312">
        <f>ObesityDataSet_raw_and_data_sin!D312</f>
        <v>57</v>
      </c>
      <c r="D312" t="str">
        <f>ObesityDataSet_raw_and_data_sin!Q312</f>
        <v>Insufficient_Weight</v>
      </c>
      <c r="E312" t="b">
        <f t="shared" si="17"/>
        <v>0</v>
      </c>
      <c r="F312">
        <f>C312/(B312*B312)</f>
        <v>17.789706937985706</v>
      </c>
      <c r="G312" t="str">
        <f t="shared" si="18"/>
        <v>Normal</v>
      </c>
      <c r="H312" t="str">
        <f t="shared" si="19"/>
        <v>OK</v>
      </c>
      <c r="I312" t="str">
        <f t="shared" si="16"/>
        <v>OK</v>
      </c>
    </row>
    <row r="313" spans="1:9" x14ac:dyDescent="0.2">
      <c r="A313" t="str">
        <f>ObesityDataSet_raw_and_data_sin!A313</f>
        <v>Male</v>
      </c>
      <c r="B313">
        <f>ObesityDataSet_raw_and_data_sin!C313</f>
        <v>1.72</v>
      </c>
      <c r="C313">
        <f>ObesityDataSet_raw_and_data_sin!D313</f>
        <v>62</v>
      </c>
      <c r="D313" t="str">
        <f>ObesityDataSet_raw_and_data_sin!Q313</f>
        <v>Normal_Weight</v>
      </c>
      <c r="E313" t="b">
        <f t="shared" si="17"/>
        <v>0</v>
      </c>
      <c r="F313">
        <f>C313/(B313*B313)</f>
        <v>20.957274202271499</v>
      </c>
      <c r="G313" t="str">
        <f t="shared" si="18"/>
        <v>Normal</v>
      </c>
      <c r="H313" t="str">
        <f t="shared" si="19"/>
        <v>OK</v>
      </c>
      <c r="I313" t="str">
        <f t="shared" si="16"/>
        <v>OK</v>
      </c>
    </row>
    <row r="314" spans="1:9" x14ac:dyDescent="0.2">
      <c r="A314" t="str">
        <f>ObesityDataSet_raw_and_data_sin!A314</f>
        <v>Female</v>
      </c>
      <c r="B314">
        <f>ObesityDataSet_raw_and_data_sin!C314</f>
        <v>1.6</v>
      </c>
      <c r="C314">
        <f>ObesityDataSet_raw_and_data_sin!D314</f>
        <v>57</v>
      </c>
      <c r="D314" t="str">
        <f>ObesityDataSet_raw_and_data_sin!Q314</f>
        <v>Normal_Weight</v>
      </c>
      <c r="E314" t="b">
        <f t="shared" si="17"/>
        <v>0</v>
      </c>
      <c r="F314">
        <f>C314/(B314*B314)</f>
        <v>22.265624999999996</v>
      </c>
      <c r="G314" t="str">
        <f t="shared" si="18"/>
        <v>Normal</v>
      </c>
      <c r="H314" t="str">
        <f t="shared" si="19"/>
        <v>OK</v>
      </c>
      <c r="I314" t="str">
        <f t="shared" si="16"/>
        <v>OK</v>
      </c>
    </row>
    <row r="315" spans="1:9" x14ac:dyDescent="0.2">
      <c r="A315" t="str">
        <f>ObesityDataSet_raw_and_data_sin!A315</f>
        <v>Male</v>
      </c>
      <c r="B315">
        <f>ObesityDataSet_raw_and_data_sin!C315</f>
        <v>1.66</v>
      </c>
      <c r="C315">
        <f>ObesityDataSet_raw_and_data_sin!D315</f>
        <v>56</v>
      </c>
      <c r="D315" t="str">
        <f>ObesityDataSet_raw_and_data_sin!Q315</f>
        <v>Normal_Weight</v>
      </c>
      <c r="E315" t="b">
        <f t="shared" si="17"/>
        <v>0</v>
      </c>
      <c r="F315">
        <f>C315/(B315*B315)</f>
        <v>20.322252866889244</v>
      </c>
      <c r="G315" t="str">
        <f t="shared" si="18"/>
        <v>Normal</v>
      </c>
      <c r="H315" t="str">
        <f t="shared" si="19"/>
        <v>OK</v>
      </c>
      <c r="I315" t="str">
        <f t="shared" si="16"/>
        <v>OK</v>
      </c>
    </row>
    <row r="316" spans="1:9" x14ac:dyDescent="0.2">
      <c r="A316" t="str">
        <f>ObesityDataSet_raw_and_data_sin!A316</f>
        <v>Female</v>
      </c>
      <c r="B316">
        <f>ObesityDataSet_raw_and_data_sin!C316</f>
        <v>1.65</v>
      </c>
      <c r="C316">
        <f>ObesityDataSet_raw_and_data_sin!D316</f>
        <v>63</v>
      </c>
      <c r="D316" t="str">
        <f>ObesityDataSet_raw_and_data_sin!Q316</f>
        <v>Normal_Weight</v>
      </c>
      <c r="E316" t="b">
        <f t="shared" si="17"/>
        <v>0</v>
      </c>
      <c r="F316">
        <f>C316/(B316*B316)</f>
        <v>23.140495867768596</v>
      </c>
      <c r="G316" t="str">
        <f t="shared" si="18"/>
        <v>Normal</v>
      </c>
      <c r="H316" t="str">
        <f t="shared" si="19"/>
        <v>OK</v>
      </c>
      <c r="I316" t="str">
        <f t="shared" si="16"/>
        <v>OK</v>
      </c>
    </row>
    <row r="317" spans="1:9" x14ac:dyDescent="0.2">
      <c r="A317" t="str">
        <f>ObesityDataSet_raw_and_data_sin!A317</f>
        <v>Male</v>
      </c>
      <c r="B317">
        <f>ObesityDataSet_raw_and_data_sin!C317</f>
        <v>1.7</v>
      </c>
      <c r="C317">
        <f>ObesityDataSet_raw_and_data_sin!D317</f>
        <v>72</v>
      </c>
      <c r="D317" t="str">
        <f>ObesityDataSet_raw_and_data_sin!Q317</f>
        <v>Normal_Weight</v>
      </c>
      <c r="E317" t="b">
        <f t="shared" si="17"/>
        <v>0</v>
      </c>
      <c r="F317">
        <f>C317/(B317*B317)</f>
        <v>24.913494809688583</v>
      </c>
      <c r="G317" t="str">
        <f t="shared" si="18"/>
        <v>Normal</v>
      </c>
      <c r="H317" t="str">
        <f t="shared" si="19"/>
        <v>OK</v>
      </c>
      <c r="I317" t="str">
        <f t="shared" si="16"/>
        <v>OK</v>
      </c>
    </row>
    <row r="318" spans="1:9" x14ac:dyDescent="0.2">
      <c r="A318" t="str">
        <f>ObesityDataSet_raw_and_data_sin!A318</f>
        <v>Male</v>
      </c>
      <c r="B318">
        <f>ObesityDataSet_raw_and_data_sin!C318</f>
        <v>1.75</v>
      </c>
      <c r="C318">
        <f>ObesityDataSet_raw_and_data_sin!D318</f>
        <v>75</v>
      </c>
      <c r="D318" t="str">
        <f>ObesityDataSet_raw_and_data_sin!Q318</f>
        <v>Normal_Weight</v>
      </c>
      <c r="E318" t="b">
        <f t="shared" si="17"/>
        <v>0</v>
      </c>
      <c r="F318">
        <f>C318/(B318*B318)</f>
        <v>24.489795918367346</v>
      </c>
      <c r="G318" t="str">
        <f t="shared" si="18"/>
        <v>Normal</v>
      </c>
      <c r="H318" t="str">
        <f t="shared" si="19"/>
        <v>OK</v>
      </c>
      <c r="I318" t="str">
        <f t="shared" si="16"/>
        <v>OK</v>
      </c>
    </row>
    <row r="319" spans="1:9" x14ac:dyDescent="0.2">
      <c r="A319" t="str">
        <f>ObesityDataSet_raw_and_data_sin!A319</f>
        <v>Male</v>
      </c>
      <c r="B319">
        <f>ObesityDataSet_raw_and_data_sin!C319</f>
        <v>1.75</v>
      </c>
      <c r="C319">
        <f>ObesityDataSet_raw_and_data_sin!D319</f>
        <v>70</v>
      </c>
      <c r="D319" t="str">
        <f>ObesityDataSet_raw_and_data_sin!Q319</f>
        <v>Normal_Weight</v>
      </c>
      <c r="E319" t="b">
        <f t="shared" si="17"/>
        <v>0</v>
      </c>
      <c r="F319">
        <f>C319/(B319*B319)</f>
        <v>22.857142857142858</v>
      </c>
      <c r="G319" t="str">
        <f t="shared" si="18"/>
        <v>Normal</v>
      </c>
      <c r="H319" t="str">
        <f t="shared" si="19"/>
        <v>OK</v>
      </c>
      <c r="I319" t="str">
        <f t="shared" si="16"/>
        <v>OK</v>
      </c>
    </row>
    <row r="320" spans="1:9" x14ac:dyDescent="0.2">
      <c r="A320" t="str">
        <f>ObesityDataSet_raw_and_data_sin!A320</f>
        <v>Female</v>
      </c>
      <c r="B320">
        <f>ObesityDataSet_raw_and_data_sin!C320</f>
        <v>1.56</v>
      </c>
      <c r="C320">
        <f>ObesityDataSet_raw_and_data_sin!D320</f>
        <v>45</v>
      </c>
      <c r="D320" t="str">
        <f>ObesityDataSet_raw_and_data_sin!Q320</f>
        <v>Normal_Weight</v>
      </c>
      <c r="E320" t="b">
        <f t="shared" si="17"/>
        <v>0</v>
      </c>
      <c r="F320">
        <f>C320/(B320*B320)</f>
        <v>18.491124260355029</v>
      </c>
      <c r="G320" t="str">
        <f t="shared" si="18"/>
        <v>Normal</v>
      </c>
      <c r="H320" t="str">
        <f t="shared" si="19"/>
        <v>OK</v>
      </c>
      <c r="I320" t="str">
        <f t="shared" si="16"/>
        <v>OK</v>
      </c>
    </row>
    <row r="321" spans="1:9" x14ac:dyDescent="0.2">
      <c r="A321" t="str">
        <f>ObesityDataSet_raw_and_data_sin!A321</f>
        <v>Female</v>
      </c>
      <c r="B321">
        <f>ObesityDataSet_raw_and_data_sin!C321</f>
        <v>1.55</v>
      </c>
      <c r="C321">
        <f>ObesityDataSet_raw_and_data_sin!D321</f>
        <v>63</v>
      </c>
      <c r="D321" t="str">
        <f>ObesityDataSet_raw_and_data_sin!Q321</f>
        <v>Overweight_Level_I</v>
      </c>
      <c r="E321" t="b">
        <f t="shared" si="17"/>
        <v>0</v>
      </c>
      <c r="F321">
        <f>C321/(B321*B321)</f>
        <v>26.22268470343392</v>
      </c>
      <c r="G321" t="str">
        <f t="shared" si="18"/>
        <v>Overweight</v>
      </c>
      <c r="H321" t="str">
        <f t="shared" si="19"/>
        <v>OK</v>
      </c>
      <c r="I321" t="str">
        <f t="shared" si="16"/>
        <v>OK</v>
      </c>
    </row>
    <row r="322" spans="1:9" x14ac:dyDescent="0.2">
      <c r="A322" t="str">
        <f>ObesityDataSet_raw_and_data_sin!A322</f>
        <v>Male</v>
      </c>
      <c r="B322">
        <f>ObesityDataSet_raw_and_data_sin!C322</f>
        <v>1.67</v>
      </c>
      <c r="C322">
        <f>ObesityDataSet_raw_and_data_sin!D322</f>
        <v>67</v>
      </c>
      <c r="D322" t="str">
        <f>ObesityDataSet_raw_and_data_sin!Q322</f>
        <v>Normal_Weight</v>
      </c>
      <c r="E322" t="b">
        <f t="shared" si="17"/>
        <v>0</v>
      </c>
      <c r="F322">
        <f>C322/(B322*B322)</f>
        <v>24.023808670084982</v>
      </c>
      <c r="G322" t="str">
        <f t="shared" si="18"/>
        <v>Normal</v>
      </c>
      <c r="H322" t="str">
        <f t="shared" si="19"/>
        <v>OK</v>
      </c>
      <c r="I322" t="str">
        <f t="shared" ref="I322:I385" si="20">IF(AND(LEFT(D322,10)="Overweight",G322&lt;&gt;"Overweight"),"ERROR","OK")</f>
        <v>OK</v>
      </c>
    </row>
    <row r="323" spans="1:9" x14ac:dyDescent="0.2">
      <c r="A323" t="str">
        <f>ObesityDataSet_raw_and_data_sin!A323</f>
        <v>Male</v>
      </c>
      <c r="B323">
        <f>ObesityDataSet_raw_and_data_sin!C323</f>
        <v>1.75</v>
      </c>
      <c r="C323">
        <f>ObesityDataSet_raw_and_data_sin!D323</f>
        <v>75</v>
      </c>
      <c r="D323" t="str">
        <f>ObesityDataSet_raw_and_data_sin!Q323</f>
        <v>Normal_Weight</v>
      </c>
      <c r="E323" t="b">
        <f t="shared" ref="E323:E386" si="21">IF(AND(A323="Female", B323&lt;1.5), TRUE, IF(AND(A323="Male",B323&lt;1.6),TRUE, FALSE))</f>
        <v>0</v>
      </c>
      <c r="F323">
        <f>C323/(B323*B323)</f>
        <v>24.489795918367346</v>
      </c>
      <c r="G323" t="str">
        <f t="shared" ref="G323:G386" si="22">IF(E323=TRUE,IF(F323&lt;23,"Normal",IF(F323&lt;25,"Overweight","Obese")),IF(F323&lt;25,"Normal",IF(F323&lt;30,"Overweight","Obese")))</f>
        <v>Normal</v>
      </c>
      <c r="H323" t="str">
        <f t="shared" ref="H323:H386" si="23">IF(AND(D323="Normal_Weight",G323&lt;&gt;"Normal"),"ERROR","OK")</f>
        <v>OK</v>
      </c>
      <c r="I323" t="str">
        <f t="shared" si="20"/>
        <v>OK</v>
      </c>
    </row>
    <row r="324" spans="1:9" x14ac:dyDescent="0.2">
      <c r="A324" t="str">
        <f>ObesityDataSet_raw_and_data_sin!A324</f>
        <v>Female</v>
      </c>
      <c r="B324">
        <f>ObesityDataSet_raw_and_data_sin!C324</f>
        <v>1.75</v>
      </c>
      <c r="C324">
        <f>ObesityDataSet_raw_and_data_sin!D324</f>
        <v>56</v>
      </c>
      <c r="D324" t="str">
        <f>ObesityDataSet_raw_and_data_sin!Q324</f>
        <v>Insufficient_Weight</v>
      </c>
      <c r="E324" t="b">
        <f t="shared" si="21"/>
        <v>0</v>
      </c>
      <c r="F324">
        <f>C324/(B324*B324)</f>
        <v>18.285714285714285</v>
      </c>
      <c r="G324" t="str">
        <f t="shared" si="22"/>
        <v>Normal</v>
      </c>
      <c r="H324" t="str">
        <f t="shared" si="23"/>
        <v>OK</v>
      </c>
      <c r="I324" t="str">
        <f t="shared" si="20"/>
        <v>OK</v>
      </c>
    </row>
    <row r="325" spans="1:9" x14ac:dyDescent="0.2">
      <c r="A325" t="str">
        <f>ObesityDataSet_raw_and_data_sin!A325</f>
        <v>Male</v>
      </c>
      <c r="B325">
        <f>ObesityDataSet_raw_and_data_sin!C325</f>
        <v>1.8</v>
      </c>
      <c r="C325">
        <f>ObesityDataSet_raw_and_data_sin!D325</f>
        <v>72</v>
      </c>
      <c r="D325" t="str">
        <f>ObesityDataSet_raw_and_data_sin!Q325</f>
        <v>Normal_Weight</v>
      </c>
      <c r="E325" t="b">
        <f t="shared" si="21"/>
        <v>0</v>
      </c>
      <c r="F325">
        <f>C325/(B325*B325)</f>
        <v>22.222222222222221</v>
      </c>
      <c r="G325" t="str">
        <f t="shared" si="22"/>
        <v>Normal</v>
      </c>
      <c r="H325" t="str">
        <f t="shared" si="23"/>
        <v>OK</v>
      </c>
      <c r="I325" t="str">
        <f t="shared" si="20"/>
        <v>OK</v>
      </c>
    </row>
    <row r="326" spans="1:9" x14ac:dyDescent="0.2">
      <c r="A326" t="str">
        <f>ObesityDataSet_raw_and_data_sin!A326</f>
        <v>Female</v>
      </c>
      <c r="B326">
        <f>ObesityDataSet_raw_and_data_sin!C326</f>
        <v>1.65</v>
      </c>
      <c r="C326">
        <f>ObesityDataSet_raw_and_data_sin!D326</f>
        <v>71</v>
      </c>
      <c r="D326" t="str">
        <f>ObesityDataSet_raw_and_data_sin!Q326</f>
        <v>Overweight_Level_I</v>
      </c>
      <c r="E326" t="b">
        <f t="shared" si="21"/>
        <v>0</v>
      </c>
      <c r="F326">
        <f>C326/(B326*B326)</f>
        <v>26.078971533516992</v>
      </c>
      <c r="G326" t="str">
        <f t="shared" si="22"/>
        <v>Overweight</v>
      </c>
      <c r="H326" t="str">
        <f t="shared" si="23"/>
        <v>OK</v>
      </c>
      <c r="I326" t="str">
        <f t="shared" si="20"/>
        <v>OK</v>
      </c>
    </row>
    <row r="327" spans="1:9" x14ac:dyDescent="0.2">
      <c r="A327" t="str">
        <f>ObesityDataSet_raw_and_data_sin!A327</f>
        <v>Female</v>
      </c>
      <c r="B327">
        <f>ObesityDataSet_raw_and_data_sin!C327</f>
        <v>1.55</v>
      </c>
      <c r="C327">
        <f>ObesityDataSet_raw_and_data_sin!D327</f>
        <v>58</v>
      </c>
      <c r="D327" t="str">
        <f>ObesityDataSet_raw_and_data_sin!Q327</f>
        <v>Normal_Weight</v>
      </c>
      <c r="E327" t="b">
        <f t="shared" si="21"/>
        <v>0</v>
      </c>
      <c r="F327">
        <f>C327/(B327*B327)</f>
        <v>24.141519250780433</v>
      </c>
      <c r="G327" t="str">
        <f t="shared" si="22"/>
        <v>Normal</v>
      </c>
      <c r="H327" t="str">
        <f t="shared" si="23"/>
        <v>OK</v>
      </c>
      <c r="I327" t="str">
        <f t="shared" si="20"/>
        <v>OK</v>
      </c>
    </row>
    <row r="328" spans="1:9" x14ac:dyDescent="0.2">
      <c r="A328" t="str">
        <f>ObesityDataSet_raw_and_data_sin!A328</f>
        <v>Male</v>
      </c>
      <c r="B328">
        <f>ObesityDataSet_raw_and_data_sin!C328</f>
        <v>1.7</v>
      </c>
      <c r="C328">
        <f>ObesityDataSet_raw_and_data_sin!D328</f>
        <v>55.3</v>
      </c>
      <c r="D328" t="str">
        <f>ObesityDataSet_raw_and_data_sin!Q328</f>
        <v>Normal_Weight</v>
      </c>
      <c r="E328" t="b">
        <f t="shared" si="21"/>
        <v>0</v>
      </c>
      <c r="F328">
        <f>C328/(B328*B328)</f>
        <v>19.134948096885815</v>
      </c>
      <c r="G328" t="str">
        <f t="shared" si="22"/>
        <v>Normal</v>
      </c>
      <c r="H328" t="str">
        <f t="shared" si="23"/>
        <v>OK</v>
      </c>
      <c r="I328" t="str">
        <f t="shared" si="20"/>
        <v>OK</v>
      </c>
    </row>
    <row r="329" spans="1:9" x14ac:dyDescent="0.2">
      <c r="A329" t="str">
        <f>ObesityDataSet_raw_and_data_sin!A329</f>
        <v>Male</v>
      </c>
      <c r="B329">
        <f>ObesityDataSet_raw_and_data_sin!C329</f>
        <v>1.72</v>
      </c>
      <c r="C329">
        <f>ObesityDataSet_raw_and_data_sin!D329</f>
        <v>76</v>
      </c>
      <c r="D329" t="str">
        <f>ObesityDataSet_raw_and_data_sin!Q329</f>
        <v>Overweight_Level_I</v>
      </c>
      <c r="E329" t="b">
        <f t="shared" si="21"/>
        <v>0</v>
      </c>
      <c r="F329">
        <f>C329/(B329*B329)</f>
        <v>25.689561925365066</v>
      </c>
      <c r="G329" t="str">
        <f t="shared" si="22"/>
        <v>Overweight</v>
      </c>
      <c r="H329" t="str">
        <f t="shared" si="23"/>
        <v>OK</v>
      </c>
      <c r="I329" t="str">
        <f t="shared" si="20"/>
        <v>OK</v>
      </c>
    </row>
    <row r="330" spans="1:9" x14ac:dyDescent="0.2">
      <c r="A330" t="str">
        <f>ObesityDataSet_raw_and_data_sin!A330</f>
        <v>Male</v>
      </c>
      <c r="B330">
        <f>ObesityDataSet_raw_and_data_sin!C330</f>
        <v>1.74</v>
      </c>
      <c r="C330">
        <f>ObesityDataSet_raw_and_data_sin!D330</f>
        <v>74</v>
      </c>
      <c r="D330" t="str">
        <f>ObesityDataSet_raw_and_data_sin!Q330</f>
        <v>Normal_Weight</v>
      </c>
      <c r="E330" t="b">
        <f t="shared" si="21"/>
        <v>0</v>
      </c>
      <c r="F330">
        <f>C330/(B330*B330)</f>
        <v>24.441802087462015</v>
      </c>
      <c r="G330" t="str">
        <f t="shared" si="22"/>
        <v>Normal</v>
      </c>
      <c r="H330" t="str">
        <f t="shared" si="23"/>
        <v>OK</v>
      </c>
      <c r="I330" t="str">
        <f t="shared" si="20"/>
        <v>OK</v>
      </c>
    </row>
    <row r="331" spans="1:9" x14ac:dyDescent="0.2">
      <c r="A331" t="str">
        <f>ObesityDataSet_raw_and_data_sin!A331</f>
        <v>Female</v>
      </c>
      <c r="B331">
        <f>ObesityDataSet_raw_and_data_sin!C331</f>
        <v>1.65</v>
      </c>
      <c r="C331">
        <f>ObesityDataSet_raw_and_data_sin!D331</f>
        <v>82</v>
      </c>
      <c r="D331" t="str">
        <f>ObesityDataSet_raw_and_data_sin!Q331</f>
        <v>Obesity_Type_I</v>
      </c>
      <c r="E331" t="b">
        <f t="shared" si="21"/>
        <v>0</v>
      </c>
      <c r="F331">
        <f>C331/(B331*B331)</f>
        <v>30.119375573921033</v>
      </c>
      <c r="G331" t="str">
        <f t="shared" si="22"/>
        <v>Obese</v>
      </c>
      <c r="H331" t="str">
        <f t="shared" si="23"/>
        <v>OK</v>
      </c>
      <c r="I331" t="str">
        <f t="shared" si="20"/>
        <v>OK</v>
      </c>
    </row>
    <row r="332" spans="1:9" x14ac:dyDescent="0.2">
      <c r="A332" t="str">
        <f>ObesityDataSet_raw_and_data_sin!A332</f>
        <v>Female</v>
      </c>
      <c r="B332">
        <f>ObesityDataSet_raw_and_data_sin!C332</f>
        <v>1.8</v>
      </c>
      <c r="C332">
        <f>ObesityDataSet_raw_and_data_sin!D332</f>
        <v>50</v>
      </c>
      <c r="D332" t="str">
        <f>ObesityDataSet_raw_and_data_sin!Q332</f>
        <v>Insufficient_Weight</v>
      </c>
      <c r="E332" t="b">
        <f t="shared" si="21"/>
        <v>0</v>
      </c>
      <c r="F332">
        <f>C332/(B332*B332)</f>
        <v>15.432098765432098</v>
      </c>
      <c r="G332" t="str">
        <f t="shared" si="22"/>
        <v>Normal</v>
      </c>
      <c r="H332" t="str">
        <f t="shared" si="23"/>
        <v>OK</v>
      </c>
      <c r="I332" t="str">
        <f t="shared" si="20"/>
        <v>OK</v>
      </c>
    </row>
    <row r="333" spans="1:9" x14ac:dyDescent="0.2">
      <c r="A333" t="str">
        <f>ObesityDataSet_raw_and_data_sin!A333</f>
        <v>Male</v>
      </c>
      <c r="B333">
        <f>ObesityDataSet_raw_and_data_sin!C333</f>
        <v>1.74</v>
      </c>
      <c r="C333">
        <f>ObesityDataSet_raw_and_data_sin!D333</f>
        <v>56</v>
      </c>
      <c r="D333" t="str">
        <f>ObesityDataSet_raw_and_data_sin!Q333</f>
        <v>Normal_Weight</v>
      </c>
      <c r="E333" t="b">
        <f t="shared" si="21"/>
        <v>0</v>
      </c>
      <c r="F333">
        <f>C333/(B333*B333)</f>
        <v>18.496498876998281</v>
      </c>
      <c r="G333" t="str">
        <f t="shared" si="22"/>
        <v>Normal</v>
      </c>
      <c r="H333" t="str">
        <f t="shared" si="23"/>
        <v>OK</v>
      </c>
      <c r="I333" t="str">
        <f t="shared" si="20"/>
        <v>OK</v>
      </c>
    </row>
    <row r="334" spans="1:9" x14ac:dyDescent="0.2">
      <c r="A334" t="str">
        <f>ObesityDataSet_raw_and_data_sin!A334</f>
        <v>Male</v>
      </c>
      <c r="B334">
        <f>ObesityDataSet_raw_and_data_sin!C334</f>
        <v>1.85</v>
      </c>
      <c r="C334">
        <f>ObesityDataSet_raw_and_data_sin!D334</f>
        <v>75</v>
      </c>
      <c r="D334" t="str">
        <f>ObesityDataSet_raw_and_data_sin!Q334</f>
        <v>Normal_Weight</v>
      </c>
      <c r="E334" t="b">
        <f t="shared" si="21"/>
        <v>0</v>
      </c>
      <c r="F334">
        <f>C334/(B334*B334)</f>
        <v>21.913805697589478</v>
      </c>
      <c r="G334" t="str">
        <f t="shared" si="22"/>
        <v>Normal</v>
      </c>
      <c r="H334" t="str">
        <f t="shared" si="23"/>
        <v>OK</v>
      </c>
      <c r="I334" t="str">
        <f t="shared" si="20"/>
        <v>OK</v>
      </c>
    </row>
    <row r="335" spans="1:9" x14ac:dyDescent="0.2">
      <c r="A335" t="str">
        <f>ObesityDataSet_raw_and_data_sin!A335</f>
        <v>Female</v>
      </c>
      <c r="B335">
        <f>ObesityDataSet_raw_and_data_sin!C335</f>
        <v>1.7</v>
      </c>
      <c r="C335">
        <f>ObesityDataSet_raw_and_data_sin!D335</f>
        <v>56</v>
      </c>
      <c r="D335" t="str">
        <f>ObesityDataSet_raw_and_data_sin!Q335</f>
        <v>Normal_Weight</v>
      </c>
      <c r="E335" t="b">
        <f t="shared" si="21"/>
        <v>0</v>
      </c>
      <c r="F335">
        <f>C335/(B335*B335)</f>
        <v>19.377162629757787</v>
      </c>
      <c r="G335" t="str">
        <f t="shared" si="22"/>
        <v>Normal</v>
      </c>
      <c r="H335" t="str">
        <f t="shared" si="23"/>
        <v>OK</v>
      </c>
      <c r="I335" t="str">
        <f t="shared" si="20"/>
        <v>OK</v>
      </c>
    </row>
    <row r="336" spans="1:9" x14ac:dyDescent="0.2">
      <c r="A336" t="str">
        <f>ObesityDataSet_raw_and_data_sin!A336</f>
        <v>Female</v>
      </c>
      <c r="B336">
        <f>ObesityDataSet_raw_and_data_sin!C336</f>
        <v>1.45</v>
      </c>
      <c r="C336">
        <f>ObesityDataSet_raw_and_data_sin!D336</f>
        <v>53</v>
      </c>
      <c r="D336" t="str">
        <f>ObesityDataSet_raw_and_data_sin!Q336</f>
        <v>Overweight_Level_I</v>
      </c>
      <c r="E336" t="b">
        <f t="shared" si="21"/>
        <v>1</v>
      </c>
      <c r="F336">
        <f>C336/(B336*B336)</f>
        <v>25.208085612366229</v>
      </c>
      <c r="G336" t="str">
        <f t="shared" si="22"/>
        <v>Obese</v>
      </c>
      <c r="H336" t="str">
        <f t="shared" si="23"/>
        <v>OK</v>
      </c>
      <c r="I336" t="str">
        <f t="shared" si="20"/>
        <v>ERROR</v>
      </c>
    </row>
    <row r="337" spans="1:9" x14ac:dyDescent="0.2">
      <c r="A337" t="str">
        <f>ObesityDataSet_raw_and_data_sin!A337</f>
        <v>Male</v>
      </c>
      <c r="B337">
        <f>ObesityDataSet_raw_and_data_sin!C337</f>
        <v>1.7</v>
      </c>
      <c r="C337">
        <f>ObesityDataSet_raw_and_data_sin!D337</f>
        <v>50</v>
      </c>
      <c r="D337" t="str">
        <f>ObesityDataSet_raw_and_data_sin!Q337</f>
        <v>Insufficient_Weight</v>
      </c>
      <c r="E337" t="b">
        <f t="shared" si="21"/>
        <v>0</v>
      </c>
      <c r="F337">
        <f>C337/(B337*B337)</f>
        <v>17.301038062283737</v>
      </c>
      <c r="G337" t="str">
        <f t="shared" si="22"/>
        <v>Normal</v>
      </c>
      <c r="H337" t="str">
        <f t="shared" si="23"/>
        <v>OK</v>
      </c>
      <c r="I337" t="str">
        <f t="shared" si="20"/>
        <v>OK</v>
      </c>
    </row>
    <row r="338" spans="1:9" x14ac:dyDescent="0.2">
      <c r="A338" t="str">
        <f>ObesityDataSet_raw_and_data_sin!A338</f>
        <v>Male</v>
      </c>
      <c r="B338">
        <f>ObesityDataSet_raw_and_data_sin!C338</f>
        <v>1.7</v>
      </c>
      <c r="C338">
        <f>ObesityDataSet_raw_and_data_sin!D338</f>
        <v>65</v>
      </c>
      <c r="D338" t="str">
        <f>ObesityDataSet_raw_and_data_sin!Q338</f>
        <v>Normal_Weight</v>
      </c>
      <c r="E338" t="b">
        <f t="shared" si="21"/>
        <v>0</v>
      </c>
      <c r="F338">
        <f>C338/(B338*B338)</f>
        <v>22.491349480968861</v>
      </c>
      <c r="G338" t="str">
        <f t="shared" si="22"/>
        <v>Normal</v>
      </c>
      <c r="H338" t="str">
        <f t="shared" si="23"/>
        <v>OK</v>
      </c>
      <c r="I338" t="str">
        <f t="shared" si="20"/>
        <v>OK</v>
      </c>
    </row>
    <row r="339" spans="1:9" x14ac:dyDescent="0.2">
      <c r="A339" t="str">
        <f>ObesityDataSet_raw_and_data_sin!A339</f>
        <v>Male</v>
      </c>
      <c r="B339">
        <f>ObesityDataSet_raw_and_data_sin!C339</f>
        <v>1.78</v>
      </c>
      <c r="C339">
        <f>ObesityDataSet_raw_and_data_sin!D339</f>
        <v>64.400000000000006</v>
      </c>
      <c r="D339" t="str">
        <f>ObesityDataSet_raw_and_data_sin!Q339</f>
        <v>Normal_Weight</v>
      </c>
      <c r="E339" t="b">
        <f t="shared" si="21"/>
        <v>0</v>
      </c>
      <c r="F339">
        <f>C339/(B339*B339)</f>
        <v>20.32571644994319</v>
      </c>
      <c r="G339" t="str">
        <f t="shared" si="22"/>
        <v>Normal</v>
      </c>
      <c r="H339" t="str">
        <f t="shared" si="23"/>
        <v>OK</v>
      </c>
      <c r="I339" t="str">
        <f t="shared" si="20"/>
        <v>OK</v>
      </c>
    </row>
    <row r="340" spans="1:9" x14ac:dyDescent="0.2">
      <c r="A340" t="str">
        <f>ObesityDataSet_raw_and_data_sin!A340</f>
        <v>Female</v>
      </c>
      <c r="B340">
        <f>ObesityDataSet_raw_and_data_sin!C340</f>
        <v>1.6</v>
      </c>
      <c r="C340">
        <f>ObesityDataSet_raw_and_data_sin!D340</f>
        <v>65</v>
      </c>
      <c r="D340" t="str">
        <f>ObesityDataSet_raw_and_data_sin!Q340</f>
        <v>Overweight_Level_I</v>
      </c>
      <c r="E340" t="b">
        <f t="shared" si="21"/>
        <v>0</v>
      </c>
      <c r="F340">
        <f>C340/(B340*B340)</f>
        <v>25.390624999999996</v>
      </c>
      <c r="G340" t="str">
        <f t="shared" si="22"/>
        <v>Overweight</v>
      </c>
      <c r="H340" t="str">
        <f t="shared" si="23"/>
        <v>OK</v>
      </c>
      <c r="I340" t="str">
        <f t="shared" si="20"/>
        <v>OK</v>
      </c>
    </row>
    <row r="341" spans="1:9" x14ac:dyDescent="0.2">
      <c r="A341" t="str">
        <f>ObesityDataSet_raw_and_data_sin!A341</f>
        <v>Female</v>
      </c>
      <c r="B341">
        <f>ObesityDataSet_raw_and_data_sin!C341</f>
        <v>1.53</v>
      </c>
      <c r="C341">
        <f>ObesityDataSet_raw_and_data_sin!D341</f>
        <v>42</v>
      </c>
      <c r="D341" t="str">
        <f>ObesityDataSet_raw_and_data_sin!Q341</f>
        <v>Insufficient_Weight</v>
      </c>
      <c r="E341" t="b">
        <f t="shared" si="21"/>
        <v>0</v>
      </c>
      <c r="F341">
        <f>C341/(B341*B341)</f>
        <v>17.941817249775728</v>
      </c>
      <c r="G341" t="str">
        <f t="shared" si="22"/>
        <v>Normal</v>
      </c>
      <c r="H341" t="str">
        <f t="shared" si="23"/>
        <v>OK</v>
      </c>
      <c r="I341" t="str">
        <f t="shared" si="20"/>
        <v>OK</v>
      </c>
    </row>
    <row r="342" spans="1:9" x14ac:dyDescent="0.2">
      <c r="A342" t="str">
        <f>ObesityDataSet_raw_and_data_sin!A342</f>
        <v>Male</v>
      </c>
      <c r="B342">
        <f>ObesityDataSet_raw_and_data_sin!C342</f>
        <v>1.8</v>
      </c>
      <c r="C342">
        <f>ObesityDataSet_raw_and_data_sin!D342</f>
        <v>72</v>
      </c>
      <c r="D342" t="str">
        <f>ObesityDataSet_raw_and_data_sin!Q342</f>
        <v>Normal_Weight</v>
      </c>
      <c r="E342" t="b">
        <f t="shared" si="21"/>
        <v>0</v>
      </c>
      <c r="F342">
        <f>C342/(B342*B342)</f>
        <v>22.222222222222221</v>
      </c>
      <c r="G342" t="str">
        <f t="shared" si="22"/>
        <v>Normal</v>
      </c>
      <c r="H342" t="str">
        <f t="shared" si="23"/>
        <v>OK</v>
      </c>
      <c r="I342" t="str">
        <f t="shared" si="20"/>
        <v>OK</v>
      </c>
    </row>
    <row r="343" spans="1:9" x14ac:dyDescent="0.2">
      <c r="A343" t="str">
        <f>ObesityDataSet_raw_and_data_sin!A343</f>
        <v>Male</v>
      </c>
      <c r="B343">
        <f>ObesityDataSet_raw_and_data_sin!C343</f>
        <v>1.6</v>
      </c>
      <c r="C343">
        <f>ObesityDataSet_raw_and_data_sin!D343</f>
        <v>50</v>
      </c>
      <c r="D343" t="str">
        <f>ObesityDataSet_raw_and_data_sin!Q343</f>
        <v>Normal_Weight</v>
      </c>
      <c r="E343" t="b">
        <f t="shared" si="21"/>
        <v>0</v>
      </c>
      <c r="F343">
        <f>C343/(B343*B343)</f>
        <v>19.531249999999996</v>
      </c>
      <c r="G343" t="str">
        <f t="shared" si="22"/>
        <v>Normal</v>
      </c>
      <c r="H343" t="str">
        <f t="shared" si="23"/>
        <v>OK</v>
      </c>
      <c r="I343" t="str">
        <f t="shared" si="20"/>
        <v>OK</v>
      </c>
    </row>
    <row r="344" spans="1:9" x14ac:dyDescent="0.2">
      <c r="A344" t="str">
        <f>ObesityDataSet_raw_and_data_sin!A344</f>
        <v>Male</v>
      </c>
      <c r="B344">
        <f>ObesityDataSet_raw_and_data_sin!C344</f>
        <v>1.74</v>
      </c>
      <c r="C344">
        <f>ObesityDataSet_raw_and_data_sin!D344</f>
        <v>105</v>
      </c>
      <c r="D344" t="str">
        <f>ObesityDataSet_raw_and_data_sin!Q344</f>
        <v>Obesity_Type_I</v>
      </c>
      <c r="E344" t="b">
        <f t="shared" si="21"/>
        <v>0</v>
      </c>
      <c r="F344">
        <f>C344/(B344*B344)</f>
        <v>34.68093539437178</v>
      </c>
      <c r="G344" t="str">
        <f t="shared" si="22"/>
        <v>Obese</v>
      </c>
      <c r="H344" t="str">
        <f t="shared" si="23"/>
        <v>OK</v>
      </c>
      <c r="I344" t="str">
        <f t="shared" si="20"/>
        <v>OK</v>
      </c>
    </row>
    <row r="345" spans="1:9" x14ac:dyDescent="0.2">
      <c r="A345" t="str">
        <f>ObesityDataSet_raw_and_data_sin!A345</f>
        <v>Male</v>
      </c>
      <c r="B345">
        <f>ObesityDataSet_raw_and_data_sin!C345</f>
        <v>1.65</v>
      </c>
      <c r="C345">
        <f>ObesityDataSet_raw_and_data_sin!D345</f>
        <v>66</v>
      </c>
      <c r="D345" t="str">
        <f>ObesityDataSet_raw_and_data_sin!Q345</f>
        <v>Normal_Weight</v>
      </c>
      <c r="E345" t="b">
        <f t="shared" si="21"/>
        <v>0</v>
      </c>
      <c r="F345">
        <f>C345/(B345*B345)</f>
        <v>24.242424242424246</v>
      </c>
      <c r="G345" t="str">
        <f t="shared" si="22"/>
        <v>Normal</v>
      </c>
      <c r="H345" t="str">
        <f t="shared" si="23"/>
        <v>OK</v>
      </c>
      <c r="I345" t="str">
        <f t="shared" si="20"/>
        <v>OK</v>
      </c>
    </row>
    <row r="346" spans="1:9" x14ac:dyDescent="0.2">
      <c r="A346" t="str">
        <f>ObesityDataSet_raw_and_data_sin!A346</f>
        <v>Male</v>
      </c>
      <c r="B346">
        <f>ObesityDataSet_raw_and_data_sin!C346</f>
        <v>1.87</v>
      </c>
      <c r="C346">
        <f>ObesityDataSet_raw_and_data_sin!D346</f>
        <v>173</v>
      </c>
      <c r="D346" t="str">
        <f>ObesityDataSet_raw_and_data_sin!Q346</f>
        <v>Obesity_Type_III</v>
      </c>
      <c r="E346" t="b">
        <f t="shared" si="21"/>
        <v>0</v>
      </c>
      <c r="F346">
        <f>C346/(B346*B346)</f>
        <v>49.472389830993158</v>
      </c>
      <c r="G346" t="str">
        <f t="shared" si="22"/>
        <v>Obese</v>
      </c>
      <c r="H346" t="str">
        <f t="shared" si="23"/>
        <v>OK</v>
      </c>
      <c r="I346" t="str">
        <f t="shared" si="20"/>
        <v>OK</v>
      </c>
    </row>
    <row r="347" spans="1:9" x14ac:dyDescent="0.2">
      <c r="A347" t="str">
        <f>ObesityDataSet_raw_and_data_sin!A347</f>
        <v>Male</v>
      </c>
      <c r="B347">
        <f>ObesityDataSet_raw_and_data_sin!C347</f>
        <v>1.7</v>
      </c>
      <c r="C347">
        <f>ObesityDataSet_raw_and_data_sin!D347</f>
        <v>55</v>
      </c>
      <c r="D347" t="str">
        <f>ObesityDataSet_raw_and_data_sin!Q347</f>
        <v>Normal_Weight</v>
      </c>
      <c r="E347" t="b">
        <f t="shared" si="21"/>
        <v>0</v>
      </c>
      <c r="F347">
        <f>C347/(B347*B347)</f>
        <v>19.031141868512112</v>
      </c>
      <c r="G347" t="str">
        <f t="shared" si="22"/>
        <v>Normal</v>
      </c>
      <c r="H347" t="str">
        <f t="shared" si="23"/>
        <v>OK</v>
      </c>
      <c r="I347" t="str">
        <f t="shared" si="20"/>
        <v>OK</v>
      </c>
    </row>
    <row r="348" spans="1:9" x14ac:dyDescent="0.2">
      <c r="A348" t="str">
        <f>ObesityDataSet_raw_and_data_sin!A348</f>
        <v>Female</v>
      </c>
      <c r="B348">
        <f>ObesityDataSet_raw_and_data_sin!C348</f>
        <v>1.54</v>
      </c>
      <c r="C348">
        <f>ObesityDataSet_raw_and_data_sin!D348</f>
        <v>47</v>
      </c>
      <c r="D348" t="str">
        <f>ObesityDataSet_raw_and_data_sin!Q348</f>
        <v>Normal_Weight</v>
      </c>
      <c r="E348" t="b">
        <f t="shared" si="21"/>
        <v>0</v>
      </c>
      <c r="F348">
        <f>C348/(B348*B348)</f>
        <v>19.817844493169169</v>
      </c>
      <c r="G348" t="str">
        <f t="shared" si="22"/>
        <v>Normal</v>
      </c>
      <c r="H348" t="str">
        <f t="shared" si="23"/>
        <v>OK</v>
      </c>
      <c r="I348" t="str">
        <f t="shared" si="20"/>
        <v>OK</v>
      </c>
    </row>
    <row r="349" spans="1:9" x14ac:dyDescent="0.2">
      <c r="A349" t="str">
        <f>ObesityDataSet_raw_and_data_sin!A349</f>
        <v>Male</v>
      </c>
      <c r="B349">
        <f>ObesityDataSet_raw_and_data_sin!C349</f>
        <v>1.8</v>
      </c>
      <c r="C349">
        <f>ObesityDataSet_raw_and_data_sin!D349</f>
        <v>97</v>
      </c>
      <c r="D349" t="str">
        <f>ObesityDataSet_raw_and_data_sin!Q349</f>
        <v>Overweight_Level_II</v>
      </c>
      <c r="E349" t="b">
        <f t="shared" si="21"/>
        <v>0</v>
      </c>
      <c r="F349">
        <f>C349/(B349*B349)</f>
        <v>29.938271604938269</v>
      </c>
      <c r="G349" t="str">
        <f t="shared" si="22"/>
        <v>Overweight</v>
      </c>
      <c r="H349" t="str">
        <f t="shared" si="23"/>
        <v>OK</v>
      </c>
      <c r="I349" t="str">
        <f t="shared" si="20"/>
        <v>OK</v>
      </c>
    </row>
    <row r="350" spans="1:9" x14ac:dyDescent="0.2">
      <c r="A350" t="str">
        <f>ObesityDataSet_raw_and_data_sin!A350</f>
        <v>Male</v>
      </c>
      <c r="B350">
        <f>ObesityDataSet_raw_and_data_sin!C350</f>
        <v>1.82</v>
      </c>
      <c r="C350">
        <f>ObesityDataSet_raw_and_data_sin!D350</f>
        <v>80</v>
      </c>
      <c r="D350" t="str">
        <f>ObesityDataSet_raw_and_data_sin!Q350</f>
        <v>Normal_Weight</v>
      </c>
      <c r="E350" t="b">
        <f t="shared" si="21"/>
        <v>0</v>
      </c>
      <c r="F350">
        <f>C350/(B350*B350)</f>
        <v>24.151672503320853</v>
      </c>
      <c r="G350" t="str">
        <f t="shared" si="22"/>
        <v>Normal</v>
      </c>
      <c r="H350" t="str">
        <f t="shared" si="23"/>
        <v>OK</v>
      </c>
      <c r="I350" t="str">
        <f t="shared" si="20"/>
        <v>OK</v>
      </c>
    </row>
    <row r="351" spans="1:9" x14ac:dyDescent="0.2">
      <c r="A351" t="str">
        <f>ObesityDataSet_raw_and_data_sin!A351</f>
        <v>Male</v>
      </c>
      <c r="B351">
        <f>ObesityDataSet_raw_and_data_sin!C351</f>
        <v>1.98</v>
      </c>
      <c r="C351">
        <f>ObesityDataSet_raw_and_data_sin!D351</f>
        <v>125</v>
      </c>
      <c r="D351" t="str">
        <f>ObesityDataSet_raw_and_data_sin!Q351</f>
        <v>Obesity_Type_I</v>
      </c>
      <c r="E351" t="b">
        <f t="shared" si="21"/>
        <v>0</v>
      </c>
      <c r="F351">
        <f>C351/(B351*B351)</f>
        <v>31.88450158147128</v>
      </c>
      <c r="G351" t="str">
        <f t="shared" si="22"/>
        <v>Obese</v>
      </c>
      <c r="H351" t="str">
        <f t="shared" si="23"/>
        <v>OK</v>
      </c>
      <c r="I351" t="str">
        <f t="shared" si="20"/>
        <v>OK</v>
      </c>
    </row>
    <row r="352" spans="1:9" x14ac:dyDescent="0.2">
      <c r="A352" t="str">
        <f>ObesityDataSet_raw_and_data_sin!A352</f>
        <v>Male</v>
      </c>
      <c r="B352">
        <f>ObesityDataSet_raw_and_data_sin!C352</f>
        <v>1.75</v>
      </c>
      <c r="C352">
        <f>ObesityDataSet_raw_and_data_sin!D352</f>
        <v>70</v>
      </c>
      <c r="D352" t="str">
        <f>ObesityDataSet_raw_and_data_sin!Q352</f>
        <v>Normal_Weight</v>
      </c>
      <c r="E352" t="b">
        <f t="shared" si="21"/>
        <v>0</v>
      </c>
      <c r="F352">
        <f>C352/(B352*B352)</f>
        <v>22.857142857142858</v>
      </c>
      <c r="G352" t="str">
        <f t="shared" si="22"/>
        <v>Normal</v>
      </c>
      <c r="H352" t="str">
        <f t="shared" si="23"/>
        <v>OK</v>
      </c>
      <c r="I352" t="str">
        <f t="shared" si="20"/>
        <v>OK</v>
      </c>
    </row>
    <row r="353" spans="1:9" x14ac:dyDescent="0.2">
      <c r="A353" t="str">
        <f>ObesityDataSet_raw_and_data_sin!A353</f>
        <v>Female</v>
      </c>
      <c r="B353">
        <f>ObesityDataSet_raw_and_data_sin!C353</f>
        <v>1.65</v>
      </c>
      <c r="C353">
        <f>ObesityDataSet_raw_and_data_sin!D353</f>
        <v>60</v>
      </c>
      <c r="D353" t="str">
        <f>ObesityDataSet_raw_and_data_sin!Q353</f>
        <v>Normal_Weight</v>
      </c>
      <c r="E353" t="b">
        <f t="shared" si="21"/>
        <v>0</v>
      </c>
      <c r="F353">
        <f>C353/(B353*B353)</f>
        <v>22.03856749311295</v>
      </c>
      <c r="G353" t="str">
        <f t="shared" si="22"/>
        <v>Normal</v>
      </c>
      <c r="H353" t="str">
        <f t="shared" si="23"/>
        <v>OK</v>
      </c>
      <c r="I353" t="str">
        <f t="shared" si="20"/>
        <v>OK</v>
      </c>
    </row>
    <row r="354" spans="1:9" x14ac:dyDescent="0.2">
      <c r="A354" t="str">
        <f>ObesityDataSet_raw_and_data_sin!A354</f>
        <v>Female</v>
      </c>
      <c r="B354">
        <f>ObesityDataSet_raw_and_data_sin!C354</f>
        <v>1.6</v>
      </c>
      <c r="C354">
        <f>ObesityDataSet_raw_and_data_sin!D354</f>
        <v>53</v>
      </c>
      <c r="D354" t="str">
        <f>ObesityDataSet_raw_and_data_sin!Q354</f>
        <v>Normal_Weight</v>
      </c>
      <c r="E354" t="b">
        <f t="shared" si="21"/>
        <v>0</v>
      </c>
      <c r="F354">
        <f>C354/(B354*B354)</f>
        <v>20.703124999999996</v>
      </c>
      <c r="G354" t="str">
        <f t="shared" si="22"/>
        <v>Normal</v>
      </c>
      <c r="H354" t="str">
        <f t="shared" si="23"/>
        <v>OK</v>
      </c>
      <c r="I354" t="str">
        <f t="shared" si="20"/>
        <v>OK</v>
      </c>
    </row>
    <row r="355" spans="1:9" x14ac:dyDescent="0.2">
      <c r="A355" t="str">
        <f>ObesityDataSet_raw_and_data_sin!A355</f>
        <v>Female</v>
      </c>
      <c r="B355">
        <f>ObesityDataSet_raw_and_data_sin!C355</f>
        <v>1.6</v>
      </c>
      <c r="C355">
        <f>ObesityDataSet_raw_and_data_sin!D355</f>
        <v>51</v>
      </c>
      <c r="D355" t="str">
        <f>ObesityDataSet_raw_and_data_sin!Q355</f>
        <v>Normal_Weight</v>
      </c>
      <c r="E355" t="b">
        <f t="shared" si="21"/>
        <v>0</v>
      </c>
      <c r="F355">
        <f>C355/(B355*B355)</f>
        <v>19.921874999999996</v>
      </c>
      <c r="G355" t="str">
        <f t="shared" si="22"/>
        <v>Normal</v>
      </c>
      <c r="H355" t="str">
        <f t="shared" si="23"/>
        <v>OK</v>
      </c>
      <c r="I355" t="str">
        <f t="shared" si="20"/>
        <v>OK</v>
      </c>
    </row>
    <row r="356" spans="1:9" x14ac:dyDescent="0.2">
      <c r="A356" t="str">
        <f>ObesityDataSet_raw_and_data_sin!A356</f>
        <v>Female</v>
      </c>
      <c r="B356">
        <f>ObesityDataSet_raw_and_data_sin!C356</f>
        <v>1.6</v>
      </c>
      <c r="C356">
        <f>ObesityDataSet_raw_and_data_sin!D356</f>
        <v>59</v>
      </c>
      <c r="D356" t="str">
        <f>ObesityDataSet_raw_and_data_sin!Q356</f>
        <v>Normal_Weight</v>
      </c>
      <c r="E356" t="b">
        <f t="shared" si="21"/>
        <v>0</v>
      </c>
      <c r="F356">
        <f>C356/(B356*B356)</f>
        <v>23.046874999999996</v>
      </c>
      <c r="G356" t="str">
        <f t="shared" si="22"/>
        <v>Normal</v>
      </c>
      <c r="H356" t="str">
        <f t="shared" si="23"/>
        <v>OK</v>
      </c>
      <c r="I356" t="str">
        <f t="shared" si="20"/>
        <v>OK</v>
      </c>
    </row>
    <row r="357" spans="1:9" x14ac:dyDescent="0.2">
      <c r="A357" t="str">
        <f>ObesityDataSet_raw_and_data_sin!A357</f>
        <v>Female</v>
      </c>
      <c r="B357">
        <f>ObesityDataSet_raw_and_data_sin!C357</f>
        <v>1.55</v>
      </c>
      <c r="C357">
        <f>ObesityDataSet_raw_and_data_sin!D357</f>
        <v>62</v>
      </c>
      <c r="D357" t="str">
        <f>ObesityDataSet_raw_and_data_sin!Q357</f>
        <v>Overweight_Level_I</v>
      </c>
      <c r="E357" t="b">
        <f t="shared" si="21"/>
        <v>0</v>
      </c>
      <c r="F357">
        <f>C357/(B357*B357)</f>
        <v>25.806451612903224</v>
      </c>
      <c r="G357" t="str">
        <f t="shared" si="22"/>
        <v>Overweight</v>
      </c>
      <c r="H357" t="str">
        <f t="shared" si="23"/>
        <v>OK</v>
      </c>
      <c r="I357" t="str">
        <f t="shared" si="20"/>
        <v>OK</v>
      </c>
    </row>
    <row r="358" spans="1:9" x14ac:dyDescent="0.2">
      <c r="A358" t="str">
        <f>ObesityDataSet_raw_and_data_sin!A358</f>
        <v>Male</v>
      </c>
      <c r="B358">
        <f>ObesityDataSet_raw_and_data_sin!C358</f>
        <v>1.9</v>
      </c>
      <c r="C358">
        <f>ObesityDataSet_raw_and_data_sin!D358</f>
        <v>60</v>
      </c>
      <c r="D358" t="str">
        <f>ObesityDataSet_raw_and_data_sin!Q358</f>
        <v>Insufficient_Weight</v>
      </c>
      <c r="E358" t="b">
        <f t="shared" si="21"/>
        <v>0</v>
      </c>
      <c r="F358">
        <f>C358/(B358*B358)</f>
        <v>16.62049861495845</v>
      </c>
      <c r="G358" t="str">
        <f t="shared" si="22"/>
        <v>Normal</v>
      </c>
      <c r="H358" t="str">
        <f t="shared" si="23"/>
        <v>OK</v>
      </c>
      <c r="I358" t="str">
        <f t="shared" si="20"/>
        <v>OK</v>
      </c>
    </row>
    <row r="359" spans="1:9" x14ac:dyDescent="0.2">
      <c r="A359" t="str">
        <f>ObesityDataSet_raw_and_data_sin!A359</f>
        <v>Female</v>
      </c>
      <c r="B359">
        <f>ObesityDataSet_raw_and_data_sin!C359</f>
        <v>1.7</v>
      </c>
      <c r="C359">
        <f>ObesityDataSet_raw_and_data_sin!D359</f>
        <v>56</v>
      </c>
      <c r="D359" t="str">
        <f>ObesityDataSet_raw_and_data_sin!Q359</f>
        <v>Normal_Weight</v>
      </c>
      <c r="E359" t="b">
        <f t="shared" si="21"/>
        <v>0</v>
      </c>
      <c r="F359">
        <f>C359/(B359*B359)</f>
        <v>19.377162629757787</v>
      </c>
      <c r="G359" t="str">
        <f t="shared" si="22"/>
        <v>Normal</v>
      </c>
      <c r="H359" t="str">
        <f t="shared" si="23"/>
        <v>OK</v>
      </c>
      <c r="I359" t="str">
        <f t="shared" si="20"/>
        <v>OK</v>
      </c>
    </row>
    <row r="360" spans="1:9" x14ac:dyDescent="0.2">
      <c r="A360" t="str">
        <f>ObesityDataSet_raw_and_data_sin!A360</f>
        <v>Male</v>
      </c>
      <c r="B360">
        <f>ObesityDataSet_raw_and_data_sin!C360</f>
        <v>1.75</v>
      </c>
      <c r="C360">
        <f>ObesityDataSet_raw_and_data_sin!D360</f>
        <v>110</v>
      </c>
      <c r="D360" t="str">
        <f>ObesityDataSet_raw_and_data_sin!Q360</f>
        <v>Obesity_Type_II</v>
      </c>
      <c r="E360" t="b">
        <f t="shared" si="21"/>
        <v>0</v>
      </c>
      <c r="F360">
        <f>C360/(B360*B360)</f>
        <v>35.918367346938773</v>
      </c>
      <c r="G360" t="str">
        <f t="shared" si="22"/>
        <v>Obese</v>
      </c>
      <c r="H360" t="str">
        <f t="shared" si="23"/>
        <v>OK</v>
      </c>
      <c r="I360" t="str">
        <f t="shared" si="20"/>
        <v>OK</v>
      </c>
    </row>
    <row r="361" spans="1:9" x14ac:dyDescent="0.2">
      <c r="A361" t="str">
        <f>ObesityDataSet_raw_and_data_sin!A361</f>
        <v>Female</v>
      </c>
      <c r="B361">
        <f>ObesityDataSet_raw_and_data_sin!C361</f>
        <v>1.56</v>
      </c>
      <c r="C361">
        <f>ObesityDataSet_raw_and_data_sin!D361</f>
        <v>48</v>
      </c>
      <c r="D361" t="str">
        <f>ObesityDataSet_raw_and_data_sin!Q361</f>
        <v>Normal_Weight</v>
      </c>
      <c r="E361" t="b">
        <f t="shared" si="21"/>
        <v>0</v>
      </c>
      <c r="F361">
        <f>C361/(B361*B361)</f>
        <v>19.723865877712029</v>
      </c>
      <c r="G361" t="str">
        <f t="shared" si="22"/>
        <v>Normal</v>
      </c>
      <c r="H361" t="str">
        <f t="shared" si="23"/>
        <v>OK</v>
      </c>
      <c r="I361" t="str">
        <f t="shared" si="20"/>
        <v>OK</v>
      </c>
    </row>
    <row r="362" spans="1:9" x14ac:dyDescent="0.2">
      <c r="A362" t="str">
        <f>ObesityDataSet_raw_and_data_sin!A362</f>
        <v>Male</v>
      </c>
      <c r="B362">
        <f>ObesityDataSet_raw_and_data_sin!C362</f>
        <v>1.87</v>
      </c>
      <c r="C362">
        <f>ObesityDataSet_raw_and_data_sin!D362</f>
        <v>75</v>
      </c>
      <c r="D362" t="str">
        <f>ObesityDataSet_raw_and_data_sin!Q362</f>
        <v>Normal_Weight</v>
      </c>
      <c r="E362" t="b">
        <f t="shared" si="21"/>
        <v>0</v>
      </c>
      <c r="F362">
        <f>C362/(B362*B362)</f>
        <v>21.447567845806283</v>
      </c>
      <c r="G362" t="str">
        <f t="shared" si="22"/>
        <v>Normal</v>
      </c>
      <c r="H362" t="str">
        <f t="shared" si="23"/>
        <v>OK</v>
      </c>
      <c r="I362" t="str">
        <f t="shared" si="20"/>
        <v>OK</v>
      </c>
    </row>
    <row r="363" spans="1:9" x14ac:dyDescent="0.2">
      <c r="A363" t="str">
        <f>ObesityDataSet_raw_and_data_sin!A363</f>
        <v>Female</v>
      </c>
      <c r="B363">
        <f>ObesityDataSet_raw_and_data_sin!C363</f>
        <v>1.56</v>
      </c>
      <c r="C363">
        <f>ObesityDataSet_raw_and_data_sin!D363</f>
        <v>80</v>
      </c>
      <c r="D363" t="str">
        <f>ObesityDataSet_raw_and_data_sin!Q363</f>
        <v>Obesity_Type_I</v>
      </c>
      <c r="E363" t="b">
        <f t="shared" si="21"/>
        <v>0</v>
      </c>
      <c r="F363">
        <f>C363/(B363*B363)</f>
        <v>32.873109796186718</v>
      </c>
      <c r="G363" t="str">
        <f t="shared" si="22"/>
        <v>Obese</v>
      </c>
      <c r="H363" t="str">
        <f t="shared" si="23"/>
        <v>OK</v>
      </c>
      <c r="I363" t="str">
        <f t="shared" si="20"/>
        <v>OK</v>
      </c>
    </row>
    <row r="364" spans="1:9" x14ac:dyDescent="0.2">
      <c r="A364" t="str">
        <f>ObesityDataSet_raw_and_data_sin!A364</f>
        <v>Female</v>
      </c>
      <c r="B364">
        <f>ObesityDataSet_raw_and_data_sin!C364</f>
        <v>1.65</v>
      </c>
      <c r="C364">
        <f>ObesityDataSet_raw_and_data_sin!D364</f>
        <v>73</v>
      </c>
      <c r="D364" t="str">
        <f>ObesityDataSet_raw_and_data_sin!Q364</f>
        <v>Overweight_Level_I</v>
      </c>
      <c r="E364" t="b">
        <f t="shared" si="21"/>
        <v>0</v>
      </c>
      <c r="F364">
        <f>C364/(B364*B364)</f>
        <v>26.813590449954088</v>
      </c>
      <c r="G364" t="str">
        <f t="shared" si="22"/>
        <v>Overweight</v>
      </c>
      <c r="H364" t="str">
        <f t="shared" si="23"/>
        <v>OK</v>
      </c>
      <c r="I364" t="str">
        <f t="shared" si="20"/>
        <v>OK</v>
      </c>
    </row>
    <row r="365" spans="1:9" x14ac:dyDescent="0.2">
      <c r="A365" t="str">
        <f>ObesityDataSet_raw_and_data_sin!A365</f>
        <v>Male</v>
      </c>
      <c r="B365">
        <f>ObesityDataSet_raw_and_data_sin!C365</f>
        <v>1.8</v>
      </c>
      <c r="C365">
        <f>ObesityDataSet_raw_and_data_sin!D365</f>
        <v>80</v>
      </c>
      <c r="D365" t="str">
        <f>ObesityDataSet_raw_and_data_sin!Q365</f>
        <v>Normal_Weight</v>
      </c>
      <c r="E365" t="b">
        <f t="shared" si="21"/>
        <v>0</v>
      </c>
      <c r="F365">
        <f>C365/(B365*B365)</f>
        <v>24.691358024691358</v>
      </c>
      <c r="G365" t="str">
        <f t="shared" si="22"/>
        <v>Normal</v>
      </c>
      <c r="H365" t="str">
        <f t="shared" si="23"/>
        <v>OK</v>
      </c>
      <c r="I365" t="str">
        <f t="shared" si="20"/>
        <v>OK</v>
      </c>
    </row>
    <row r="366" spans="1:9" x14ac:dyDescent="0.2">
      <c r="A366" t="str">
        <f>ObesityDataSet_raw_and_data_sin!A366</f>
        <v>Male</v>
      </c>
      <c r="B366">
        <f>ObesityDataSet_raw_and_data_sin!C366</f>
        <v>1.84</v>
      </c>
      <c r="C366">
        <f>ObesityDataSet_raw_and_data_sin!D366</f>
        <v>86</v>
      </c>
      <c r="D366" t="str">
        <f>ObesityDataSet_raw_and_data_sin!Q366</f>
        <v>Overweight_Level_I</v>
      </c>
      <c r="E366" t="b">
        <f t="shared" si="21"/>
        <v>0</v>
      </c>
      <c r="F366">
        <f>C366/(B366*B366)</f>
        <v>25.401701323251416</v>
      </c>
      <c r="G366" t="str">
        <f t="shared" si="22"/>
        <v>Overweight</v>
      </c>
      <c r="H366" t="str">
        <f t="shared" si="23"/>
        <v>OK</v>
      </c>
      <c r="I366" t="str">
        <f t="shared" si="20"/>
        <v>OK</v>
      </c>
    </row>
    <row r="367" spans="1:9" x14ac:dyDescent="0.2">
      <c r="A367" t="str">
        <f>ObesityDataSet_raw_and_data_sin!A367</f>
        <v>Male</v>
      </c>
      <c r="B367">
        <f>ObesityDataSet_raw_and_data_sin!C367</f>
        <v>1.7</v>
      </c>
      <c r="C367">
        <f>ObesityDataSet_raw_and_data_sin!D367</f>
        <v>68</v>
      </c>
      <c r="D367" t="str">
        <f>ObesityDataSet_raw_and_data_sin!Q367</f>
        <v>Normal_Weight</v>
      </c>
      <c r="E367" t="b">
        <f t="shared" si="21"/>
        <v>0</v>
      </c>
      <c r="F367">
        <f>C367/(B367*B367)</f>
        <v>23.529411764705884</v>
      </c>
      <c r="G367" t="str">
        <f t="shared" si="22"/>
        <v>Normal</v>
      </c>
      <c r="H367" t="str">
        <f t="shared" si="23"/>
        <v>OK</v>
      </c>
      <c r="I367" t="str">
        <f t="shared" si="20"/>
        <v>OK</v>
      </c>
    </row>
    <row r="368" spans="1:9" x14ac:dyDescent="0.2">
      <c r="A368" t="str">
        <f>ObesityDataSet_raw_and_data_sin!A368</f>
        <v>Male</v>
      </c>
      <c r="B368">
        <f>ObesityDataSet_raw_and_data_sin!C368</f>
        <v>1.72</v>
      </c>
      <c r="C368">
        <f>ObesityDataSet_raw_and_data_sin!D368</f>
        <v>83</v>
      </c>
      <c r="D368" t="str">
        <f>ObesityDataSet_raw_and_data_sin!Q368</f>
        <v>Overweight_Level_II</v>
      </c>
      <c r="E368" t="b">
        <f t="shared" si="21"/>
        <v>0</v>
      </c>
      <c r="F368">
        <f>C368/(B368*B368)</f>
        <v>28.055705786911847</v>
      </c>
      <c r="G368" t="str">
        <f t="shared" si="22"/>
        <v>Overweight</v>
      </c>
      <c r="H368" t="str">
        <f t="shared" si="23"/>
        <v>OK</v>
      </c>
      <c r="I368" t="str">
        <f t="shared" si="20"/>
        <v>OK</v>
      </c>
    </row>
    <row r="369" spans="1:9" x14ac:dyDescent="0.2">
      <c r="A369" t="str">
        <f>ObesityDataSet_raw_and_data_sin!A369</f>
        <v>Female</v>
      </c>
      <c r="B369">
        <f>ObesityDataSet_raw_and_data_sin!C369</f>
        <v>1.58</v>
      </c>
      <c r="C369">
        <f>ObesityDataSet_raw_and_data_sin!D369</f>
        <v>63</v>
      </c>
      <c r="D369" t="str">
        <f>ObesityDataSet_raw_and_data_sin!Q369</f>
        <v>Overweight_Level_I</v>
      </c>
      <c r="E369" t="b">
        <f t="shared" si="21"/>
        <v>0</v>
      </c>
      <c r="F369">
        <f>C369/(B369*B369)</f>
        <v>25.236340330075304</v>
      </c>
      <c r="G369" t="str">
        <f t="shared" si="22"/>
        <v>Overweight</v>
      </c>
      <c r="H369" t="str">
        <f t="shared" si="23"/>
        <v>OK</v>
      </c>
      <c r="I369" t="str">
        <f t="shared" si="20"/>
        <v>OK</v>
      </c>
    </row>
    <row r="370" spans="1:9" x14ac:dyDescent="0.2">
      <c r="A370" t="str">
        <f>ObesityDataSet_raw_and_data_sin!A370</f>
        <v>Female</v>
      </c>
      <c r="B370">
        <f>ObesityDataSet_raw_and_data_sin!C370</f>
        <v>1.68</v>
      </c>
      <c r="C370">
        <f>ObesityDataSet_raw_and_data_sin!D370</f>
        <v>83</v>
      </c>
      <c r="D370" t="str">
        <f>ObesityDataSet_raw_and_data_sin!Q370</f>
        <v>Overweight_Level_II</v>
      </c>
      <c r="E370" t="b">
        <f t="shared" si="21"/>
        <v>0</v>
      </c>
      <c r="F370">
        <f>C370/(B370*B370)</f>
        <v>29.407596371882089</v>
      </c>
      <c r="G370" t="str">
        <f t="shared" si="22"/>
        <v>Overweight</v>
      </c>
      <c r="H370" t="str">
        <f t="shared" si="23"/>
        <v>OK</v>
      </c>
      <c r="I370" t="str">
        <f t="shared" si="20"/>
        <v>OK</v>
      </c>
    </row>
    <row r="371" spans="1:9" x14ac:dyDescent="0.2">
      <c r="A371" t="str">
        <f>ObesityDataSet_raw_and_data_sin!A371</f>
        <v>Male</v>
      </c>
      <c r="B371">
        <f>ObesityDataSet_raw_and_data_sin!C371</f>
        <v>1.58</v>
      </c>
      <c r="C371">
        <f>ObesityDataSet_raw_and_data_sin!D371</f>
        <v>74</v>
      </c>
      <c r="D371" t="str">
        <f>ObesityDataSet_raw_and_data_sin!Q371</f>
        <v>Overweight_Level_II</v>
      </c>
      <c r="E371" t="b">
        <f t="shared" si="21"/>
        <v>1</v>
      </c>
      <c r="F371">
        <f>C371/(B371*B371)</f>
        <v>29.642685467072578</v>
      </c>
      <c r="G371" t="str">
        <f t="shared" si="22"/>
        <v>Obese</v>
      </c>
      <c r="H371" t="str">
        <f t="shared" si="23"/>
        <v>OK</v>
      </c>
      <c r="I371" t="str">
        <f t="shared" si="20"/>
        <v>ERROR</v>
      </c>
    </row>
    <row r="372" spans="1:9" x14ac:dyDescent="0.2">
      <c r="A372" t="str">
        <f>ObesityDataSet_raw_and_data_sin!A372</f>
        <v>Male</v>
      </c>
      <c r="B372">
        <f>ObesityDataSet_raw_and_data_sin!C372</f>
        <v>1.8</v>
      </c>
      <c r="C372">
        <f>ObesityDataSet_raw_and_data_sin!D372</f>
        <v>60</v>
      </c>
      <c r="D372" t="str">
        <f>ObesityDataSet_raw_and_data_sin!Q372</f>
        <v>Normal_Weight</v>
      </c>
      <c r="E372" t="b">
        <f t="shared" si="21"/>
        <v>0</v>
      </c>
      <c r="F372">
        <f>C372/(B372*B372)</f>
        <v>18.518518518518519</v>
      </c>
      <c r="G372" t="str">
        <f t="shared" si="22"/>
        <v>Normal</v>
      </c>
      <c r="H372" t="str">
        <f t="shared" si="23"/>
        <v>OK</v>
      </c>
      <c r="I372" t="str">
        <f t="shared" si="20"/>
        <v>OK</v>
      </c>
    </row>
    <row r="373" spans="1:9" x14ac:dyDescent="0.2">
      <c r="A373" t="str">
        <f>ObesityDataSet_raw_and_data_sin!A373</f>
        <v>Male</v>
      </c>
      <c r="B373">
        <f>ObesityDataSet_raw_and_data_sin!C373</f>
        <v>1.62</v>
      </c>
      <c r="C373">
        <f>ObesityDataSet_raw_and_data_sin!D373</f>
        <v>69</v>
      </c>
      <c r="D373" t="str">
        <f>ObesityDataSet_raw_and_data_sin!Q373</f>
        <v>Overweight_Level_I</v>
      </c>
      <c r="E373" t="b">
        <f t="shared" si="21"/>
        <v>0</v>
      </c>
      <c r="F373">
        <f>C373/(B373*B373)</f>
        <v>26.291723822588015</v>
      </c>
      <c r="G373" t="str">
        <f t="shared" si="22"/>
        <v>Overweight</v>
      </c>
      <c r="H373" t="str">
        <f t="shared" si="23"/>
        <v>OK</v>
      </c>
      <c r="I373" t="str">
        <f t="shared" si="20"/>
        <v>OK</v>
      </c>
    </row>
    <row r="374" spans="1:9" x14ac:dyDescent="0.2">
      <c r="A374" t="str">
        <f>ObesityDataSet_raw_and_data_sin!A374</f>
        <v>Female</v>
      </c>
      <c r="B374">
        <f>ObesityDataSet_raw_and_data_sin!C374</f>
        <v>1.62</v>
      </c>
      <c r="C374">
        <f>ObesityDataSet_raw_and_data_sin!D374</f>
        <v>58</v>
      </c>
      <c r="D374" t="str">
        <f>ObesityDataSet_raw_and_data_sin!Q374</f>
        <v>Normal_Weight</v>
      </c>
      <c r="E374" t="b">
        <f t="shared" si="21"/>
        <v>0</v>
      </c>
      <c r="F374">
        <f>C374/(B374*B374)</f>
        <v>22.10028959000152</v>
      </c>
      <c r="G374" t="str">
        <f t="shared" si="22"/>
        <v>Normal</v>
      </c>
      <c r="H374" t="str">
        <f t="shared" si="23"/>
        <v>OK</v>
      </c>
      <c r="I374" t="str">
        <f t="shared" si="20"/>
        <v>OK</v>
      </c>
    </row>
    <row r="375" spans="1:9" x14ac:dyDescent="0.2">
      <c r="A375" t="str">
        <f>ObesityDataSet_raw_and_data_sin!A375</f>
        <v>Female</v>
      </c>
      <c r="B375">
        <f>ObesityDataSet_raw_and_data_sin!C375</f>
        <v>1.54</v>
      </c>
      <c r="C375">
        <f>ObesityDataSet_raw_and_data_sin!D375</f>
        <v>56</v>
      </c>
      <c r="D375" t="str">
        <f>ObesityDataSet_raw_and_data_sin!Q375</f>
        <v>Normal_Weight</v>
      </c>
      <c r="E375" t="b">
        <f t="shared" si="21"/>
        <v>0</v>
      </c>
      <c r="F375">
        <f>C375/(B375*B375)</f>
        <v>23.61275088547816</v>
      </c>
      <c r="G375" t="str">
        <f t="shared" si="22"/>
        <v>Normal</v>
      </c>
      <c r="H375" t="str">
        <f t="shared" si="23"/>
        <v>OK</v>
      </c>
      <c r="I375" t="str">
        <f t="shared" si="20"/>
        <v>OK</v>
      </c>
    </row>
    <row r="376" spans="1:9" x14ac:dyDescent="0.2">
      <c r="A376" t="str">
        <f>ObesityDataSet_raw_and_data_sin!A376</f>
        <v>Male</v>
      </c>
      <c r="B376">
        <f>ObesityDataSet_raw_and_data_sin!C376</f>
        <v>1.76</v>
      </c>
      <c r="C376">
        <f>ObesityDataSet_raw_and_data_sin!D376</f>
        <v>70</v>
      </c>
      <c r="D376" t="str">
        <f>ObesityDataSet_raw_and_data_sin!Q376</f>
        <v>Normal_Weight</v>
      </c>
      <c r="E376" t="b">
        <f t="shared" si="21"/>
        <v>0</v>
      </c>
      <c r="F376">
        <f>C376/(B376*B376)</f>
        <v>22.598140495867771</v>
      </c>
      <c r="G376" t="str">
        <f t="shared" si="22"/>
        <v>Normal</v>
      </c>
      <c r="H376" t="str">
        <f t="shared" si="23"/>
        <v>OK</v>
      </c>
      <c r="I376" t="str">
        <f t="shared" si="20"/>
        <v>OK</v>
      </c>
    </row>
    <row r="377" spans="1:9" x14ac:dyDescent="0.2">
      <c r="A377" t="str">
        <f>ObesityDataSet_raw_and_data_sin!A377</f>
        <v>Male</v>
      </c>
      <c r="B377">
        <f>ObesityDataSet_raw_and_data_sin!C377</f>
        <v>1.8</v>
      </c>
      <c r="C377">
        <f>ObesityDataSet_raw_and_data_sin!D377</f>
        <v>92</v>
      </c>
      <c r="D377" t="str">
        <f>ObesityDataSet_raw_and_data_sin!Q377</f>
        <v>Overweight_Level_II</v>
      </c>
      <c r="E377" t="b">
        <f t="shared" si="21"/>
        <v>0</v>
      </c>
      <c r="F377">
        <f>C377/(B377*B377)</f>
        <v>28.39506172839506</v>
      </c>
      <c r="G377" t="str">
        <f t="shared" si="22"/>
        <v>Overweight</v>
      </c>
      <c r="H377" t="str">
        <f t="shared" si="23"/>
        <v>OK</v>
      </c>
      <c r="I377" t="str">
        <f t="shared" si="20"/>
        <v>OK</v>
      </c>
    </row>
    <row r="378" spans="1:9" x14ac:dyDescent="0.2">
      <c r="A378" t="str">
        <f>ObesityDataSet_raw_and_data_sin!A378</f>
        <v>Female</v>
      </c>
      <c r="B378">
        <f>ObesityDataSet_raw_and_data_sin!C378</f>
        <v>1.58</v>
      </c>
      <c r="C378">
        <f>ObesityDataSet_raw_and_data_sin!D378</f>
        <v>60</v>
      </c>
      <c r="D378" t="str">
        <f>ObesityDataSet_raw_and_data_sin!Q378</f>
        <v>Normal_Weight</v>
      </c>
      <c r="E378" t="b">
        <f t="shared" si="21"/>
        <v>0</v>
      </c>
      <c r="F378">
        <f>C378/(B378*B378)</f>
        <v>24.034609838166958</v>
      </c>
      <c r="G378" t="str">
        <f t="shared" si="22"/>
        <v>Normal</v>
      </c>
      <c r="H378" t="str">
        <f t="shared" si="23"/>
        <v>OK</v>
      </c>
      <c r="I378" t="str">
        <f t="shared" si="20"/>
        <v>OK</v>
      </c>
    </row>
    <row r="379" spans="1:9" x14ac:dyDescent="0.2">
      <c r="A379" t="str">
        <f>ObesityDataSet_raw_and_data_sin!A379</f>
        <v>Male</v>
      </c>
      <c r="B379">
        <f>ObesityDataSet_raw_and_data_sin!C379</f>
        <v>1.76</v>
      </c>
      <c r="C379">
        <f>ObesityDataSet_raw_and_data_sin!D379</f>
        <v>68</v>
      </c>
      <c r="D379" t="str">
        <f>ObesityDataSet_raw_and_data_sin!Q379</f>
        <v>Normal_Weight</v>
      </c>
      <c r="E379" t="b">
        <f t="shared" si="21"/>
        <v>0</v>
      </c>
      <c r="F379">
        <f>C379/(B379*B379)</f>
        <v>21.952479338842977</v>
      </c>
      <c r="G379" t="str">
        <f t="shared" si="22"/>
        <v>Normal</v>
      </c>
      <c r="H379" t="str">
        <f t="shared" si="23"/>
        <v>OK</v>
      </c>
      <c r="I379" t="str">
        <f t="shared" si="20"/>
        <v>OK</v>
      </c>
    </row>
    <row r="380" spans="1:9" x14ac:dyDescent="0.2">
      <c r="A380" t="str">
        <f>ObesityDataSet_raw_and_data_sin!A380</f>
        <v>Male</v>
      </c>
      <c r="B380">
        <f>ObesityDataSet_raw_and_data_sin!C380</f>
        <v>1.73</v>
      </c>
      <c r="C380">
        <f>ObesityDataSet_raw_and_data_sin!D380</f>
        <v>70</v>
      </c>
      <c r="D380" t="str">
        <f>ObesityDataSet_raw_and_data_sin!Q380</f>
        <v>Normal_Weight</v>
      </c>
      <c r="E380" t="b">
        <f t="shared" si="21"/>
        <v>0</v>
      </c>
      <c r="F380">
        <f>C380/(B380*B380)</f>
        <v>23.388686558187711</v>
      </c>
      <c r="G380" t="str">
        <f t="shared" si="22"/>
        <v>Normal</v>
      </c>
      <c r="H380" t="str">
        <f t="shared" si="23"/>
        <v>OK</v>
      </c>
      <c r="I380" t="str">
        <f t="shared" si="20"/>
        <v>OK</v>
      </c>
    </row>
    <row r="381" spans="1:9" x14ac:dyDescent="0.2">
      <c r="A381" t="str">
        <f>ObesityDataSet_raw_and_data_sin!A381</f>
        <v>Male</v>
      </c>
      <c r="B381">
        <f>ObesityDataSet_raw_and_data_sin!C381</f>
        <v>1.7</v>
      </c>
      <c r="C381">
        <f>ObesityDataSet_raw_and_data_sin!D381</f>
        <v>70</v>
      </c>
      <c r="D381" t="str">
        <f>ObesityDataSet_raw_and_data_sin!Q381</f>
        <v>Normal_Weight</v>
      </c>
      <c r="E381" t="b">
        <f t="shared" si="21"/>
        <v>0</v>
      </c>
      <c r="F381">
        <f>C381/(B381*B381)</f>
        <v>24.221453287197235</v>
      </c>
      <c r="G381" t="str">
        <f t="shared" si="22"/>
        <v>Normal</v>
      </c>
      <c r="H381" t="str">
        <f t="shared" si="23"/>
        <v>OK</v>
      </c>
      <c r="I381" t="str">
        <f t="shared" si="20"/>
        <v>OK</v>
      </c>
    </row>
    <row r="382" spans="1:9" x14ac:dyDescent="0.2">
      <c r="A382" t="str">
        <f>ObesityDataSet_raw_and_data_sin!A382</f>
        <v>Male</v>
      </c>
      <c r="B382">
        <f>ObesityDataSet_raw_and_data_sin!C382</f>
        <v>1.7</v>
      </c>
      <c r="C382">
        <f>ObesityDataSet_raw_and_data_sin!D382</f>
        <v>83</v>
      </c>
      <c r="D382" t="str">
        <f>ObesityDataSet_raw_and_data_sin!Q382</f>
        <v>Overweight_Level_II</v>
      </c>
      <c r="E382" t="b">
        <f t="shared" si="21"/>
        <v>0</v>
      </c>
      <c r="F382">
        <f>C382/(B382*B382)</f>
        <v>28.719723183391007</v>
      </c>
      <c r="G382" t="str">
        <f t="shared" si="22"/>
        <v>Overweight</v>
      </c>
      <c r="H382" t="str">
        <f t="shared" si="23"/>
        <v>OK</v>
      </c>
      <c r="I382" t="str">
        <f t="shared" si="20"/>
        <v>OK</v>
      </c>
    </row>
    <row r="383" spans="1:9" x14ac:dyDescent="0.2">
      <c r="A383" t="str">
        <f>ObesityDataSet_raw_and_data_sin!A383</f>
        <v>Male</v>
      </c>
      <c r="B383">
        <f>ObesityDataSet_raw_and_data_sin!C383</f>
        <v>1.8</v>
      </c>
      <c r="C383">
        <f>ObesityDataSet_raw_and_data_sin!D383</f>
        <v>75</v>
      </c>
      <c r="D383" t="str">
        <f>ObesityDataSet_raw_and_data_sin!Q383</f>
        <v>Normal_Weight</v>
      </c>
      <c r="E383" t="b">
        <f t="shared" si="21"/>
        <v>0</v>
      </c>
      <c r="F383">
        <f>C383/(B383*B383)</f>
        <v>23.148148148148145</v>
      </c>
      <c r="G383" t="str">
        <f t="shared" si="22"/>
        <v>Normal</v>
      </c>
      <c r="H383" t="str">
        <f t="shared" si="23"/>
        <v>OK</v>
      </c>
      <c r="I383" t="str">
        <f t="shared" si="20"/>
        <v>OK</v>
      </c>
    </row>
    <row r="384" spans="1:9" x14ac:dyDescent="0.2">
      <c r="A384" t="str">
        <f>ObesityDataSet_raw_and_data_sin!A384</f>
        <v>Female</v>
      </c>
      <c r="B384">
        <f>ObesityDataSet_raw_and_data_sin!C384</f>
        <v>1.6</v>
      </c>
      <c r="C384">
        <f>ObesityDataSet_raw_and_data_sin!D384</f>
        <v>56</v>
      </c>
      <c r="D384" t="str">
        <f>ObesityDataSet_raw_and_data_sin!Q384</f>
        <v>Normal_Weight</v>
      </c>
      <c r="E384" t="b">
        <f t="shared" si="21"/>
        <v>0</v>
      </c>
      <c r="F384">
        <f>C384/(B384*B384)</f>
        <v>21.874999999999996</v>
      </c>
      <c r="G384" t="str">
        <f t="shared" si="22"/>
        <v>Normal</v>
      </c>
      <c r="H384" t="str">
        <f t="shared" si="23"/>
        <v>OK</v>
      </c>
      <c r="I384" t="str">
        <f t="shared" si="20"/>
        <v>OK</v>
      </c>
    </row>
    <row r="385" spans="1:9" x14ac:dyDescent="0.2">
      <c r="A385" t="str">
        <f>ObesityDataSet_raw_and_data_sin!A385</f>
        <v>Male</v>
      </c>
      <c r="B385">
        <f>ObesityDataSet_raw_and_data_sin!C385</f>
        <v>1.7</v>
      </c>
      <c r="C385">
        <f>ObesityDataSet_raw_and_data_sin!D385</f>
        <v>98</v>
      </c>
      <c r="D385" t="str">
        <f>ObesityDataSet_raw_and_data_sin!Q385</f>
        <v>Obesity_Type_I</v>
      </c>
      <c r="E385" t="b">
        <f t="shared" si="21"/>
        <v>0</v>
      </c>
      <c r="F385">
        <f>C385/(B385*B385)</f>
        <v>33.910034602076131</v>
      </c>
      <c r="G385" t="str">
        <f t="shared" si="22"/>
        <v>Obese</v>
      </c>
      <c r="H385" t="str">
        <f t="shared" si="23"/>
        <v>OK</v>
      </c>
      <c r="I385" t="str">
        <f t="shared" si="20"/>
        <v>OK</v>
      </c>
    </row>
    <row r="386" spans="1:9" x14ac:dyDescent="0.2">
      <c r="A386" t="str">
        <f>ObesityDataSet_raw_and_data_sin!A386</f>
        <v>Female</v>
      </c>
      <c r="B386">
        <f>ObesityDataSet_raw_and_data_sin!C386</f>
        <v>1.6</v>
      </c>
      <c r="C386">
        <f>ObesityDataSet_raw_and_data_sin!D386</f>
        <v>60</v>
      </c>
      <c r="D386" t="str">
        <f>ObesityDataSet_raw_and_data_sin!Q386</f>
        <v>Normal_Weight</v>
      </c>
      <c r="E386" t="b">
        <f t="shared" si="21"/>
        <v>0</v>
      </c>
      <c r="F386">
        <f>C386/(B386*B386)</f>
        <v>23.437499999999996</v>
      </c>
      <c r="G386" t="str">
        <f t="shared" si="22"/>
        <v>Normal</v>
      </c>
      <c r="H386" t="str">
        <f t="shared" si="23"/>
        <v>OK</v>
      </c>
      <c r="I386" t="str">
        <f t="shared" ref="I386:I449" si="24">IF(AND(LEFT(D386,10)="Overweight",G386&lt;&gt;"Overweight"),"ERROR","OK")</f>
        <v>OK</v>
      </c>
    </row>
    <row r="387" spans="1:9" x14ac:dyDescent="0.2">
      <c r="A387" t="str">
        <f>ObesityDataSet_raw_and_data_sin!A387</f>
        <v>Female</v>
      </c>
      <c r="B387">
        <f>ObesityDataSet_raw_and_data_sin!C387</f>
        <v>1.55</v>
      </c>
      <c r="C387">
        <f>ObesityDataSet_raw_and_data_sin!D387</f>
        <v>45</v>
      </c>
      <c r="D387" t="str">
        <f>ObesityDataSet_raw_and_data_sin!Q387</f>
        <v>Normal_Weight</v>
      </c>
      <c r="E387" t="b">
        <f t="shared" ref="E387:E450" si="25">IF(AND(A387="Female", B387&lt;1.5), TRUE, IF(AND(A387="Male",B387&lt;1.6),TRUE, FALSE))</f>
        <v>0</v>
      </c>
      <c r="F387">
        <f>C387/(B387*B387)</f>
        <v>18.730489073881373</v>
      </c>
      <c r="G387" t="str">
        <f t="shared" ref="G387:G450" si="26">IF(E387=TRUE,IF(F387&lt;23,"Normal",IF(F387&lt;25,"Overweight","Obese")),IF(F387&lt;25,"Normal",IF(F387&lt;30,"Overweight","Obese")))</f>
        <v>Normal</v>
      </c>
      <c r="H387" t="str">
        <f t="shared" ref="H387:H450" si="27">IF(AND(D387="Normal_Weight",G387&lt;&gt;"Normal"),"ERROR","OK")</f>
        <v>OK</v>
      </c>
      <c r="I387" t="str">
        <f t="shared" si="24"/>
        <v>OK</v>
      </c>
    </row>
    <row r="388" spans="1:9" x14ac:dyDescent="0.2">
      <c r="A388" t="str">
        <f>ObesityDataSet_raw_and_data_sin!A388</f>
        <v>Female</v>
      </c>
      <c r="B388">
        <f>ObesityDataSet_raw_and_data_sin!C388</f>
        <v>1.59</v>
      </c>
      <c r="C388">
        <f>ObesityDataSet_raw_and_data_sin!D388</f>
        <v>53</v>
      </c>
      <c r="D388" t="str">
        <f>ObesityDataSet_raw_and_data_sin!Q388</f>
        <v>Normal_Weight</v>
      </c>
      <c r="E388" t="b">
        <f t="shared" si="25"/>
        <v>0</v>
      </c>
      <c r="F388">
        <f>C388/(B388*B388)</f>
        <v>20.964360587002094</v>
      </c>
      <c r="G388" t="str">
        <f t="shared" si="26"/>
        <v>Normal</v>
      </c>
      <c r="H388" t="str">
        <f t="shared" si="27"/>
        <v>OK</v>
      </c>
      <c r="I388" t="str">
        <f t="shared" si="24"/>
        <v>OK</v>
      </c>
    </row>
    <row r="389" spans="1:9" x14ac:dyDescent="0.2">
      <c r="A389" t="str">
        <f>ObesityDataSet_raw_and_data_sin!A389</f>
        <v>Female</v>
      </c>
      <c r="B389">
        <f>ObesityDataSet_raw_and_data_sin!C389</f>
        <v>1.5</v>
      </c>
      <c r="C389">
        <f>ObesityDataSet_raw_and_data_sin!D389</f>
        <v>75</v>
      </c>
      <c r="D389" t="str">
        <f>ObesityDataSet_raw_and_data_sin!Q389</f>
        <v>Obesity_Type_I</v>
      </c>
      <c r="E389" t="b">
        <f t="shared" si="25"/>
        <v>0</v>
      </c>
      <c r="F389">
        <f>C389/(B389*B389)</f>
        <v>33.333333333333336</v>
      </c>
      <c r="G389" t="str">
        <f t="shared" si="26"/>
        <v>Obese</v>
      </c>
      <c r="H389" t="str">
        <f t="shared" si="27"/>
        <v>OK</v>
      </c>
      <c r="I389" t="str">
        <f t="shared" si="24"/>
        <v>OK</v>
      </c>
    </row>
    <row r="390" spans="1:9" x14ac:dyDescent="0.2">
      <c r="A390" t="str">
        <f>ObesityDataSet_raw_and_data_sin!A390</f>
        <v>Male</v>
      </c>
      <c r="B390">
        <f>ObesityDataSet_raw_and_data_sin!C390</f>
        <v>1.78</v>
      </c>
      <c r="C390">
        <f>ObesityDataSet_raw_and_data_sin!D390</f>
        <v>108</v>
      </c>
      <c r="D390" t="str">
        <f>ObesityDataSet_raw_and_data_sin!Q390</f>
        <v>Obesity_Type_I</v>
      </c>
      <c r="E390" t="b">
        <f t="shared" si="25"/>
        <v>0</v>
      </c>
      <c r="F390">
        <f>C390/(B390*B390)</f>
        <v>34.086605226612804</v>
      </c>
      <c r="G390" t="str">
        <f t="shared" si="26"/>
        <v>Obese</v>
      </c>
      <c r="H390" t="str">
        <f t="shared" si="27"/>
        <v>OK</v>
      </c>
      <c r="I390" t="str">
        <f t="shared" si="24"/>
        <v>OK</v>
      </c>
    </row>
    <row r="391" spans="1:9" x14ac:dyDescent="0.2">
      <c r="A391" t="str">
        <f>ObesityDataSet_raw_and_data_sin!A391</f>
        <v>Female</v>
      </c>
      <c r="B391">
        <f>ObesityDataSet_raw_and_data_sin!C391</f>
        <v>1.61</v>
      </c>
      <c r="C391">
        <f>ObesityDataSet_raw_and_data_sin!D391</f>
        <v>65</v>
      </c>
      <c r="D391" t="str">
        <f>ObesityDataSet_raw_and_data_sin!Q391</f>
        <v>Overweight_Level_I</v>
      </c>
      <c r="E391" t="b">
        <f t="shared" si="25"/>
        <v>0</v>
      </c>
      <c r="F391">
        <f>C391/(B391*B391)</f>
        <v>25.076193048107708</v>
      </c>
      <c r="G391" t="str">
        <f t="shared" si="26"/>
        <v>Overweight</v>
      </c>
      <c r="H391" t="str">
        <f t="shared" si="27"/>
        <v>OK</v>
      </c>
      <c r="I391" t="str">
        <f t="shared" si="24"/>
        <v>OK</v>
      </c>
    </row>
    <row r="392" spans="1:9" x14ac:dyDescent="0.2">
      <c r="A392" t="str">
        <f>ObesityDataSet_raw_and_data_sin!A392</f>
        <v>Male</v>
      </c>
      <c r="B392">
        <f>ObesityDataSet_raw_and_data_sin!C392</f>
        <v>1.71</v>
      </c>
      <c r="C392">
        <f>ObesityDataSet_raw_and_data_sin!D392</f>
        <v>50</v>
      </c>
      <c r="D392" t="str">
        <f>ObesityDataSet_raw_and_data_sin!Q392</f>
        <v>Insufficient_Weight</v>
      </c>
      <c r="E392" t="b">
        <f t="shared" si="25"/>
        <v>0</v>
      </c>
      <c r="F392">
        <f>C392/(B392*B392)</f>
        <v>17.099278410451081</v>
      </c>
      <c r="G392" t="str">
        <f t="shared" si="26"/>
        <v>Normal</v>
      </c>
      <c r="H392" t="str">
        <f t="shared" si="27"/>
        <v>OK</v>
      </c>
      <c r="I392" t="str">
        <f t="shared" si="24"/>
        <v>OK</v>
      </c>
    </row>
    <row r="393" spans="1:9" x14ac:dyDescent="0.2">
      <c r="A393" t="str">
        <f>ObesityDataSet_raw_and_data_sin!A393</f>
        <v>Female</v>
      </c>
      <c r="B393">
        <f>ObesityDataSet_raw_and_data_sin!C393</f>
        <v>1.7</v>
      </c>
      <c r="C393">
        <f>ObesityDataSet_raw_and_data_sin!D393</f>
        <v>50</v>
      </c>
      <c r="D393" t="str">
        <f>ObesityDataSet_raw_and_data_sin!Q393</f>
        <v>Insufficient_Weight</v>
      </c>
      <c r="E393" t="b">
        <f t="shared" si="25"/>
        <v>0</v>
      </c>
      <c r="F393">
        <f>C393/(B393*B393)</f>
        <v>17.301038062283737</v>
      </c>
      <c r="G393" t="str">
        <f t="shared" si="26"/>
        <v>Normal</v>
      </c>
      <c r="H393" t="str">
        <f t="shared" si="27"/>
        <v>OK</v>
      </c>
      <c r="I393" t="str">
        <f t="shared" si="24"/>
        <v>OK</v>
      </c>
    </row>
    <row r="394" spans="1:9" x14ac:dyDescent="0.2">
      <c r="A394" t="str">
        <f>ObesityDataSet_raw_and_data_sin!A394</f>
        <v>Male</v>
      </c>
      <c r="B394">
        <f>ObesityDataSet_raw_and_data_sin!C394</f>
        <v>1.76</v>
      </c>
      <c r="C394">
        <f>ObesityDataSet_raw_and_data_sin!D394</f>
        <v>69.5</v>
      </c>
      <c r="D394" t="str">
        <f>ObesityDataSet_raw_and_data_sin!Q394</f>
        <v>Normal_Weight</v>
      </c>
      <c r="E394" t="b">
        <f t="shared" si="25"/>
        <v>0</v>
      </c>
      <c r="F394">
        <f>C394/(B394*B394)</f>
        <v>22.43672520661157</v>
      </c>
      <c r="G394" t="str">
        <f t="shared" si="26"/>
        <v>Normal</v>
      </c>
      <c r="H394" t="str">
        <f t="shared" si="27"/>
        <v>OK</v>
      </c>
      <c r="I394" t="str">
        <f t="shared" si="24"/>
        <v>OK</v>
      </c>
    </row>
    <row r="395" spans="1:9" x14ac:dyDescent="0.2">
      <c r="A395" t="str">
        <f>ObesityDataSet_raw_and_data_sin!A395</f>
        <v>Male</v>
      </c>
      <c r="B395">
        <f>ObesityDataSet_raw_and_data_sin!C395</f>
        <v>1.7</v>
      </c>
      <c r="C395">
        <f>ObesityDataSet_raw_and_data_sin!D395</f>
        <v>78</v>
      </c>
      <c r="D395" t="str">
        <f>ObesityDataSet_raw_and_data_sin!Q395</f>
        <v>Overweight_Level_II</v>
      </c>
      <c r="E395" t="b">
        <f t="shared" si="25"/>
        <v>0</v>
      </c>
      <c r="F395">
        <f>C395/(B395*B395)</f>
        <v>26.989619377162633</v>
      </c>
      <c r="G395" t="str">
        <f t="shared" si="26"/>
        <v>Overweight</v>
      </c>
      <c r="H395" t="str">
        <f t="shared" si="27"/>
        <v>OK</v>
      </c>
      <c r="I395" t="str">
        <f t="shared" si="24"/>
        <v>OK</v>
      </c>
    </row>
    <row r="396" spans="1:9" x14ac:dyDescent="0.2">
      <c r="A396" t="str">
        <f>ObesityDataSet_raw_and_data_sin!A396</f>
        <v>Female</v>
      </c>
      <c r="B396">
        <f>ObesityDataSet_raw_and_data_sin!C396</f>
        <v>1.53</v>
      </c>
      <c r="C396">
        <f>ObesityDataSet_raw_and_data_sin!D396</f>
        <v>55</v>
      </c>
      <c r="D396" t="str">
        <f>ObesityDataSet_raw_and_data_sin!Q396</f>
        <v>Normal_Weight</v>
      </c>
      <c r="E396" t="b">
        <f t="shared" si="25"/>
        <v>0</v>
      </c>
      <c r="F396">
        <f>C396/(B396*B396)</f>
        <v>23.495236874706311</v>
      </c>
      <c r="G396" t="str">
        <f t="shared" si="26"/>
        <v>Normal</v>
      </c>
      <c r="H396" t="str">
        <f t="shared" si="27"/>
        <v>OK</v>
      </c>
      <c r="I396" t="str">
        <f t="shared" si="24"/>
        <v>OK</v>
      </c>
    </row>
    <row r="397" spans="1:9" x14ac:dyDescent="0.2">
      <c r="A397" t="str">
        <f>ObesityDataSet_raw_and_data_sin!A397</f>
        <v>Female</v>
      </c>
      <c r="B397">
        <f>ObesityDataSet_raw_and_data_sin!C397</f>
        <v>1.54</v>
      </c>
      <c r="C397">
        <f>ObesityDataSet_raw_and_data_sin!D397</f>
        <v>39</v>
      </c>
      <c r="D397" t="str">
        <f>ObesityDataSet_raw_and_data_sin!Q397</f>
        <v>Insufficient_Weight</v>
      </c>
      <c r="E397" t="b">
        <f t="shared" si="25"/>
        <v>0</v>
      </c>
      <c r="F397">
        <f>C397/(B397*B397)</f>
        <v>16.444594366672288</v>
      </c>
      <c r="G397" t="str">
        <f t="shared" si="26"/>
        <v>Normal</v>
      </c>
      <c r="H397" t="str">
        <f t="shared" si="27"/>
        <v>OK</v>
      </c>
      <c r="I397" t="str">
        <f t="shared" si="24"/>
        <v>OK</v>
      </c>
    </row>
    <row r="398" spans="1:9" x14ac:dyDescent="0.2">
      <c r="A398" t="str">
        <f>ObesityDataSet_raw_and_data_sin!A398</f>
        <v>Female</v>
      </c>
      <c r="B398">
        <f>ObesityDataSet_raw_and_data_sin!C398</f>
        <v>1.55</v>
      </c>
      <c r="C398">
        <f>ObesityDataSet_raw_and_data_sin!D398</f>
        <v>59</v>
      </c>
      <c r="D398" t="str">
        <f>ObesityDataSet_raw_and_data_sin!Q398</f>
        <v>Normal_Weight</v>
      </c>
      <c r="E398" t="b">
        <f t="shared" si="25"/>
        <v>0</v>
      </c>
      <c r="F398">
        <f>C398/(B398*B398)</f>
        <v>24.557752341311129</v>
      </c>
      <c r="G398" t="str">
        <f t="shared" si="26"/>
        <v>Normal</v>
      </c>
      <c r="H398" t="str">
        <f t="shared" si="27"/>
        <v>OK</v>
      </c>
      <c r="I398" t="str">
        <f t="shared" si="24"/>
        <v>OK</v>
      </c>
    </row>
    <row r="399" spans="1:9" x14ac:dyDescent="0.2">
      <c r="A399" t="str">
        <f>ObesityDataSet_raw_and_data_sin!A399</f>
        <v>Male</v>
      </c>
      <c r="B399">
        <f>ObesityDataSet_raw_and_data_sin!C399</f>
        <v>1.66</v>
      </c>
      <c r="C399">
        <f>ObesityDataSet_raw_and_data_sin!D399</f>
        <v>60</v>
      </c>
      <c r="D399" t="str">
        <f>ObesityDataSet_raw_and_data_sin!Q399</f>
        <v>Normal_Weight</v>
      </c>
      <c r="E399" t="b">
        <f t="shared" si="25"/>
        <v>0</v>
      </c>
      <c r="F399">
        <f>C399/(B399*B399)</f>
        <v>21.773842357381334</v>
      </c>
      <c r="G399" t="str">
        <f t="shared" si="26"/>
        <v>Normal</v>
      </c>
      <c r="H399" t="str">
        <f t="shared" si="27"/>
        <v>OK</v>
      </c>
      <c r="I399" t="str">
        <f t="shared" si="24"/>
        <v>OK</v>
      </c>
    </row>
    <row r="400" spans="1:9" x14ac:dyDescent="0.2">
      <c r="A400" t="str">
        <f>ObesityDataSet_raw_and_data_sin!A400</f>
        <v>Male</v>
      </c>
      <c r="B400">
        <f>ObesityDataSet_raw_and_data_sin!C400</f>
        <v>1.85</v>
      </c>
      <c r="C400">
        <f>ObesityDataSet_raw_and_data_sin!D400</f>
        <v>125</v>
      </c>
      <c r="D400" t="str">
        <f>ObesityDataSet_raw_and_data_sin!Q400</f>
        <v>Obesity_Type_II</v>
      </c>
      <c r="E400" t="b">
        <f t="shared" si="25"/>
        <v>0</v>
      </c>
      <c r="F400">
        <f>C400/(B400*B400)</f>
        <v>36.523009495982464</v>
      </c>
      <c r="G400" t="str">
        <f t="shared" si="26"/>
        <v>Obese</v>
      </c>
      <c r="H400" t="str">
        <f t="shared" si="27"/>
        <v>OK</v>
      </c>
      <c r="I400" t="str">
        <f t="shared" si="24"/>
        <v>OK</v>
      </c>
    </row>
    <row r="401" spans="1:9" x14ac:dyDescent="0.2">
      <c r="A401" t="str">
        <f>ObesityDataSet_raw_and_data_sin!A401</f>
        <v>Male</v>
      </c>
      <c r="B401">
        <f>ObesityDataSet_raw_and_data_sin!C401</f>
        <v>1.65</v>
      </c>
      <c r="C401">
        <f>ObesityDataSet_raw_and_data_sin!D401</f>
        <v>60</v>
      </c>
      <c r="D401" t="str">
        <f>ObesityDataSet_raw_and_data_sin!Q401</f>
        <v>Normal_Weight</v>
      </c>
      <c r="E401" t="b">
        <f t="shared" si="25"/>
        <v>0</v>
      </c>
      <c r="F401">
        <f>C401/(B401*B401)</f>
        <v>22.03856749311295</v>
      </c>
      <c r="G401" t="str">
        <f t="shared" si="26"/>
        <v>Normal</v>
      </c>
      <c r="H401" t="str">
        <f t="shared" si="27"/>
        <v>OK</v>
      </c>
      <c r="I401" t="str">
        <f t="shared" si="24"/>
        <v>OK</v>
      </c>
    </row>
    <row r="402" spans="1:9" x14ac:dyDescent="0.2">
      <c r="A402" t="str">
        <f>ObesityDataSet_raw_and_data_sin!A402</f>
        <v>Male</v>
      </c>
      <c r="B402">
        <f>ObesityDataSet_raw_and_data_sin!C402</f>
        <v>1.65</v>
      </c>
      <c r="C402">
        <f>ObesityDataSet_raw_and_data_sin!D402</f>
        <v>70</v>
      </c>
      <c r="D402" t="str">
        <f>ObesityDataSet_raw_and_data_sin!Q402</f>
        <v>Overweight_Level_I</v>
      </c>
      <c r="E402" t="b">
        <f t="shared" si="25"/>
        <v>0</v>
      </c>
      <c r="F402">
        <f>C402/(B402*B402)</f>
        <v>25.711662075298442</v>
      </c>
      <c r="G402" t="str">
        <f t="shared" si="26"/>
        <v>Overweight</v>
      </c>
      <c r="H402" t="str">
        <f t="shared" si="27"/>
        <v>OK</v>
      </c>
      <c r="I402" t="str">
        <f t="shared" si="24"/>
        <v>OK</v>
      </c>
    </row>
    <row r="403" spans="1:9" x14ac:dyDescent="0.2">
      <c r="A403" t="str">
        <f>ObesityDataSet_raw_and_data_sin!A403</f>
        <v>Male</v>
      </c>
      <c r="B403">
        <f>ObesityDataSet_raw_and_data_sin!C403</f>
        <v>1.83</v>
      </c>
      <c r="C403">
        <f>ObesityDataSet_raw_and_data_sin!D403</f>
        <v>82</v>
      </c>
      <c r="D403" t="str">
        <f>ObesityDataSet_raw_and_data_sin!Q403</f>
        <v>Normal_Weight</v>
      </c>
      <c r="E403" t="b">
        <f t="shared" si="25"/>
        <v>0</v>
      </c>
      <c r="F403">
        <f>C403/(B403*B403)</f>
        <v>24.485652005136011</v>
      </c>
      <c r="G403" t="str">
        <f t="shared" si="26"/>
        <v>Normal</v>
      </c>
      <c r="H403" t="str">
        <f t="shared" si="27"/>
        <v>OK</v>
      </c>
      <c r="I403" t="str">
        <f t="shared" si="24"/>
        <v>OK</v>
      </c>
    </row>
    <row r="404" spans="1:9" x14ac:dyDescent="0.2">
      <c r="A404" t="str">
        <f>ObesityDataSet_raw_and_data_sin!A404</f>
        <v>Male</v>
      </c>
      <c r="B404">
        <f>ObesityDataSet_raw_and_data_sin!C404</f>
        <v>1.83</v>
      </c>
      <c r="C404">
        <f>ObesityDataSet_raw_and_data_sin!D404</f>
        <v>99</v>
      </c>
      <c r="D404" t="str">
        <f>ObesityDataSet_raw_and_data_sin!Q404</f>
        <v>Overweight_Level_II</v>
      </c>
      <c r="E404" t="b">
        <f t="shared" si="25"/>
        <v>0</v>
      </c>
      <c r="F404">
        <f>C404/(B404*B404)</f>
        <v>29.561945713517868</v>
      </c>
      <c r="G404" t="str">
        <f t="shared" si="26"/>
        <v>Overweight</v>
      </c>
      <c r="H404" t="str">
        <f t="shared" si="27"/>
        <v>OK</v>
      </c>
      <c r="I404" t="str">
        <f t="shared" si="24"/>
        <v>OK</v>
      </c>
    </row>
    <row r="405" spans="1:9" x14ac:dyDescent="0.2">
      <c r="A405" t="str">
        <f>ObesityDataSet_raw_and_data_sin!A405</f>
        <v>Female</v>
      </c>
      <c r="B405">
        <f>ObesityDataSet_raw_and_data_sin!C405</f>
        <v>1.66</v>
      </c>
      <c r="C405">
        <f>ObesityDataSet_raw_and_data_sin!D405</f>
        <v>112</v>
      </c>
      <c r="D405" t="str">
        <f>ObesityDataSet_raw_and_data_sin!Q405</f>
        <v>Obesity_Type_III</v>
      </c>
      <c r="E405" t="b">
        <f t="shared" si="25"/>
        <v>0</v>
      </c>
      <c r="F405">
        <f>C405/(B405*B405)</f>
        <v>40.644505733778487</v>
      </c>
      <c r="G405" t="str">
        <f t="shared" si="26"/>
        <v>Obese</v>
      </c>
      <c r="H405" t="str">
        <f t="shared" si="27"/>
        <v>OK</v>
      </c>
      <c r="I405" t="str">
        <f t="shared" si="24"/>
        <v>OK</v>
      </c>
    </row>
    <row r="406" spans="1:9" x14ac:dyDescent="0.2">
      <c r="A406" t="str">
        <f>ObesityDataSet_raw_and_data_sin!A406</f>
        <v>Male</v>
      </c>
      <c r="B406">
        <f>ObesityDataSet_raw_and_data_sin!C406</f>
        <v>1.78</v>
      </c>
      <c r="C406">
        <f>ObesityDataSet_raw_and_data_sin!D406</f>
        <v>73</v>
      </c>
      <c r="D406" t="str">
        <f>ObesityDataSet_raw_and_data_sin!Q406</f>
        <v>Normal_Weight</v>
      </c>
      <c r="E406" t="b">
        <f t="shared" si="25"/>
        <v>0</v>
      </c>
      <c r="F406">
        <f>C406/(B406*B406)</f>
        <v>23.040020199469762</v>
      </c>
      <c r="G406" t="str">
        <f t="shared" si="26"/>
        <v>Normal</v>
      </c>
      <c r="H406" t="str">
        <f t="shared" si="27"/>
        <v>OK</v>
      </c>
      <c r="I406" t="str">
        <f t="shared" si="24"/>
        <v>OK</v>
      </c>
    </row>
    <row r="407" spans="1:9" x14ac:dyDescent="0.2">
      <c r="A407" t="str">
        <f>ObesityDataSet_raw_and_data_sin!A407</f>
        <v>Male</v>
      </c>
      <c r="B407">
        <f>ObesityDataSet_raw_and_data_sin!C407</f>
        <v>1.74</v>
      </c>
      <c r="C407">
        <f>ObesityDataSet_raw_and_data_sin!D407</f>
        <v>86</v>
      </c>
      <c r="D407" t="str">
        <f>ObesityDataSet_raw_and_data_sin!Q407</f>
        <v>Overweight_Level_II</v>
      </c>
      <c r="E407" t="b">
        <f t="shared" si="25"/>
        <v>0</v>
      </c>
      <c r="F407">
        <f>C407/(B407*B407)</f>
        <v>28.405337561104506</v>
      </c>
      <c r="G407" t="str">
        <f t="shared" si="26"/>
        <v>Overweight</v>
      </c>
      <c r="H407" t="str">
        <f t="shared" si="27"/>
        <v>OK</v>
      </c>
      <c r="I407" t="str">
        <f t="shared" si="24"/>
        <v>OK</v>
      </c>
    </row>
    <row r="408" spans="1:9" x14ac:dyDescent="0.2">
      <c r="A408" t="str">
        <f>ObesityDataSet_raw_and_data_sin!A408</f>
        <v>Male</v>
      </c>
      <c r="B408">
        <f>ObesityDataSet_raw_and_data_sin!C408</f>
        <v>1.76</v>
      </c>
      <c r="C408">
        <f>ObesityDataSet_raw_and_data_sin!D408</f>
        <v>66.5</v>
      </c>
      <c r="D408" t="str">
        <f>ObesityDataSet_raw_and_data_sin!Q408</f>
        <v>Normal_Weight</v>
      </c>
      <c r="E408" t="b">
        <f t="shared" si="25"/>
        <v>0</v>
      </c>
      <c r="F408">
        <f>C408/(B408*B408)</f>
        <v>21.468233471074381</v>
      </c>
      <c r="G408" t="str">
        <f t="shared" si="26"/>
        <v>Normal</v>
      </c>
      <c r="H408" t="str">
        <f t="shared" si="27"/>
        <v>OK</v>
      </c>
      <c r="I408" t="str">
        <f t="shared" si="24"/>
        <v>OK</v>
      </c>
    </row>
    <row r="409" spans="1:9" x14ac:dyDescent="0.2">
      <c r="A409" t="str">
        <f>ObesityDataSet_raw_and_data_sin!A409</f>
        <v>Female</v>
      </c>
      <c r="B409">
        <f>ObesityDataSet_raw_and_data_sin!C409</f>
        <v>1.51</v>
      </c>
      <c r="C409">
        <f>ObesityDataSet_raw_and_data_sin!D409</f>
        <v>59</v>
      </c>
      <c r="D409" t="str">
        <f>ObesityDataSet_raw_and_data_sin!Q409</f>
        <v>Overweight_Level_I</v>
      </c>
      <c r="E409" t="b">
        <f t="shared" si="25"/>
        <v>0</v>
      </c>
      <c r="F409">
        <f>C409/(B409*B409)</f>
        <v>25.876058067628612</v>
      </c>
      <c r="G409" t="str">
        <f t="shared" si="26"/>
        <v>Overweight</v>
      </c>
      <c r="H409" t="str">
        <f t="shared" si="27"/>
        <v>OK</v>
      </c>
      <c r="I409" t="str">
        <f t="shared" si="24"/>
        <v>OK</v>
      </c>
    </row>
    <row r="410" spans="1:9" x14ac:dyDescent="0.2">
      <c r="A410" t="str">
        <f>ObesityDataSet_raw_and_data_sin!A410</f>
        <v>Male</v>
      </c>
      <c r="B410">
        <f>ObesityDataSet_raw_and_data_sin!C410</f>
        <v>1.81</v>
      </c>
      <c r="C410">
        <f>ObesityDataSet_raw_and_data_sin!D410</f>
        <v>79</v>
      </c>
      <c r="D410" t="str">
        <f>ObesityDataSet_raw_and_data_sin!Q410</f>
        <v>Normal_Weight</v>
      </c>
      <c r="E410" t="b">
        <f t="shared" si="25"/>
        <v>0</v>
      </c>
      <c r="F410">
        <f>C410/(B410*B410)</f>
        <v>24.114038033027075</v>
      </c>
      <c r="G410" t="str">
        <f t="shared" si="26"/>
        <v>Normal</v>
      </c>
      <c r="H410" t="str">
        <f t="shared" si="27"/>
        <v>OK</v>
      </c>
      <c r="I410" t="str">
        <f t="shared" si="24"/>
        <v>OK</v>
      </c>
    </row>
    <row r="411" spans="1:9" x14ac:dyDescent="0.2">
      <c r="A411" t="str">
        <f>ObesityDataSet_raw_and_data_sin!A411</f>
        <v>Female</v>
      </c>
      <c r="B411">
        <f>ObesityDataSet_raw_and_data_sin!C411</f>
        <v>1.55</v>
      </c>
      <c r="C411">
        <f>ObesityDataSet_raw_and_data_sin!D411</f>
        <v>55</v>
      </c>
      <c r="D411" t="str">
        <f>ObesityDataSet_raw_and_data_sin!Q411</f>
        <v>Normal_Weight</v>
      </c>
      <c r="E411" t="b">
        <f t="shared" si="25"/>
        <v>0</v>
      </c>
      <c r="F411">
        <f>C411/(B411*B411)</f>
        <v>22.892819979188342</v>
      </c>
      <c r="G411" t="str">
        <f t="shared" si="26"/>
        <v>Normal</v>
      </c>
      <c r="H411" t="str">
        <f t="shared" si="27"/>
        <v>OK</v>
      </c>
      <c r="I411" t="str">
        <f t="shared" si="24"/>
        <v>OK</v>
      </c>
    </row>
    <row r="412" spans="1:9" x14ac:dyDescent="0.2">
      <c r="A412" t="str">
        <f>ObesityDataSet_raw_and_data_sin!A412</f>
        <v>Male</v>
      </c>
      <c r="B412">
        <f>ObesityDataSet_raw_and_data_sin!C412</f>
        <v>1.83</v>
      </c>
      <c r="C412">
        <f>ObesityDataSet_raw_and_data_sin!D412</f>
        <v>66</v>
      </c>
      <c r="D412" t="str">
        <f>ObesityDataSet_raw_and_data_sin!Q412</f>
        <v>Normal_Weight</v>
      </c>
      <c r="E412" t="b">
        <f t="shared" si="25"/>
        <v>0</v>
      </c>
      <c r="F412">
        <f>C412/(B412*B412)</f>
        <v>19.707963809011911</v>
      </c>
      <c r="G412" t="str">
        <f t="shared" si="26"/>
        <v>Normal</v>
      </c>
      <c r="H412" t="str">
        <f t="shared" si="27"/>
        <v>OK</v>
      </c>
      <c r="I412" t="str">
        <f t="shared" si="24"/>
        <v>OK</v>
      </c>
    </row>
    <row r="413" spans="1:9" x14ac:dyDescent="0.2">
      <c r="A413" t="str">
        <f>ObesityDataSet_raw_and_data_sin!A413</f>
        <v>Female</v>
      </c>
      <c r="B413">
        <f>ObesityDataSet_raw_and_data_sin!C413</f>
        <v>1.6</v>
      </c>
      <c r="C413">
        <f>ObesityDataSet_raw_and_data_sin!D413</f>
        <v>65</v>
      </c>
      <c r="D413" t="str">
        <f>ObesityDataSet_raw_and_data_sin!Q413</f>
        <v>Overweight_Level_I</v>
      </c>
      <c r="E413" t="b">
        <f t="shared" si="25"/>
        <v>0</v>
      </c>
      <c r="F413">
        <f>C413/(B413*B413)</f>
        <v>25.390624999999996</v>
      </c>
      <c r="G413" t="str">
        <f t="shared" si="26"/>
        <v>Overweight</v>
      </c>
      <c r="H413" t="str">
        <f t="shared" si="27"/>
        <v>OK</v>
      </c>
      <c r="I413" t="str">
        <f t="shared" si="24"/>
        <v>OK</v>
      </c>
    </row>
    <row r="414" spans="1:9" x14ac:dyDescent="0.2">
      <c r="A414" t="str">
        <f>ObesityDataSet_raw_and_data_sin!A414</f>
        <v>Male</v>
      </c>
      <c r="B414">
        <f>ObesityDataSet_raw_and_data_sin!C414</f>
        <v>1.85</v>
      </c>
      <c r="C414">
        <f>ObesityDataSet_raw_and_data_sin!D414</f>
        <v>85</v>
      </c>
      <c r="D414" t="str">
        <f>ObesityDataSet_raw_and_data_sin!Q414</f>
        <v>Normal_Weight</v>
      </c>
      <c r="E414" t="b">
        <f t="shared" si="25"/>
        <v>0</v>
      </c>
      <c r="F414">
        <f>C414/(B414*B414)</f>
        <v>24.835646457268076</v>
      </c>
      <c r="G414" t="str">
        <f t="shared" si="26"/>
        <v>Normal</v>
      </c>
      <c r="H414" t="str">
        <f t="shared" si="27"/>
        <v>OK</v>
      </c>
      <c r="I414" t="str">
        <f t="shared" si="24"/>
        <v>OK</v>
      </c>
    </row>
    <row r="415" spans="1:9" x14ac:dyDescent="0.2">
      <c r="A415" t="str">
        <f>ObesityDataSet_raw_and_data_sin!A415</f>
        <v>Male</v>
      </c>
      <c r="B415">
        <f>ObesityDataSet_raw_and_data_sin!C415</f>
        <v>1.75</v>
      </c>
      <c r="C415">
        <f>ObesityDataSet_raw_and_data_sin!D415</f>
        <v>85</v>
      </c>
      <c r="D415" t="str">
        <f>ObesityDataSet_raw_and_data_sin!Q415</f>
        <v>Overweight_Level_II</v>
      </c>
      <c r="E415" t="b">
        <f t="shared" si="25"/>
        <v>0</v>
      </c>
      <c r="F415">
        <f>C415/(B415*B415)</f>
        <v>27.755102040816325</v>
      </c>
      <c r="G415" t="str">
        <f t="shared" si="26"/>
        <v>Overweight</v>
      </c>
      <c r="H415" t="str">
        <f t="shared" si="27"/>
        <v>OK</v>
      </c>
      <c r="I415" t="str">
        <f t="shared" si="24"/>
        <v>OK</v>
      </c>
    </row>
    <row r="416" spans="1:9" x14ac:dyDescent="0.2">
      <c r="A416" t="str">
        <f>ObesityDataSet_raw_and_data_sin!A416</f>
        <v>Male</v>
      </c>
      <c r="B416">
        <f>ObesityDataSet_raw_and_data_sin!C416</f>
        <v>1.83</v>
      </c>
      <c r="C416">
        <f>ObesityDataSet_raw_and_data_sin!D416</f>
        <v>113</v>
      </c>
      <c r="D416" t="str">
        <f>ObesityDataSet_raw_and_data_sin!Q416</f>
        <v>Obesity_Type_I</v>
      </c>
      <c r="E416" t="b">
        <f t="shared" si="25"/>
        <v>0</v>
      </c>
      <c r="F416">
        <f>C416/(B416*B416)</f>
        <v>33.742422885126452</v>
      </c>
      <c r="G416" t="str">
        <f t="shared" si="26"/>
        <v>Obese</v>
      </c>
      <c r="H416" t="str">
        <f t="shared" si="27"/>
        <v>OK</v>
      </c>
      <c r="I416" t="str">
        <f t="shared" si="24"/>
        <v>OK</v>
      </c>
    </row>
    <row r="417" spans="1:9" x14ac:dyDescent="0.2">
      <c r="A417" t="str">
        <f>ObesityDataSet_raw_and_data_sin!A417</f>
        <v>Male</v>
      </c>
      <c r="B417">
        <f>ObesityDataSet_raw_and_data_sin!C417</f>
        <v>1.71</v>
      </c>
      <c r="C417">
        <f>ObesityDataSet_raw_and_data_sin!D417</f>
        <v>72</v>
      </c>
      <c r="D417" t="str">
        <f>ObesityDataSet_raw_and_data_sin!Q417</f>
        <v>Normal_Weight</v>
      </c>
      <c r="E417" t="b">
        <f t="shared" si="25"/>
        <v>0</v>
      </c>
      <c r="F417">
        <f>C417/(B417*B417)</f>
        <v>24.622960911049557</v>
      </c>
      <c r="G417" t="str">
        <f t="shared" si="26"/>
        <v>Normal</v>
      </c>
      <c r="H417" t="str">
        <f t="shared" si="27"/>
        <v>OK</v>
      </c>
      <c r="I417" t="str">
        <f t="shared" si="24"/>
        <v>OK</v>
      </c>
    </row>
    <row r="418" spans="1:9" x14ac:dyDescent="0.2">
      <c r="A418" t="str">
        <f>ObesityDataSet_raw_and_data_sin!A418</f>
        <v>Male</v>
      </c>
      <c r="B418">
        <f>ObesityDataSet_raw_and_data_sin!C418</f>
        <v>1.84</v>
      </c>
      <c r="C418">
        <f>ObesityDataSet_raw_and_data_sin!D418</f>
        <v>88</v>
      </c>
      <c r="D418" t="str">
        <f>ObesityDataSet_raw_and_data_sin!Q418</f>
        <v>Overweight_Level_I</v>
      </c>
      <c r="E418" t="b">
        <f t="shared" si="25"/>
        <v>0</v>
      </c>
      <c r="F418">
        <f>C418/(B418*B418)</f>
        <v>25.992438563327031</v>
      </c>
      <c r="G418" t="str">
        <f t="shared" si="26"/>
        <v>Overweight</v>
      </c>
      <c r="H418" t="str">
        <f t="shared" si="27"/>
        <v>OK</v>
      </c>
      <c r="I418" t="str">
        <f t="shared" si="24"/>
        <v>OK</v>
      </c>
    </row>
    <row r="419" spans="1:9" x14ac:dyDescent="0.2">
      <c r="A419" t="str">
        <f>ObesityDataSet_raw_and_data_sin!A419</f>
        <v>Male</v>
      </c>
      <c r="B419">
        <f>ObesityDataSet_raw_and_data_sin!C419</f>
        <v>1.77</v>
      </c>
      <c r="C419">
        <f>ObesityDataSet_raw_and_data_sin!D419</f>
        <v>87</v>
      </c>
      <c r="D419" t="str">
        <f>ObesityDataSet_raw_and_data_sin!Q419</f>
        <v>Overweight_Level_II</v>
      </c>
      <c r="E419" t="b">
        <f t="shared" si="25"/>
        <v>0</v>
      </c>
      <c r="F419">
        <f>C419/(B419*B419)</f>
        <v>27.769797950780426</v>
      </c>
      <c r="G419" t="str">
        <f t="shared" si="26"/>
        <v>Overweight</v>
      </c>
      <c r="H419" t="str">
        <f t="shared" si="27"/>
        <v>OK</v>
      </c>
      <c r="I419" t="str">
        <f t="shared" si="24"/>
        <v>OK</v>
      </c>
    </row>
    <row r="420" spans="1:9" x14ac:dyDescent="0.2">
      <c r="A420" t="str">
        <f>ObesityDataSet_raw_and_data_sin!A420</f>
        <v>Male</v>
      </c>
      <c r="B420">
        <f>ObesityDataSet_raw_and_data_sin!C420</f>
        <v>1.7</v>
      </c>
      <c r="C420">
        <f>ObesityDataSet_raw_and_data_sin!D420</f>
        <v>90</v>
      </c>
      <c r="D420" t="str">
        <f>ObesityDataSet_raw_and_data_sin!Q420</f>
        <v>Obesity_Type_I</v>
      </c>
      <c r="E420" t="b">
        <f t="shared" si="25"/>
        <v>0</v>
      </c>
      <c r="F420">
        <f>C420/(B420*B420)</f>
        <v>31.141868512110729</v>
      </c>
      <c r="G420" t="str">
        <f t="shared" si="26"/>
        <v>Obese</v>
      </c>
      <c r="H420" t="str">
        <f t="shared" si="27"/>
        <v>OK</v>
      </c>
      <c r="I420" t="str">
        <f t="shared" si="24"/>
        <v>OK</v>
      </c>
    </row>
    <row r="421" spans="1:9" x14ac:dyDescent="0.2">
      <c r="A421" t="str">
        <f>ObesityDataSet_raw_and_data_sin!A421</f>
        <v>Male</v>
      </c>
      <c r="B421">
        <f>ObesityDataSet_raw_and_data_sin!C421</f>
        <v>1.62</v>
      </c>
      <c r="C421">
        <f>ObesityDataSet_raw_and_data_sin!D421</f>
        <v>89</v>
      </c>
      <c r="D421" t="str">
        <f>ObesityDataSet_raw_and_data_sin!Q421</f>
        <v>Obesity_Type_I</v>
      </c>
      <c r="E421" t="b">
        <f t="shared" si="25"/>
        <v>0</v>
      </c>
      <c r="F421">
        <f>C421/(B421*B421)</f>
        <v>33.912513336381643</v>
      </c>
      <c r="G421" t="str">
        <f t="shared" si="26"/>
        <v>Obese</v>
      </c>
      <c r="H421" t="str">
        <f t="shared" si="27"/>
        <v>OK</v>
      </c>
      <c r="I421" t="str">
        <f t="shared" si="24"/>
        <v>OK</v>
      </c>
    </row>
    <row r="422" spans="1:9" x14ac:dyDescent="0.2">
      <c r="A422" t="str">
        <f>ObesityDataSet_raw_and_data_sin!A422</f>
        <v>Male</v>
      </c>
      <c r="B422">
        <f>ObesityDataSet_raw_and_data_sin!C422</f>
        <v>1.85</v>
      </c>
      <c r="C422">
        <f>ObesityDataSet_raw_and_data_sin!D422</f>
        <v>60</v>
      </c>
      <c r="D422" t="str">
        <f>ObesityDataSet_raw_and_data_sin!Q422</f>
        <v>Insufficient_Weight</v>
      </c>
      <c r="E422" t="b">
        <f t="shared" si="25"/>
        <v>0</v>
      </c>
      <c r="F422">
        <f>C422/(B422*B422)</f>
        <v>17.531044558071585</v>
      </c>
      <c r="G422" t="str">
        <f t="shared" si="26"/>
        <v>Normal</v>
      </c>
      <c r="H422" t="str">
        <f t="shared" si="27"/>
        <v>OK</v>
      </c>
      <c r="I422" t="str">
        <f t="shared" si="24"/>
        <v>OK</v>
      </c>
    </row>
    <row r="423" spans="1:9" x14ac:dyDescent="0.2">
      <c r="A423" t="str">
        <f>ObesityDataSet_raw_and_data_sin!A423</f>
        <v>Male</v>
      </c>
      <c r="B423">
        <f>ObesityDataSet_raw_and_data_sin!C423</f>
        <v>1.84</v>
      </c>
      <c r="C423">
        <f>ObesityDataSet_raw_and_data_sin!D423</f>
        <v>60</v>
      </c>
      <c r="D423" t="str">
        <f>ObesityDataSet_raw_and_data_sin!Q423</f>
        <v>Insufficient_Weight</v>
      </c>
      <c r="E423" t="b">
        <f t="shared" si="25"/>
        <v>0</v>
      </c>
      <c r="F423">
        <f>C423/(B423*B423)</f>
        <v>17.722117202268429</v>
      </c>
      <c r="G423" t="str">
        <f t="shared" si="26"/>
        <v>Normal</v>
      </c>
      <c r="H423" t="str">
        <f t="shared" si="27"/>
        <v>OK</v>
      </c>
      <c r="I423" t="str">
        <f t="shared" si="24"/>
        <v>OK</v>
      </c>
    </row>
    <row r="424" spans="1:9" x14ac:dyDescent="0.2">
      <c r="A424" t="str">
        <f>ObesityDataSet_raw_and_data_sin!A424</f>
        <v>Male</v>
      </c>
      <c r="B424">
        <f>ObesityDataSet_raw_and_data_sin!C424</f>
        <v>1.75</v>
      </c>
      <c r="C424">
        <f>ObesityDataSet_raw_and_data_sin!D424</f>
        <v>58</v>
      </c>
      <c r="D424" t="str">
        <f>ObesityDataSet_raw_and_data_sin!Q424</f>
        <v>Normal_Weight</v>
      </c>
      <c r="E424" t="b">
        <f t="shared" si="25"/>
        <v>0</v>
      </c>
      <c r="F424">
        <f>C424/(B424*B424)</f>
        <v>18.938775510204081</v>
      </c>
      <c r="G424" t="str">
        <f t="shared" si="26"/>
        <v>Normal</v>
      </c>
      <c r="H424" t="str">
        <f t="shared" si="27"/>
        <v>OK</v>
      </c>
      <c r="I424" t="str">
        <f t="shared" si="24"/>
        <v>OK</v>
      </c>
    </row>
    <row r="425" spans="1:9" x14ac:dyDescent="0.2">
      <c r="A425" t="str">
        <f>ObesityDataSet_raw_and_data_sin!A425</f>
        <v>Male</v>
      </c>
      <c r="B425">
        <f>ObesityDataSet_raw_and_data_sin!C425</f>
        <v>1.85</v>
      </c>
      <c r="C425">
        <f>ObesityDataSet_raw_and_data_sin!D425</f>
        <v>93</v>
      </c>
      <c r="D425" t="str">
        <f>ObesityDataSet_raw_and_data_sin!Q425</f>
        <v>Overweight_Level_II</v>
      </c>
      <c r="E425" t="b">
        <f t="shared" si="25"/>
        <v>0</v>
      </c>
      <c r="F425">
        <f>C425/(B425*B425)</f>
        <v>27.173119065010955</v>
      </c>
      <c r="G425" t="str">
        <f t="shared" si="26"/>
        <v>Overweight</v>
      </c>
      <c r="H425" t="str">
        <f t="shared" si="27"/>
        <v>OK</v>
      </c>
      <c r="I425" t="str">
        <f t="shared" si="24"/>
        <v>OK</v>
      </c>
    </row>
    <row r="426" spans="1:9" x14ac:dyDescent="0.2">
      <c r="A426" t="str">
        <f>ObesityDataSet_raw_and_data_sin!A426</f>
        <v>Male</v>
      </c>
      <c r="B426">
        <f>ObesityDataSet_raw_and_data_sin!C426</f>
        <v>1.74</v>
      </c>
      <c r="C426">
        <f>ObesityDataSet_raw_and_data_sin!D426</f>
        <v>76</v>
      </c>
      <c r="D426" t="str">
        <f>ObesityDataSet_raw_and_data_sin!Q426</f>
        <v>Overweight_Level_I</v>
      </c>
      <c r="E426" t="b">
        <f t="shared" si="25"/>
        <v>0</v>
      </c>
      <c r="F426">
        <f>C426/(B426*B426)</f>
        <v>25.102391333069097</v>
      </c>
      <c r="G426" t="str">
        <f t="shared" si="26"/>
        <v>Overweight</v>
      </c>
      <c r="H426" t="str">
        <f t="shared" si="27"/>
        <v>OK</v>
      </c>
      <c r="I426" t="str">
        <f t="shared" si="24"/>
        <v>OK</v>
      </c>
    </row>
    <row r="427" spans="1:9" x14ac:dyDescent="0.2">
      <c r="A427" t="str">
        <f>ObesityDataSet_raw_and_data_sin!A427</f>
        <v>Female</v>
      </c>
      <c r="B427">
        <f>ObesityDataSet_raw_and_data_sin!C427</f>
        <v>1.61</v>
      </c>
      <c r="C427">
        <f>ObesityDataSet_raw_and_data_sin!D427</f>
        <v>53.8</v>
      </c>
      <c r="D427" t="str">
        <f>ObesityDataSet_raw_and_data_sin!Q427</f>
        <v>Normal_Weight</v>
      </c>
      <c r="E427" t="b">
        <f t="shared" si="25"/>
        <v>0</v>
      </c>
      <c r="F427">
        <f>C427/(B427*B427)</f>
        <v>20.755372092126073</v>
      </c>
      <c r="G427" t="str">
        <f t="shared" si="26"/>
        <v>Normal</v>
      </c>
      <c r="H427" t="str">
        <f t="shared" si="27"/>
        <v>OK</v>
      </c>
      <c r="I427" t="str">
        <f t="shared" si="24"/>
        <v>OK</v>
      </c>
    </row>
    <row r="428" spans="1:9" x14ac:dyDescent="0.2">
      <c r="A428" t="str">
        <f>ObesityDataSet_raw_and_data_sin!A428</f>
        <v>Male</v>
      </c>
      <c r="B428">
        <f>ObesityDataSet_raw_and_data_sin!C428</f>
        <v>1.75</v>
      </c>
      <c r="C428">
        <f>ObesityDataSet_raw_and_data_sin!D428</f>
        <v>70</v>
      </c>
      <c r="D428" t="str">
        <f>ObesityDataSet_raw_and_data_sin!Q428</f>
        <v>Normal_Weight</v>
      </c>
      <c r="E428" t="b">
        <f t="shared" si="25"/>
        <v>0</v>
      </c>
      <c r="F428">
        <f>C428/(B428*B428)</f>
        <v>22.857142857142858</v>
      </c>
      <c r="G428" t="str">
        <f t="shared" si="26"/>
        <v>Normal</v>
      </c>
      <c r="H428" t="str">
        <f t="shared" si="27"/>
        <v>OK</v>
      </c>
      <c r="I428" t="str">
        <f t="shared" si="24"/>
        <v>OK</v>
      </c>
    </row>
    <row r="429" spans="1:9" x14ac:dyDescent="0.2">
      <c r="A429" t="str">
        <f>ObesityDataSet_raw_and_data_sin!A429</f>
        <v>Female</v>
      </c>
      <c r="B429">
        <f>ObesityDataSet_raw_and_data_sin!C429</f>
        <v>1.67</v>
      </c>
      <c r="C429">
        <f>ObesityDataSet_raw_and_data_sin!D429</f>
        <v>60</v>
      </c>
      <c r="D429" t="str">
        <f>ObesityDataSet_raw_and_data_sin!Q429</f>
        <v>Normal_Weight</v>
      </c>
      <c r="E429" t="b">
        <f t="shared" si="25"/>
        <v>0</v>
      </c>
      <c r="F429">
        <f>C429/(B429*B429)</f>
        <v>21.513858510523864</v>
      </c>
      <c r="G429" t="str">
        <f t="shared" si="26"/>
        <v>Normal</v>
      </c>
      <c r="H429" t="str">
        <f t="shared" si="27"/>
        <v>OK</v>
      </c>
      <c r="I429" t="str">
        <f t="shared" si="24"/>
        <v>OK</v>
      </c>
    </row>
    <row r="430" spans="1:9" x14ac:dyDescent="0.2">
      <c r="A430" t="str">
        <f>ObesityDataSet_raw_and_data_sin!A430</f>
        <v>Male</v>
      </c>
      <c r="B430">
        <f>ObesityDataSet_raw_and_data_sin!C430</f>
        <v>1.7</v>
      </c>
      <c r="C430">
        <f>ObesityDataSet_raw_and_data_sin!D430</f>
        <v>69</v>
      </c>
      <c r="D430" t="str">
        <f>ObesityDataSet_raw_and_data_sin!Q430</f>
        <v>Normal_Weight</v>
      </c>
      <c r="E430" t="b">
        <f t="shared" si="25"/>
        <v>0</v>
      </c>
      <c r="F430">
        <f>C430/(B430*B430)</f>
        <v>23.87543252595156</v>
      </c>
      <c r="G430" t="str">
        <f t="shared" si="26"/>
        <v>Normal</v>
      </c>
      <c r="H430" t="str">
        <f t="shared" si="27"/>
        <v>OK</v>
      </c>
      <c r="I430" t="str">
        <f t="shared" si="24"/>
        <v>OK</v>
      </c>
    </row>
    <row r="431" spans="1:9" x14ac:dyDescent="0.2">
      <c r="A431" t="str">
        <f>ObesityDataSet_raw_and_data_sin!A431</f>
        <v>Male</v>
      </c>
      <c r="B431">
        <f>ObesityDataSet_raw_and_data_sin!C431</f>
        <v>1.9</v>
      </c>
      <c r="C431">
        <f>ObesityDataSet_raw_and_data_sin!D431</f>
        <v>80</v>
      </c>
      <c r="D431" t="str">
        <f>ObesityDataSet_raw_and_data_sin!Q431</f>
        <v>Normal_Weight</v>
      </c>
      <c r="E431" t="b">
        <f t="shared" si="25"/>
        <v>0</v>
      </c>
      <c r="F431">
        <f>C431/(B431*B431)</f>
        <v>22.1606648199446</v>
      </c>
      <c r="G431" t="str">
        <f t="shared" si="26"/>
        <v>Normal</v>
      </c>
      <c r="H431" t="str">
        <f t="shared" si="27"/>
        <v>OK</v>
      </c>
      <c r="I431" t="str">
        <f t="shared" si="24"/>
        <v>OK</v>
      </c>
    </row>
    <row r="432" spans="1:9" x14ac:dyDescent="0.2">
      <c r="A432" t="str">
        <f>ObesityDataSet_raw_and_data_sin!A432</f>
        <v>Male</v>
      </c>
      <c r="B432">
        <f>ObesityDataSet_raw_and_data_sin!C432</f>
        <v>1.65</v>
      </c>
      <c r="C432">
        <f>ObesityDataSet_raw_and_data_sin!D432</f>
        <v>85</v>
      </c>
      <c r="D432" t="str">
        <f>ObesityDataSet_raw_and_data_sin!Q432</f>
        <v>Obesity_Type_I</v>
      </c>
      <c r="E432" t="b">
        <f t="shared" si="25"/>
        <v>0</v>
      </c>
      <c r="F432">
        <f>C432/(B432*B432)</f>
        <v>31.221303948576679</v>
      </c>
      <c r="G432" t="str">
        <f t="shared" si="26"/>
        <v>Obese</v>
      </c>
      <c r="H432" t="str">
        <f t="shared" si="27"/>
        <v>OK</v>
      </c>
      <c r="I432" t="str">
        <f t="shared" si="24"/>
        <v>OK</v>
      </c>
    </row>
    <row r="433" spans="1:9" x14ac:dyDescent="0.2">
      <c r="A433" t="str">
        <f>ObesityDataSet_raw_and_data_sin!A433</f>
        <v>Female</v>
      </c>
      <c r="B433">
        <f>ObesityDataSet_raw_and_data_sin!C433</f>
        <v>1.6</v>
      </c>
      <c r="C433">
        <f>ObesityDataSet_raw_and_data_sin!D433</f>
        <v>55</v>
      </c>
      <c r="D433" t="str">
        <f>ObesityDataSet_raw_and_data_sin!Q433</f>
        <v>Normal_Weight</v>
      </c>
      <c r="E433" t="b">
        <f t="shared" si="25"/>
        <v>0</v>
      </c>
      <c r="F433">
        <f>C433/(B433*B433)</f>
        <v>21.484374999999996</v>
      </c>
      <c r="G433" t="str">
        <f t="shared" si="26"/>
        <v>Normal</v>
      </c>
      <c r="H433" t="str">
        <f t="shared" si="27"/>
        <v>OK</v>
      </c>
      <c r="I433" t="str">
        <f t="shared" si="24"/>
        <v>OK</v>
      </c>
    </row>
    <row r="434" spans="1:9" x14ac:dyDescent="0.2">
      <c r="A434" t="str">
        <f>ObesityDataSet_raw_and_data_sin!A434</f>
        <v>Male</v>
      </c>
      <c r="B434">
        <f>ObesityDataSet_raw_and_data_sin!C434</f>
        <v>1.8</v>
      </c>
      <c r="C434">
        <f>ObesityDataSet_raw_and_data_sin!D434</f>
        <v>70</v>
      </c>
      <c r="D434" t="str">
        <f>ObesityDataSet_raw_and_data_sin!Q434</f>
        <v>Normal_Weight</v>
      </c>
      <c r="E434" t="b">
        <f t="shared" si="25"/>
        <v>0</v>
      </c>
      <c r="F434">
        <f>C434/(B434*B434)</f>
        <v>21.604938271604937</v>
      </c>
      <c r="G434" t="str">
        <f t="shared" si="26"/>
        <v>Normal</v>
      </c>
      <c r="H434" t="str">
        <f t="shared" si="27"/>
        <v>OK</v>
      </c>
      <c r="I434" t="str">
        <f t="shared" si="24"/>
        <v>OK</v>
      </c>
    </row>
    <row r="435" spans="1:9" x14ac:dyDescent="0.2">
      <c r="A435" t="str">
        <f>ObesityDataSet_raw_and_data_sin!A435</f>
        <v>Female</v>
      </c>
      <c r="B435">
        <f>ObesityDataSet_raw_and_data_sin!C435</f>
        <v>1.64</v>
      </c>
      <c r="C435">
        <f>ObesityDataSet_raw_and_data_sin!D435</f>
        <v>59</v>
      </c>
      <c r="D435" t="str">
        <f>ObesityDataSet_raw_and_data_sin!Q435</f>
        <v>Normal_Weight</v>
      </c>
      <c r="E435" t="b">
        <f t="shared" si="25"/>
        <v>0</v>
      </c>
      <c r="F435">
        <f>C435/(B435*B435)</f>
        <v>21.936347412254616</v>
      </c>
      <c r="G435" t="str">
        <f t="shared" si="26"/>
        <v>Normal</v>
      </c>
      <c r="H435" t="str">
        <f t="shared" si="27"/>
        <v>OK</v>
      </c>
      <c r="I435" t="str">
        <f t="shared" si="24"/>
        <v>OK</v>
      </c>
    </row>
    <row r="436" spans="1:9" x14ac:dyDescent="0.2">
      <c r="A436" t="str">
        <f>ObesityDataSet_raw_and_data_sin!A436</f>
        <v>Male</v>
      </c>
      <c r="B436">
        <f>ObesityDataSet_raw_and_data_sin!C436</f>
        <v>1.89</v>
      </c>
      <c r="C436">
        <f>ObesityDataSet_raw_and_data_sin!D436</f>
        <v>87</v>
      </c>
      <c r="D436" t="str">
        <f>ObesityDataSet_raw_and_data_sin!Q436</f>
        <v>Normal_Weight</v>
      </c>
      <c r="E436" t="b">
        <f t="shared" si="25"/>
        <v>0</v>
      </c>
      <c r="F436">
        <f>C436/(B436*B436)</f>
        <v>24.355421180818006</v>
      </c>
      <c r="G436" t="str">
        <f t="shared" si="26"/>
        <v>Normal</v>
      </c>
      <c r="H436" t="str">
        <f t="shared" si="27"/>
        <v>OK</v>
      </c>
      <c r="I436" t="str">
        <f t="shared" si="24"/>
        <v>OK</v>
      </c>
    </row>
    <row r="437" spans="1:9" x14ac:dyDescent="0.2">
      <c r="A437" t="str">
        <f>ObesityDataSet_raw_and_data_sin!A437</f>
        <v>Female</v>
      </c>
      <c r="B437">
        <f>ObesityDataSet_raw_and_data_sin!C437</f>
        <v>1.76</v>
      </c>
      <c r="C437">
        <f>ObesityDataSet_raw_and_data_sin!D437</f>
        <v>80</v>
      </c>
      <c r="D437" t="str">
        <f>ObesityDataSet_raw_and_data_sin!Q437</f>
        <v>Overweight_Level_I</v>
      </c>
      <c r="E437" t="b">
        <f t="shared" si="25"/>
        <v>0</v>
      </c>
      <c r="F437">
        <f>C437/(B437*B437)</f>
        <v>25.826446280991735</v>
      </c>
      <c r="G437" t="str">
        <f t="shared" si="26"/>
        <v>Overweight</v>
      </c>
      <c r="H437" t="str">
        <f t="shared" si="27"/>
        <v>OK</v>
      </c>
      <c r="I437" t="str">
        <f t="shared" si="24"/>
        <v>OK</v>
      </c>
    </row>
    <row r="438" spans="1:9" x14ac:dyDescent="0.2">
      <c r="A438" t="str">
        <f>ObesityDataSet_raw_and_data_sin!A438</f>
        <v>Female</v>
      </c>
      <c r="B438">
        <f>ObesityDataSet_raw_and_data_sin!C438</f>
        <v>1.56</v>
      </c>
      <c r="C438">
        <f>ObesityDataSet_raw_and_data_sin!D438</f>
        <v>55</v>
      </c>
      <c r="D438" t="str">
        <f>ObesityDataSet_raw_and_data_sin!Q438</f>
        <v>Normal_Weight</v>
      </c>
      <c r="E438" t="b">
        <f t="shared" si="25"/>
        <v>0</v>
      </c>
      <c r="F438">
        <f>C438/(B438*B438)</f>
        <v>22.600262984878366</v>
      </c>
      <c r="G438" t="str">
        <f t="shared" si="26"/>
        <v>Normal</v>
      </c>
      <c r="H438" t="str">
        <f t="shared" si="27"/>
        <v>OK</v>
      </c>
      <c r="I438" t="str">
        <f t="shared" si="24"/>
        <v>OK</v>
      </c>
    </row>
    <row r="439" spans="1:9" x14ac:dyDescent="0.2">
      <c r="A439" t="str">
        <f>ObesityDataSet_raw_and_data_sin!A439</f>
        <v>Female</v>
      </c>
      <c r="B439">
        <f>ObesityDataSet_raw_and_data_sin!C439</f>
        <v>1.6</v>
      </c>
      <c r="C439">
        <f>ObesityDataSet_raw_and_data_sin!D439</f>
        <v>56</v>
      </c>
      <c r="D439" t="str">
        <f>ObesityDataSet_raw_and_data_sin!Q439</f>
        <v>Normal_Weight</v>
      </c>
      <c r="E439" t="b">
        <f t="shared" si="25"/>
        <v>0</v>
      </c>
      <c r="F439">
        <f>C439/(B439*B439)</f>
        <v>21.874999999999996</v>
      </c>
      <c r="G439" t="str">
        <f t="shared" si="26"/>
        <v>Normal</v>
      </c>
      <c r="H439" t="str">
        <f t="shared" si="27"/>
        <v>OK</v>
      </c>
      <c r="I439" t="str">
        <f t="shared" si="24"/>
        <v>OK</v>
      </c>
    </row>
    <row r="440" spans="1:9" x14ac:dyDescent="0.2">
      <c r="A440" t="str">
        <f>ObesityDataSet_raw_and_data_sin!A440</f>
        <v>Female</v>
      </c>
      <c r="B440">
        <f>ObesityDataSet_raw_and_data_sin!C440</f>
        <v>1.67</v>
      </c>
      <c r="C440">
        <f>ObesityDataSet_raw_and_data_sin!D440</f>
        <v>64</v>
      </c>
      <c r="D440" t="str">
        <f>ObesityDataSet_raw_and_data_sin!Q440</f>
        <v>Normal_Weight</v>
      </c>
      <c r="E440" t="b">
        <f t="shared" si="25"/>
        <v>0</v>
      </c>
      <c r="F440">
        <f>C440/(B440*B440)</f>
        <v>22.948115744558788</v>
      </c>
      <c r="G440" t="str">
        <f t="shared" si="26"/>
        <v>Normal</v>
      </c>
      <c r="H440" t="str">
        <f t="shared" si="27"/>
        <v>OK</v>
      </c>
      <c r="I440" t="str">
        <f t="shared" si="24"/>
        <v>OK</v>
      </c>
    </row>
    <row r="441" spans="1:9" x14ac:dyDescent="0.2">
      <c r="A441" t="str">
        <f>ObesityDataSet_raw_and_data_sin!A441</f>
        <v>Female</v>
      </c>
      <c r="B441">
        <f>ObesityDataSet_raw_and_data_sin!C441</f>
        <v>1.6</v>
      </c>
      <c r="C441">
        <f>ObesityDataSet_raw_and_data_sin!D441</f>
        <v>60</v>
      </c>
      <c r="D441" t="str">
        <f>ObesityDataSet_raw_and_data_sin!Q441</f>
        <v>Normal_Weight</v>
      </c>
      <c r="E441" t="b">
        <f t="shared" si="25"/>
        <v>0</v>
      </c>
      <c r="F441">
        <f>C441/(B441*B441)</f>
        <v>23.437499999999996</v>
      </c>
      <c r="G441" t="str">
        <f t="shared" si="26"/>
        <v>Normal</v>
      </c>
      <c r="H441" t="str">
        <f t="shared" si="27"/>
        <v>OK</v>
      </c>
      <c r="I441" t="str">
        <f t="shared" si="24"/>
        <v>OK</v>
      </c>
    </row>
    <row r="442" spans="1:9" x14ac:dyDescent="0.2">
      <c r="A442" t="str">
        <f>ObesityDataSet_raw_and_data_sin!A442</f>
        <v>Female</v>
      </c>
      <c r="B442">
        <f>ObesityDataSet_raw_and_data_sin!C442</f>
        <v>1.55</v>
      </c>
      <c r="C442">
        <f>ObesityDataSet_raw_and_data_sin!D442</f>
        <v>56</v>
      </c>
      <c r="D442" t="str">
        <f>ObesityDataSet_raw_and_data_sin!Q442</f>
        <v>Normal_Weight</v>
      </c>
      <c r="E442" t="b">
        <f t="shared" si="25"/>
        <v>0</v>
      </c>
      <c r="F442">
        <f>C442/(B442*B442)</f>
        <v>23.309053069719038</v>
      </c>
      <c r="G442" t="str">
        <f t="shared" si="26"/>
        <v>Normal</v>
      </c>
      <c r="H442" t="str">
        <f t="shared" si="27"/>
        <v>OK</v>
      </c>
      <c r="I442" t="str">
        <f t="shared" si="24"/>
        <v>OK</v>
      </c>
    </row>
    <row r="443" spans="1:9" x14ac:dyDescent="0.2">
      <c r="A443" t="str">
        <f>ObesityDataSet_raw_and_data_sin!A443</f>
        <v>Female</v>
      </c>
      <c r="B443">
        <f>ObesityDataSet_raw_and_data_sin!C443</f>
        <v>1.55</v>
      </c>
      <c r="C443">
        <f>ObesityDataSet_raw_and_data_sin!D443</f>
        <v>50</v>
      </c>
      <c r="D443" t="str">
        <f>ObesityDataSet_raw_and_data_sin!Q443</f>
        <v>Normal_Weight</v>
      </c>
      <c r="E443" t="b">
        <f t="shared" si="25"/>
        <v>0</v>
      </c>
      <c r="F443">
        <f>C443/(B443*B443)</f>
        <v>20.811654526534856</v>
      </c>
      <c r="G443" t="str">
        <f t="shared" si="26"/>
        <v>Normal</v>
      </c>
      <c r="H443" t="str">
        <f t="shared" si="27"/>
        <v>OK</v>
      </c>
      <c r="I443" t="str">
        <f t="shared" si="24"/>
        <v>OK</v>
      </c>
    </row>
    <row r="444" spans="1:9" x14ac:dyDescent="0.2">
      <c r="A444" t="str">
        <f>ObesityDataSet_raw_and_data_sin!A444</f>
        <v>Male</v>
      </c>
      <c r="B444">
        <f>ObesityDataSet_raw_and_data_sin!C444</f>
        <v>1.72</v>
      </c>
      <c r="C444">
        <f>ObesityDataSet_raw_and_data_sin!D444</f>
        <v>65</v>
      </c>
      <c r="D444" t="str">
        <f>ObesityDataSet_raw_and_data_sin!Q444</f>
        <v>Normal_Weight</v>
      </c>
      <c r="E444" t="b">
        <f t="shared" si="25"/>
        <v>0</v>
      </c>
      <c r="F444">
        <f>C444/(B444*B444)</f>
        <v>21.971335857220122</v>
      </c>
      <c r="G444" t="str">
        <f t="shared" si="26"/>
        <v>Normal</v>
      </c>
      <c r="H444" t="str">
        <f t="shared" si="27"/>
        <v>OK</v>
      </c>
      <c r="I444" t="str">
        <f t="shared" si="24"/>
        <v>OK</v>
      </c>
    </row>
    <row r="445" spans="1:9" x14ac:dyDescent="0.2">
      <c r="A445" t="str">
        <f>ObesityDataSet_raw_and_data_sin!A445</f>
        <v>Male</v>
      </c>
      <c r="B445">
        <f>ObesityDataSet_raw_and_data_sin!C445</f>
        <v>1.72</v>
      </c>
      <c r="C445">
        <f>ObesityDataSet_raw_and_data_sin!D445</f>
        <v>53</v>
      </c>
      <c r="D445" t="str">
        <f>ObesityDataSet_raw_and_data_sin!Q445</f>
        <v>Insufficient_Weight</v>
      </c>
      <c r="E445" t="b">
        <f t="shared" si="25"/>
        <v>0</v>
      </c>
      <c r="F445">
        <f>C445/(B445*B445)</f>
        <v>17.915089237425637</v>
      </c>
      <c r="G445" t="str">
        <f t="shared" si="26"/>
        <v>Normal</v>
      </c>
      <c r="H445" t="str">
        <f t="shared" si="27"/>
        <v>OK</v>
      </c>
      <c r="I445" t="str">
        <f t="shared" si="24"/>
        <v>OK</v>
      </c>
    </row>
    <row r="446" spans="1:9" x14ac:dyDescent="0.2">
      <c r="A446" t="str">
        <f>ObesityDataSet_raw_and_data_sin!A446</f>
        <v>Male</v>
      </c>
      <c r="B446">
        <f>ObesityDataSet_raw_and_data_sin!C446</f>
        <v>1.7</v>
      </c>
      <c r="C446">
        <f>ObesityDataSet_raw_and_data_sin!D446</f>
        <v>60</v>
      </c>
      <c r="D446" t="str">
        <f>ObesityDataSet_raw_and_data_sin!Q446</f>
        <v>Normal_Weight</v>
      </c>
      <c r="E446" t="b">
        <f t="shared" si="25"/>
        <v>0</v>
      </c>
      <c r="F446">
        <f>C446/(B446*B446)</f>
        <v>20.761245674740486</v>
      </c>
      <c r="G446" t="str">
        <f t="shared" si="26"/>
        <v>Normal</v>
      </c>
      <c r="H446" t="str">
        <f t="shared" si="27"/>
        <v>OK</v>
      </c>
      <c r="I446" t="str">
        <f t="shared" si="24"/>
        <v>OK</v>
      </c>
    </row>
    <row r="447" spans="1:9" x14ac:dyDescent="0.2">
      <c r="A447" t="str">
        <f>ObesityDataSet_raw_and_data_sin!A447</f>
        <v>Female</v>
      </c>
      <c r="B447">
        <f>ObesityDataSet_raw_and_data_sin!C447</f>
        <v>1.51</v>
      </c>
      <c r="C447">
        <f>ObesityDataSet_raw_and_data_sin!D447</f>
        <v>45</v>
      </c>
      <c r="D447" t="str">
        <f>ObesityDataSet_raw_and_data_sin!Q447</f>
        <v>Normal_Weight</v>
      </c>
      <c r="E447" t="b">
        <f t="shared" si="25"/>
        <v>0</v>
      </c>
      <c r="F447">
        <f>C447/(B447*B447)</f>
        <v>19.735976492259113</v>
      </c>
      <c r="G447" t="str">
        <f t="shared" si="26"/>
        <v>Normal</v>
      </c>
      <c r="H447" t="str">
        <f t="shared" si="27"/>
        <v>OK</v>
      </c>
      <c r="I447" t="str">
        <f t="shared" si="24"/>
        <v>OK</v>
      </c>
    </row>
    <row r="448" spans="1:9" x14ac:dyDescent="0.2">
      <c r="A448" t="str">
        <f>ObesityDataSet_raw_and_data_sin!A448</f>
        <v>Male</v>
      </c>
      <c r="B448">
        <f>ObesityDataSet_raw_and_data_sin!C448</f>
        <v>1.83</v>
      </c>
      <c r="C448">
        <f>ObesityDataSet_raw_and_data_sin!D448</f>
        <v>82</v>
      </c>
      <c r="D448" t="str">
        <f>ObesityDataSet_raw_and_data_sin!Q448</f>
        <v>Normal_Weight</v>
      </c>
      <c r="E448" t="b">
        <f t="shared" si="25"/>
        <v>0</v>
      </c>
      <c r="F448">
        <f>C448/(B448*B448)</f>
        <v>24.485652005136011</v>
      </c>
      <c r="G448" t="str">
        <f t="shared" si="26"/>
        <v>Normal</v>
      </c>
      <c r="H448" t="str">
        <f t="shared" si="27"/>
        <v>OK</v>
      </c>
      <c r="I448" t="str">
        <f t="shared" si="24"/>
        <v>OK</v>
      </c>
    </row>
    <row r="449" spans="1:9" x14ac:dyDescent="0.2">
      <c r="A449" t="str">
        <f>ObesityDataSet_raw_and_data_sin!A449</f>
        <v>Male</v>
      </c>
      <c r="B449">
        <f>ObesityDataSet_raw_and_data_sin!C449</f>
        <v>1.8</v>
      </c>
      <c r="C449">
        <f>ObesityDataSet_raw_and_data_sin!D449</f>
        <v>87</v>
      </c>
      <c r="D449" t="str">
        <f>ObesityDataSet_raw_and_data_sin!Q449</f>
        <v>Overweight_Level_I</v>
      </c>
      <c r="E449" t="b">
        <f t="shared" si="25"/>
        <v>0</v>
      </c>
      <c r="F449">
        <f>C449/(B449*B449)</f>
        <v>26.851851851851851</v>
      </c>
      <c r="G449" t="str">
        <f t="shared" si="26"/>
        <v>Overweight</v>
      </c>
      <c r="H449" t="str">
        <f t="shared" si="27"/>
        <v>OK</v>
      </c>
      <c r="I449" t="str">
        <f t="shared" si="24"/>
        <v>OK</v>
      </c>
    </row>
    <row r="450" spans="1:9" x14ac:dyDescent="0.2">
      <c r="A450" t="str">
        <f>ObesityDataSet_raw_and_data_sin!A450</f>
        <v>Female</v>
      </c>
      <c r="B450">
        <f>ObesityDataSet_raw_and_data_sin!C450</f>
        <v>1.6</v>
      </c>
      <c r="C450">
        <f>ObesityDataSet_raw_and_data_sin!D450</f>
        <v>100.5</v>
      </c>
      <c r="D450" t="str">
        <f>ObesityDataSet_raw_and_data_sin!Q450</f>
        <v>Obesity_Type_II</v>
      </c>
      <c r="E450" t="b">
        <f t="shared" si="25"/>
        <v>0</v>
      </c>
      <c r="F450">
        <f>C450/(B450*B450)</f>
        <v>39.257812499999993</v>
      </c>
      <c r="G450" t="str">
        <f t="shared" si="26"/>
        <v>Obese</v>
      </c>
      <c r="H450" t="str">
        <f t="shared" si="27"/>
        <v>OK</v>
      </c>
      <c r="I450" t="str">
        <f t="shared" ref="I450:I513" si="28">IF(AND(LEFT(D450,10)="Overweight",G450&lt;&gt;"Overweight"),"ERROR","OK")</f>
        <v>OK</v>
      </c>
    </row>
    <row r="451" spans="1:9" x14ac:dyDescent="0.2">
      <c r="A451" t="str">
        <f>ObesityDataSet_raw_and_data_sin!A451</f>
        <v>Female</v>
      </c>
      <c r="B451">
        <f>ObesityDataSet_raw_and_data_sin!C451</f>
        <v>1.63</v>
      </c>
      <c r="C451">
        <f>ObesityDataSet_raw_and_data_sin!D451</f>
        <v>63</v>
      </c>
      <c r="D451" t="str">
        <f>ObesityDataSet_raw_and_data_sin!Q451</f>
        <v>Normal_Weight</v>
      </c>
      <c r="E451" t="b">
        <f t="shared" ref="E451:E514" si="29">IF(AND(A451="Female", B451&lt;1.5), TRUE, IF(AND(A451="Male",B451&lt;1.6),TRUE, FALSE))</f>
        <v>0</v>
      </c>
      <c r="F451">
        <f>C451/(B451*B451)</f>
        <v>23.711844630960897</v>
      </c>
      <c r="G451" t="str">
        <f t="shared" ref="G451:G514" si="30">IF(E451=TRUE,IF(F451&lt;23,"Normal",IF(F451&lt;25,"Overweight","Obese")),IF(F451&lt;25,"Normal",IF(F451&lt;30,"Overweight","Obese")))</f>
        <v>Normal</v>
      </c>
      <c r="H451" t="str">
        <f t="shared" ref="H451:H514" si="31">IF(AND(D451="Normal_Weight",G451&lt;&gt;"Normal"),"ERROR","OK")</f>
        <v>OK</v>
      </c>
      <c r="I451" t="str">
        <f t="shared" si="28"/>
        <v>OK</v>
      </c>
    </row>
    <row r="452" spans="1:9" x14ac:dyDescent="0.2">
      <c r="A452" t="str">
        <f>ObesityDataSet_raw_and_data_sin!A452</f>
        <v>Male</v>
      </c>
      <c r="B452">
        <f>ObesityDataSet_raw_and_data_sin!C452</f>
        <v>1.71</v>
      </c>
      <c r="C452">
        <f>ObesityDataSet_raw_and_data_sin!D452</f>
        <v>71</v>
      </c>
      <c r="D452" t="str">
        <f>ObesityDataSet_raw_and_data_sin!Q452</f>
        <v>Normal_Weight</v>
      </c>
      <c r="E452" t="b">
        <f t="shared" si="29"/>
        <v>0</v>
      </c>
      <c r="F452">
        <f>C452/(B452*B452)</f>
        <v>24.280975342840534</v>
      </c>
      <c r="G452" t="str">
        <f t="shared" si="30"/>
        <v>Normal</v>
      </c>
      <c r="H452" t="str">
        <f t="shared" si="31"/>
        <v>OK</v>
      </c>
      <c r="I452" t="str">
        <f t="shared" si="28"/>
        <v>OK</v>
      </c>
    </row>
    <row r="453" spans="1:9" x14ac:dyDescent="0.2">
      <c r="A453" t="str">
        <f>ObesityDataSet_raw_and_data_sin!A453</f>
        <v>Male</v>
      </c>
      <c r="B453">
        <f>ObesityDataSet_raw_and_data_sin!C453</f>
        <v>1.7</v>
      </c>
      <c r="C453">
        <f>ObesityDataSet_raw_and_data_sin!D453</f>
        <v>65</v>
      </c>
      <c r="D453" t="str">
        <f>ObesityDataSet_raw_and_data_sin!Q453</f>
        <v>Normal_Weight</v>
      </c>
      <c r="E453" t="b">
        <f t="shared" si="29"/>
        <v>0</v>
      </c>
      <c r="F453">
        <f>C453/(B453*B453)</f>
        <v>22.491349480968861</v>
      </c>
      <c r="G453" t="str">
        <f t="shared" si="30"/>
        <v>Normal</v>
      </c>
      <c r="H453" t="str">
        <f t="shared" si="31"/>
        <v>OK</v>
      </c>
      <c r="I453" t="str">
        <f t="shared" si="28"/>
        <v>OK</v>
      </c>
    </row>
    <row r="454" spans="1:9" x14ac:dyDescent="0.2">
      <c r="A454" t="str">
        <f>ObesityDataSet_raw_and_data_sin!A454</f>
        <v>Male</v>
      </c>
      <c r="B454">
        <f>ObesityDataSet_raw_and_data_sin!C454</f>
        <v>1.75</v>
      </c>
      <c r="C454">
        <f>ObesityDataSet_raw_and_data_sin!D454</f>
        <v>69</v>
      </c>
      <c r="D454" t="str">
        <f>ObesityDataSet_raw_and_data_sin!Q454</f>
        <v>Normal_Weight</v>
      </c>
      <c r="E454" t="b">
        <f t="shared" si="29"/>
        <v>0</v>
      </c>
      <c r="F454">
        <f>C454/(B454*B454)</f>
        <v>22.530612244897959</v>
      </c>
      <c r="G454" t="str">
        <f t="shared" si="30"/>
        <v>Normal</v>
      </c>
      <c r="H454" t="str">
        <f t="shared" si="31"/>
        <v>OK</v>
      </c>
      <c r="I454" t="str">
        <f t="shared" si="28"/>
        <v>OK</v>
      </c>
    </row>
    <row r="455" spans="1:9" x14ac:dyDescent="0.2">
      <c r="A455" t="str">
        <f>ObesityDataSet_raw_and_data_sin!A455</f>
        <v>Female</v>
      </c>
      <c r="B455">
        <f>ObesityDataSet_raw_and_data_sin!C455</f>
        <v>1.62</v>
      </c>
      <c r="C455">
        <f>ObesityDataSet_raw_and_data_sin!D455</f>
        <v>50</v>
      </c>
      <c r="D455" t="str">
        <f>ObesityDataSet_raw_and_data_sin!Q455</f>
        <v>Normal_Weight</v>
      </c>
      <c r="E455" t="b">
        <f t="shared" si="29"/>
        <v>0</v>
      </c>
      <c r="F455">
        <f>C455/(B455*B455)</f>
        <v>19.051973784484069</v>
      </c>
      <c r="G455" t="str">
        <f t="shared" si="30"/>
        <v>Normal</v>
      </c>
      <c r="H455" t="str">
        <f t="shared" si="31"/>
        <v>OK</v>
      </c>
      <c r="I455" t="str">
        <f t="shared" si="28"/>
        <v>OK</v>
      </c>
    </row>
    <row r="456" spans="1:9" x14ac:dyDescent="0.2">
      <c r="A456" t="str">
        <f>ObesityDataSet_raw_and_data_sin!A456</f>
        <v>Female</v>
      </c>
      <c r="B456">
        <f>ObesityDataSet_raw_and_data_sin!C456</f>
        <v>1.68</v>
      </c>
      <c r="C456">
        <f>ObesityDataSet_raw_and_data_sin!D456</f>
        <v>68</v>
      </c>
      <c r="D456" t="str">
        <f>ObesityDataSet_raw_and_data_sin!Q456</f>
        <v>Normal_Weight</v>
      </c>
      <c r="E456" t="b">
        <f t="shared" si="29"/>
        <v>0</v>
      </c>
      <c r="F456">
        <f>C456/(B456*B456)</f>
        <v>24.092970521541954</v>
      </c>
      <c r="G456" t="str">
        <f t="shared" si="30"/>
        <v>Normal</v>
      </c>
      <c r="H456" t="str">
        <f t="shared" si="31"/>
        <v>OK</v>
      </c>
      <c r="I456" t="str">
        <f t="shared" si="28"/>
        <v>OK</v>
      </c>
    </row>
    <row r="457" spans="1:9" x14ac:dyDescent="0.2">
      <c r="A457" t="str">
        <f>ObesityDataSet_raw_and_data_sin!A457</f>
        <v>Male</v>
      </c>
      <c r="B457">
        <f>ObesityDataSet_raw_and_data_sin!C457</f>
        <v>1.85</v>
      </c>
      <c r="C457">
        <f>ObesityDataSet_raw_and_data_sin!D457</f>
        <v>66</v>
      </c>
      <c r="D457" t="str">
        <f>ObesityDataSet_raw_and_data_sin!Q457</f>
        <v>Normal_Weight</v>
      </c>
      <c r="E457" t="b">
        <f t="shared" si="29"/>
        <v>0</v>
      </c>
      <c r="F457">
        <f>C457/(B457*B457)</f>
        <v>19.284149013878743</v>
      </c>
      <c r="G457" t="str">
        <f t="shared" si="30"/>
        <v>Normal</v>
      </c>
      <c r="H457" t="str">
        <f t="shared" si="31"/>
        <v>OK</v>
      </c>
      <c r="I457" t="str">
        <f t="shared" si="28"/>
        <v>OK</v>
      </c>
    </row>
    <row r="458" spans="1:9" x14ac:dyDescent="0.2">
      <c r="A458" t="str">
        <f>ObesityDataSet_raw_and_data_sin!A458</f>
        <v>Female</v>
      </c>
      <c r="B458">
        <f>ObesityDataSet_raw_and_data_sin!C458</f>
        <v>1.59</v>
      </c>
      <c r="C458">
        <f>ObesityDataSet_raw_and_data_sin!D458</f>
        <v>60</v>
      </c>
      <c r="D458" t="str">
        <f>ObesityDataSet_raw_and_data_sin!Q458</f>
        <v>Normal_Weight</v>
      </c>
      <c r="E458" t="b">
        <f t="shared" si="29"/>
        <v>0</v>
      </c>
      <c r="F458">
        <f>C458/(B458*B458)</f>
        <v>23.733238400379729</v>
      </c>
      <c r="G458" t="str">
        <f t="shared" si="30"/>
        <v>Normal</v>
      </c>
      <c r="H458" t="str">
        <f t="shared" si="31"/>
        <v>OK</v>
      </c>
      <c r="I458" t="str">
        <f t="shared" si="28"/>
        <v>OK</v>
      </c>
    </row>
    <row r="459" spans="1:9" x14ac:dyDescent="0.2">
      <c r="A459" t="str">
        <f>ObesityDataSet_raw_and_data_sin!A459</f>
        <v>Female</v>
      </c>
      <c r="B459">
        <f>ObesityDataSet_raw_and_data_sin!C459</f>
        <v>1.5</v>
      </c>
      <c r="C459">
        <f>ObesityDataSet_raw_and_data_sin!D459</f>
        <v>45</v>
      </c>
      <c r="D459" t="str">
        <f>ObesityDataSet_raw_and_data_sin!Q459</f>
        <v>Normal_Weight</v>
      </c>
      <c r="E459" t="b">
        <f t="shared" si="29"/>
        <v>0</v>
      </c>
      <c r="F459">
        <f>C459/(B459*B459)</f>
        <v>20</v>
      </c>
      <c r="G459" t="str">
        <f t="shared" si="30"/>
        <v>Normal</v>
      </c>
      <c r="H459" t="str">
        <f t="shared" si="31"/>
        <v>OK</v>
      </c>
      <c r="I459" t="str">
        <f t="shared" si="28"/>
        <v>OK</v>
      </c>
    </row>
    <row r="460" spans="1:9" x14ac:dyDescent="0.2">
      <c r="A460" t="str">
        <f>ObesityDataSet_raw_and_data_sin!A460</f>
        <v>Male</v>
      </c>
      <c r="B460">
        <f>ObesityDataSet_raw_and_data_sin!C460</f>
        <v>1.69</v>
      </c>
      <c r="C460">
        <f>ObesityDataSet_raw_and_data_sin!D460</f>
        <v>60</v>
      </c>
      <c r="D460" t="str">
        <f>ObesityDataSet_raw_and_data_sin!Q460</f>
        <v>Normal_Weight</v>
      </c>
      <c r="E460" t="b">
        <f t="shared" si="29"/>
        <v>0</v>
      </c>
      <c r="F460">
        <f>C460/(B460*B460)</f>
        <v>21.007667798746546</v>
      </c>
      <c r="G460" t="str">
        <f t="shared" si="30"/>
        <v>Normal</v>
      </c>
      <c r="H460" t="str">
        <f t="shared" si="31"/>
        <v>OK</v>
      </c>
      <c r="I460" t="str">
        <f t="shared" si="28"/>
        <v>OK</v>
      </c>
    </row>
    <row r="461" spans="1:9" x14ac:dyDescent="0.2">
      <c r="A461" t="str">
        <f>ObesityDataSet_raw_and_data_sin!A461</f>
        <v>Male</v>
      </c>
      <c r="B461">
        <f>ObesityDataSet_raw_and_data_sin!C461</f>
        <v>1.76</v>
      </c>
      <c r="C461">
        <f>ObesityDataSet_raw_and_data_sin!D461</f>
        <v>79</v>
      </c>
      <c r="D461" t="str">
        <f>ObesityDataSet_raw_and_data_sin!Q461</f>
        <v>Overweight_Level_I</v>
      </c>
      <c r="E461" t="b">
        <f t="shared" si="29"/>
        <v>0</v>
      </c>
      <c r="F461">
        <f>C461/(B461*B461)</f>
        <v>25.50361570247934</v>
      </c>
      <c r="G461" t="str">
        <f t="shared" si="30"/>
        <v>Overweight</v>
      </c>
      <c r="H461" t="str">
        <f t="shared" si="31"/>
        <v>OK</v>
      </c>
      <c r="I461" t="str">
        <f t="shared" si="28"/>
        <v>OK</v>
      </c>
    </row>
    <row r="462" spans="1:9" x14ac:dyDescent="0.2">
      <c r="A462" t="str">
        <f>ObesityDataSet_raw_and_data_sin!A462</f>
        <v>Female</v>
      </c>
      <c r="B462">
        <f>ObesityDataSet_raw_and_data_sin!C462</f>
        <v>1.62</v>
      </c>
      <c r="C462">
        <f>ObesityDataSet_raw_and_data_sin!D462</f>
        <v>55</v>
      </c>
      <c r="D462" t="str">
        <f>ObesityDataSet_raw_and_data_sin!Q462</f>
        <v>Normal_Weight</v>
      </c>
      <c r="E462" t="b">
        <f t="shared" si="29"/>
        <v>0</v>
      </c>
      <c r="F462">
        <f>C462/(B462*B462)</f>
        <v>20.957171162932475</v>
      </c>
      <c r="G462" t="str">
        <f t="shared" si="30"/>
        <v>Normal</v>
      </c>
      <c r="H462" t="str">
        <f t="shared" si="31"/>
        <v>OK</v>
      </c>
      <c r="I462" t="str">
        <f t="shared" si="28"/>
        <v>OK</v>
      </c>
    </row>
    <row r="463" spans="1:9" x14ac:dyDescent="0.2">
      <c r="A463" t="str">
        <f>ObesityDataSet_raw_and_data_sin!A463</f>
        <v>Male</v>
      </c>
      <c r="B463">
        <f>ObesityDataSet_raw_and_data_sin!C463</f>
        <v>1.71</v>
      </c>
      <c r="C463">
        <f>ObesityDataSet_raw_and_data_sin!D463</f>
        <v>100</v>
      </c>
      <c r="D463" t="str">
        <f>ObesityDataSet_raw_and_data_sin!Q463</f>
        <v>Obesity_Type_I</v>
      </c>
      <c r="E463" t="b">
        <f t="shared" si="29"/>
        <v>0</v>
      </c>
      <c r="F463">
        <f>C463/(B463*B463)</f>
        <v>34.198556820902162</v>
      </c>
      <c r="G463" t="str">
        <f t="shared" si="30"/>
        <v>Obese</v>
      </c>
      <c r="H463" t="str">
        <f t="shared" si="31"/>
        <v>OK</v>
      </c>
      <c r="I463" t="str">
        <f t="shared" si="28"/>
        <v>OK</v>
      </c>
    </row>
    <row r="464" spans="1:9" x14ac:dyDescent="0.2">
      <c r="A464" t="str">
        <f>ObesityDataSet_raw_and_data_sin!A464</f>
        <v>Male</v>
      </c>
      <c r="B464">
        <f>ObesityDataSet_raw_and_data_sin!C464</f>
        <v>1.72</v>
      </c>
      <c r="C464">
        <f>ObesityDataSet_raw_and_data_sin!D464</f>
        <v>88</v>
      </c>
      <c r="D464" t="str">
        <f>ObesityDataSet_raw_and_data_sin!Q464</f>
        <v>Overweight_Level_II</v>
      </c>
      <c r="E464" t="b">
        <f t="shared" si="29"/>
        <v>0</v>
      </c>
      <c r="F464">
        <f>C464/(B464*B464)</f>
        <v>29.745808545159548</v>
      </c>
      <c r="G464" t="str">
        <f t="shared" si="30"/>
        <v>Overweight</v>
      </c>
      <c r="H464" t="str">
        <f t="shared" si="31"/>
        <v>OK</v>
      </c>
      <c r="I464" t="str">
        <f t="shared" si="28"/>
        <v>OK</v>
      </c>
    </row>
    <row r="465" spans="1:9" x14ac:dyDescent="0.2">
      <c r="A465" t="str">
        <f>ObesityDataSet_raw_and_data_sin!A465</f>
        <v>Male</v>
      </c>
      <c r="B465">
        <f>ObesityDataSet_raw_and_data_sin!C465</f>
        <v>1.8</v>
      </c>
      <c r="C465">
        <f>ObesityDataSet_raw_and_data_sin!D465</f>
        <v>68</v>
      </c>
      <c r="D465" t="str">
        <f>ObesityDataSet_raw_and_data_sin!Q465</f>
        <v>Normal_Weight</v>
      </c>
      <c r="E465" t="b">
        <f t="shared" si="29"/>
        <v>0</v>
      </c>
      <c r="F465">
        <f>C465/(B465*B465)</f>
        <v>20.987654320987652</v>
      </c>
      <c r="G465" t="str">
        <f t="shared" si="30"/>
        <v>Normal</v>
      </c>
      <c r="H465" t="str">
        <f t="shared" si="31"/>
        <v>OK</v>
      </c>
      <c r="I465" t="str">
        <f t="shared" si="28"/>
        <v>OK</v>
      </c>
    </row>
    <row r="466" spans="1:9" x14ac:dyDescent="0.2">
      <c r="A466" t="str">
        <f>ObesityDataSet_raw_and_data_sin!A466</f>
        <v>Male</v>
      </c>
      <c r="B466">
        <f>ObesityDataSet_raw_and_data_sin!C466</f>
        <v>1.93</v>
      </c>
      <c r="C466">
        <f>ObesityDataSet_raw_and_data_sin!D466</f>
        <v>86</v>
      </c>
      <c r="D466" t="str">
        <f>ObesityDataSet_raw_and_data_sin!Q466</f>
        <v>Normal_Weight</v>
      </c>
      <c r="E466" t="b">
        <f t="shared" si="29"/>
        <v>0</v>
      </c>
      <c r="F466">
        <f>C466/(B466*B466)</f>
        <v>23.087868130688072</v>
      </c>
      <c r="G466" t="str">
        <f t="shared" si="30"/>
        <v>Normal</v>
      </c>
      <c r="H466" t="str">
        <f t="shared" si="31"/>
        <v>OK</v>
      </c>
      <c r="I466" t="str">
        <f t="shared" si="28"/>
        <v>OK</v>
      </c>
    </row>
    <row r="467" spans="1:9" x14ac:dyDescent="0.2">
      <c r="A467" t="str">
        <f>ObesityDataSet_raw_and_data_sin!A467</f>
        <v>Female</v>
      </c>
      <c r="B467">
        <f>ObesityDataSet_raw_and_data_sin!C467</f>
        <v>1.6</v>
      </c>
      <c r="C467">
        <f>ObesityDataSet_raw_and_data_sin!D467</f>
        <v>51</v>
      </c>
      <c r="D467" t="str">
        <f>ObesityDataSet_raw_and_data_sin!Q467</f>
        <v>Normal_Weight</v>
      </c>
      <c r="E467" t="b">
        <f t="shared" si="29"/>
        <v>0</v>
      </c>
      <c r="F467">
        <f>C467/(B467*B467)</f>
        <v>19.921874999999996</v>
      </c>
      <c r="G467" t="str">
        <f t="shared" si="30"/>
        <v>Normal</v>
      </c>
      <c r="H467" t="str">
        <f t="shared" si="31"/>
        <v>OK</v>
      </c>
      <c r="I467" t="str">
        <f t="shared" si="28"/>
        <v>OK</v>
      </c>
    </row>
    <row r="468" spans="1:9" x14ac:dyDescent="0.2">
      <c r="A468" t="str">
        <f>ObesityDataSet_raw_and_data_sin!A468</f>
        <v>Male</v>
      </c>
      <c r="B468">
        <f>ObesityDataSet_raw_and_data_sin!C468</f>
        <v>1.74</v>
      </c>
      <c r="C468">
        <f>ObesityDataSet_raw_and_data_sin!D468</f>
        <v>75</v>
      </c>
      <c r="D468" t="str">
        <f>ObesityDataSet_raw_and_data_sin!Q468</f>
        <v>Normal_Weight</v>
      </c>
      <c r="E468" t="b">
        <f t="shared" si="29"/>
        <v>0</v>
      </c>
      <c r="F468">
        <f>C468/(B468*B468)</f>
        <v>24.772096710265558</v>
      </c>
      <c r="G468" t="str">
        <f t="shared" si="30"/>
        <v>Normal</v>
      </c>
      <c r="H468" t="str">
        <f t="shared" si="31"/>
        <v>OK</v>
      </c>
      <c r="I468" t="str">
        <f t="shared" si="28"/>
        <v>OK</v>
      </c>
    </row>
    <row r="469" spans="1:9" x14ac:dyDescent="0.2">
      <c r="A469" t="str">
        <f>ObesityDataSet_raw_and_data_sin!A469</f>
        <v>Male</v>
      </c>
      <c r="B469">
        <f>ObesityDataSet_raw_and_data_sin!C469</f>
        <v>1.74</v>
      </c>
      <c r="C469">
        <f>ObesityDataSet_raw_and_data_sin!D469</f>
        <v>75</v>
      </c>
      <c r="D469" t="str">
        <f>ObesityDataSet_raw_and_data_sin!Q469</f>
        <v>Normal_Weight</v>
      </c>
      <c r="E469" t="b">
        <f t="shared" si="29"/>
        <v>0</v>
      </c>
      <c r="F469">
        <f>C469/(B469*B469)</f>
        <v>24.772096710265558</v>
      </c>
      <c r="G469" t="str">
        <f t="shared" si="30"/>
        <v>Normal</v>
      </c>
      <c r="H469" t="str">
        <f t="shared" si="31"/>
        <v>OK</v>
      </c>
      <c r="I469" t="str">
        <f t="shared" si="28"/>
        <v>OK</v>
      </c>
    </row>
    <row r="470" spans="1:9" x14ac:dyDescent="0.2">
      <c r="A470" t="str">
        <f>ObesityDataSet_raw_and_data_sin!A470</f>
        <v>Female</v>
      </c>
      <c r="B470">
        <f>ObesityDataSet_raw_and_data_sin!C470</f>
        <v>1.62</v>
      </c>
      <c r="C470">
        <f>ObesityDataSet_raw_and_data_sin!D470</f>
        <v>45</v>
      </c>
      <c r="D470" t="str">
        <f>ObesityDataSet_raw_and_data_sin!Q470</f>
        <v>Insufficient_Weight</v>
      </c>
      <c r="E470" t="b">
        <f t="shared" si="29"/>
        <v>0</v>
      </c>
      <c r="F470">
        <f>C470/(B470*B470)</f>
        <v>17.146776406035663</v>
      </c>
      <c r="G470" t="str">
        <f t="shared" si="30"/>
        <v>Normal</v>
      </c>
      <c r="H470" t="str">
        <f t="shared" si="31"/>
        <v>OK</v>
      </c>
      <c r="I470" t="str">
        <f t="shared" si="28"/>
        <v>OK</v>
      </c>
    </row>
    <row r="471" spans="1:9" x14ac:dyDescent="0.2">
      <c r="A471" t="str">
        <f>ObesityDataSet_raw_and_data_sin!A471</f>
        <v>Female</v>
      </c>
      <c r="B471">
        <f>ObesityDataSet_raw_and_data_sin!C471</f>
        <v>1.54</v>
      </c>
      <c r="C471">
        <f>ObesityDataSet_raw_and_data_sin!D471</f>
        <v>42</v>
      </c>
      <c r="D471" t="str">
        <f>ObesityDataSet_raw_and_data_sin!Q471</f>
        <v>Insufficient_Weight</v>
      </c>
      <c r="E471" t="b">
        <f t="shared" si="29"/>
        <v>0</v>
      </c>
      <c r="F471">
        <f>C471/(B471*B471)</f>
        <v>17.709563164108619</v>
      </c>
      <c r="G471" t="str">
        <f t="shared" si="30"/>
        <v>Normal</v>
      </c>
      <c r="H471" t="str">
        <f t="shared" si="31"/>
        <v>OK</v>
      </c>
      <c r="I471" t="str">
        <f t="shared" si="28"/>
        <v>OK</v>
      </c>
    </row>
    <row r="472" spans="1:9" x14ac:dyDescent="0.2">
      <c r="A472" t="str">
        <f>ObesityDataSet_raw_and_data_sin!A472</f>
        <v>Female</v>
      </c>
      <c r="B472">
        <f>ObesityDataSet_raw_and_data_sin!C472</f>
        <v>1.56</v>
      </c>
      <c r="C472">
        <f>ObesityDataSet_raw_and_data_sin!D472</f>
        <v>51.5</v>
      </c>
      <c r="D472" t="str">
        <f>ObesityDataSet_raw_and_data_sin!Q472</f>
        <v>Normal_Weight</v>
      </c>
      <c r="E472" t="b">
        <f t="shared" si="29"/>
        <v>0</v>
      </c>
      <c r="F472">
        <f>C472/(B472*B472)</f>
        <v>21.1620644312952</v>
      </c>
      <c r="G472" t="str">
        <f t="shared" si="30"/>
        <v>Normal</v>
      </c>
      <c r="H472" t="str">
        <f t="shared" si="31"/>
        <v>OK</v>
      </c>
      <c r="I472" t="str">
        <f t="shared" si="28"/>
        <v>OK</v>
      </c>
    </row>
    <row r="473" spans="1:9" x14ac:dyDescent="0.2">
      <c r="A473" t="str">
        <f>ObesityDataSet_raw_and_data_sin!A473</f>
        <v>Female</v>
      </c>
      <c r="B473">
        <f>ObesityDataSet_raw_and_data_sin!C473</f>
        <v>1.6</v>
      </c>
      <c r="C473">
        <f>ObesityDataSet_raw_and_data_sin!D473</f>
        <v>83</v>
      </c>
      <c r="D473" t="str">
        <f>ObesityDataSet_raw_and_data_sin!Q473</f>
        <v>Obesity_Type_I</v>
      </c>
      <c r="E473" t="b">
        <f t="shared" si="29"/>
        <v>0</v>
      </c>
      <c r="F473">
        <f>C473/(B473*B473)</f>
        <v>32.421874999999993</v>
      </c>
      <c r="G473" t="str">
        <f t="shared" si="30"/>
        <v>Obese</v>
      </c>
      <c r="H473" t="str">
        <f t="shared" si="31"/>
        <v>OK</v>
      </c>
      <c r="I473" t="str">
        <f t="shared" si="28"/>
        <v>OK</v>
      </c>
    </row>
    <row r="474" spans="1:9" x14ac:dyDescent="0.2">
      <c r="A474" t="str">
        <f>ObesityDataSet_raw_and_data_sin!A474</f>
        <v>Female</v>
      </c>
      <c r="B474">
        <f>ObesityDataSet_raw_and_data_sin!C474</f>
        <v>1.54</v>
      </c>
      <c r="C474">
        <f>ObesityDataSet_raw_and_data_sin!D474</f>
        <v>71</v>
      </c>
      <c r="D474" t="str">
        <f>ObesityDataSet_raw_and_data_sin!Q474</f>
        <v>Overweight_Level_II</v>
      </c>
      <c r="E474" t="b">
        <f t="shared" si="29"/>
        <v>0</v>
      </c>
      <c r="F474">
        <f>C474/(B474*B474)</f>
        <v>29.937594872659808</v>
      </c>
      <c r="G474" t="str">
        <f t="shared" si="30"/>
        <v>Overweight</v>
      </c>
      <c r="H474" t="str">
        <f t="shared" si="31"/>
        <v>OK</v>
      </c>
      <c r="I474" t="str">
        <f t="shared" si="28"/>
        <v>OK</v>
      </c>
    </row>
    <row r="475" spans="1:9" x14ac:dyDescent="0.2">
      <c r="A475" t="str">
        <f>ObesityDataSet_raw_and_data_sin!A475</f>
        <v>Female</v>
      </c>
      <c r="B475">
        <f>ObesityDataSet_raw_and_data_sin!C475</f>
        <v>1.63</v>
      </c>
      <c r="C475">
        <f>ObesityDataSet_raw_and_data_sin!D475</f>
        <v>51</v>
      </c>
      <c r="D475" t="str">
        <f>ObesityDataSet_raw_and_data_sin!Q475</f>
        <v>Normal_Weight</v>
      </c>
      <c r="E475" t="b">
        <f t="shared" si="29"/>
        <v>0</v>
      </c>
      <c r="F475">
        <f>C475/(B475*B475)</f>
        <v>19.195302796492154</v>
      </c>
      <c r="G475" t="str">
        <f t="shared" si="30"/>
        <v>Normal</v>
      </c>
      <c r="H475" t="str">
        <f t="shared" si="31"/>
        <v>OK</v>
      </c>
      <c r="I475" t="str">
        <f t="shared" si="28"/>
        <v>OK</v>
      </c>
    </row>
    <row r="476" spans="1:9" x14ac:dyDescent="0.2">
      <c r="A476" t="str">
        <f>ObesityDataSet_raw_and_data_sin!A476</f>
        <v>Male</v>
      </c>
      <c r="B476">
        <f>ObesityDataSet_raw_and_data_sin!C476</f>
        <v>1.78</v>
      </c>
      <c r="C476">
        <f>ObesityDataSet_raw_and_data_sin!D476</f>
        <v>64</v>
      </c>
      <c r="D476" t="str">
        <f>ObesityDataSet_raw_and_data_sin!Q476</f>
        <v>Normal_Weight</v>
      </c>
      <c r="E476" t="b">
        <f t="shared" si="29"/>
        <v>0</v>
      </c>
      <c r="F476">
        <f>C476/(B476*B476)</f>
        <v>20.199469763918696</v>
      </c>
      <c r="G476" t="str">
        <f t="shared" si="30"/>
        <v>Normal</v>
      </c>
      <c r="H476" t="str">
        <f t="shared" si="31"/>
        <v>OK</v>
      </c>
      <c r="I476" t="str">
        <f t="shared" si="28"/>
        <v>OK</v>
      </c>
    </row>
    <row r="477" spans="1:9" x14ac:dyDescent="0.2">
      <c r="A477" t="str">
        <f>ObesityDataSet_raw_and_data_sin!A477</f>
        <v>Female</v>
      </c>
      <c r="B477">
        <f>ObesityDataSet_raw_and_data_sin!C477</f>
        <v>1.62</v>
      </c>
      <c r="C477">
        <f>ObesityDataSet_raw_and_data_sin!D477</f>
        <v>68</v>
      </c>
      <c r="D477" t="str">
        <f>ObesityDataSet_raw_and_data_sin!Q477</f>
        <v>Overweight_Level_I</v>
      </c>
      <c r="E477" t="b">
        <f t="shared" si="29"/>
        <v>0</v>
      </c>
      <c r="F477">
        <f>C477/(B477*B477)</f>
        <v>25.910684346898332</v>
      </c>
      <c r="G477" t="str">
        <f t="shared" si="30"/>
        <v>Overweight</v>
      </c>
      <c r="H477" t="str">
        <f t="shared" si="31"/>
        <v>OK</v>
      </c>
      <c r="I477" t="str">
        <f t="shared" si="28"/>
        <v>OK</v>
      </c>
    </row>
    <row r="478" spans="1:9" x14ac:dyDescent="0.2">
      <c r="A478" t="str">
        <f>ObesityDataSet_raw_and_data_sin!A478</f>
        <v>Female</v>
      </c>
      <c r="B478">
        <f>ObesityDataSet_raw_and_data_sin!C478</f>
        <v>1.71</v>
      </c>
      <c r="C478">
        <f>ObesityDataSet_raw_and_data_sin!D478</f>
        <v>75</v>
      </c>
      <c r="D478" t="str">
        <f>ObesityDataSet_raw_and_data_sin!Q478</f>
        <v>Overweight_Level_I</v>
      </c>
      <c r="E478" t="b">
        <f t="shared" si="29"/>
        <v>0</v>
      </c>
      <c r="F478">
        <f>C478/(B478*B478)</f>
        <v>25.64891761567662</v>
      </c>
      <c r="G478" t="str">
        <f t="shared" si="30"/>
        <v>Overweight</v>
      </c>
      <c r="H478" t="str">
        <f t="shared" si="31"/>
        <v>OK</v>
      </c>
      <c r="I478" t="str">
        <f t="shared" si="28"/>
        <v>OK</v>
      </c>
    </row>
    <row r="479" spans="1:9" x14ac:dyDescent="0.2">
      <c r="A479" t="str">
        <f>ObesityDataSet_raw_and_data_sin!A479</f>
        <v>Female</v>
      </c>
      <c r="B479">
        <f>ObesityDataSet_raw_and_data_sin!C479</f>
        <v>1.64</v>
      </c>
      <c r="C479">
        <f>ObesityDataSet_raw_and_data_sin!D479</f>
        <v>56</v>
      </c>
      <c r="D479" t="str">
        <f>ObesityDataSet_raw_and_data_sin!Q479</f>
        <v>Normal_Weight</v>
      </c>
      <c r="E479" t="b">
        <f t="shared" si="29"/>
        <v>0</v>
      </c>
      <c r="F479">
        <f>C479/(B479*B479)</f>
        <v>20.820939916716245</v>
      </c>
      <c r="G479" t="str">
        <f t="shared" si="30"/>
        <v>Normal</v>
      </c>
      <c r="H479" t="str">
        <f t="shared" si="31"/>
        <v>OK</v>
      </c>
      <c r="I479" t="str">
        <f t="shared" si="28"/>
        <v>OK</v>
      </c>
    </row>
    <row r="480" spans="1:9" x14ac:dyDescent="0.2">
      <c r="A480" t="str">
        <f>ObesityDataSet_raw_and_data_sin!A480</f>
        <v>Male</v>
      </c>
      <c r="B480">
        <f>ObesityDataSet_raw_and_data_sin!C480</f>
        <v>1.69</v>
      </c>
      <c r="C480">
        <f>ObesityDataSet_raw_and_data_sin!D480</f>
        <v>65</v>
      </c>
      <c r="D480" t="str">
        <f>ObesityDataSet_raw_and_data_sin!Q480</f>
        <v>Normal_Weight</v>
      </c>
      <c r="E480" t="b">
        <f t="shared" si="29"/>
        <v>0</v>
      </c>
      <c r="F480">
        <f>C480/(B480*B480)</f>
        <v>22.758306781975424</v>
      </c>
      <c r="G480" t="str">
        <f t="shared" si="30"/>
        <v>Normal</v>
      </c>
      <c r="H480" t="str">
        <f t="shared" si="31"/>
        <v>OK</v>
      </c>
      <c r="I480" t="str">
        <f t="shared" si="28"/>
        <v>OK</v>
      </c>
    </row>
    <row r="481" spans="1:9" x14ac:dyDescent="0.2">
      <c r="A481" t="str">
        <f>ObesityDataSet_raw_and_data_sin!A481</f>
        <v>Female</v>
      </c>
      <c r="B481">
        <f>ObesityDataSet_raw_and_data_sin!C481</f>
        <v>1.58</v>
      </c>
      <c r="C481">
        <f>ObesityDataSet_raw_and_data_sin!D481</f>
        <v>50</v>
      </c>
      <c r="D481" t="str">
        <f>ObesityDataSet_raw_and_data_sin!Q481</f>
        <v>Normal_Weight</v>
      </c>
      <c r="E481" t="b">
        <f t="shared" si="29"/>
        <v>0</v>
      </c>
      <c r="F481">
        <f>C481/(B481*B481)</f>
        <v>20.028841531805796</v>
      </c>
      <c r="G481" t="str">
        <f t="shared" si="30"/>
        <v>Normal</v>
      </c>
      <c r="H481" t="str">
        <f t="shared" si="31"/>
        <v>OK</v>
      </c>
      <c r="I481" t="str">
        <f t="shared" si="28"/>
        <v>OK</v>
      </c>
    </row>
    <row r="482" spans="1:9" x14ac:dyDescent="0.2">
      <c r="A482" t="str">
        <f>ObesityDataSet_raw_and_data_sin!A482</f>
        <v>Female</v>
      </c>
      <c r="B482">
        <f>ObesityDataSet_raw_and_data_sin!C482</f>
        <v>1.57</v>
      </c>
      <c r="C482">
        <f>ObesityDataSet_raw_and_data_sin!D482</f>
        <v>50</v>
      </c>
      <c r="D482" t="str">
        <f>ObesityDataSet_raw_and_data_sin!Q482</f>
        <v>Normal_Weight</v>
      </c>
      <c r="E482" t="b">
        <f t="shared" si="29"/>
        <v>0</v>
      </c>
      <c r="F482">
        <f>C482/(B482*B482)</f>
        <v>20.28479857195018</v>
      </c>
      <c r="G482" t="str">
        <f t="shared" si="30"/>
        <v>Normal</v>
      </c>
      <c r="H482" t="str">
        <f t="shared" si="31"/>
        <v>OK</v>
      </c>
      <c r="I482" t="str">
        <f t="shared" si="28"/>
        <v>OK</v>
      </c>
    </row>
    <row r="483" spans="1:9" x14ac:dyDescent="0.2">
      <c r="A483" t="str">
        <f>ObesityDataSet_raw_and_data_sin!A483</f>
        <v>Male</v>
      </c>
      <c r="B483">
        <f>ObesityDataSet_raw_and_data_sin!C483</f>
        <v>1.74</v>
      </c>
      <c r="C483">
        <f>ObesityDataSet_raw_and_data_sin!D483</f>
        <v>64</v>
      </c>
      <c r="D483" t="str">
        <f>ObesityDataSet_raw_and_data_sin!Q483</f>
        <v>Normal_Weight</v>
      </c>
      <c r="E483" t="b">
        <f t="shared" si="29"/>
        <v>0</v>
      </c>
      <c r="F483">
        <f>C483/(B483*B483)</f>
        <v>21.138855859426609</v>
      </c>
      <c r="G483" t="str">
        <f t="shared" si="30"/>
        <v>Normal</v>
      </c>
      <c r="H483" t="str">
        <f t="shared" si="31"/>
        <v>OK</v>
      </c>
      <c r="I483" t="str">
        <f t="shared" si="28"/>
        <v>OK</v>
      </c>
    </row>
    <row r="484" spans="1:9" x14ac:dyDescent="0.2">
      <c r="A484" t="str">
        <f>ObesityDataSet_raw_and_data_sin!A484</f>
        <v>Female</v>
      </c>
      <c r="B484">
        <f>ObesityDataSet_raw_and_data_sin!C484</f>
        <v>1.58</v>
      </c>
      <c r="C484">
        <f>ObesityDataSet_raw_and_data_sin!D484</f>
        <v>53.5</v>
      </c>
      <c r="D484" t="str">
        <f>ObesityDataSet_raw_and_data_sin!Q484</f>
        <v>Normal_Weight</v>
      </c>
      <c r="E484" t="b">
        <f t="shared" si="29"/>
        <v>0</v>
      </c>
      <c r="F484">
        <f>C484/(B484*B484)</f>
        <v>21.430860439032202</v>
      </c>
      <c r="G484" t="str">
        <f t="shared" si="30"/>
        <v>Normal</v>
      </c>
      <c r="H484" t="str">
        <f t="shared" si="31"/>
        <v>OK</v>
      </c>
      <c r="I484" t="str">
        <f t="shared" si="28"/>
        <v>OK</v>
      </c>
    </row>
    <row r="485" spans="1:9" x14ac:dyDescent="0.2">
      <c r="A485" t="str">
        <f>ObesityDataSet_raw_and_data_sin!A485</f>
        <v>Female</v>
      </c>
      <c r="B485">
        <f>ObesityDataSet_raw_and_data_sin!C485</f>
        <v>1.5</v>
      </c>
      <c r="C485">
        <f>ObesityDataSet_raw_and_data_sin!D485</f>
        <v>58</v>
      </c>
      <c r="D485" t="str">
        <f>ObesityDataSet_raw_and_data_sin!Q485</f>
        <v>Overweight_Level_I</v>
      </c>
      <c r="E485" t="b">
        <f t="shared" si="29"/>
        <v>0</v>
      </c>
      <c r="F485">
        <f>C485/(B485*B485)</f>
        <v>25.777777777777779</v>
      </c>
      <c r="G485" t="str">
        <f t="shared" si="30"/>
        <v>Overweight</v>
      </c>
      <c r="H485" t="str">
        <f t="shared" si="31"/>
        <v>OK</v>
      </c>
      <c r="I485" t="str">
        <f t="shared" si="28"/>
        <v>OK</v>
      </c>
    </row>
    <row r="486" spans="1:9" x14ac:dyDescent="0.2">
      <c r="A486" t="str">
        <f>ObesityDataSet_raw_and_data_sin!A486</f>
        <v>Female</v>
      </c>
      <c r="B486">
        <f>ObesityDataSet_raw_and_data_sin!C486</f>
        <v>1.65</v>
      </c>
      <c r="C486">
        <f>ObesityDataSet_raw_and_data_sin!D486</f>
        <v>80</v>
      </c>
      <c r="D486" t="str">
        <f>ObesityDataSet_raw_and_data_sin!Q486</f>
        <v>Overweight_Level_II</v>
      </c>
      <c r="E486" t="b">
        <f t="shared" si="29"/>
        <v>0</v>
      </c>
      <c r="F486">
        <f>C486/(B486*B486)</f>
        <v>29.384756657483933</v>
      </c>
      <c r="G486" t="str">
        <f t="shared" si="30"/>
        <v>Overweight</v>
      </c>
      <c r="H486" t="str">
        <f t="shared" si="31"/>
        <v>OK</v>
      </c>
      <c r="I486" t="str">
        <f t="shared" si="28"/>
        <v>OK</v>
      </c>
    </row>
    <row r="487" spans="1:9" x14ac:dyDescent="0.2">
      <c r="A487" t="str">
        <f>ObesityDataSet_raw_and_data_sin!A487</f>
        <v>Male</v>
      </c>
      <c r="B487">
        <f>ObesityDataSet_raw_and_data_sin!C487</f>
        <v>1.8</v>
      </c>
      <c r="C487">
        <f>ObesityDataSet_raw_and_data_sin!D487</f>
        <v>73</v>
      </c>
      <c r="D487" t="str">
        <f>ObesityDataSet_raw_and_data_sin!Q487</f>
        <v>Normal_Weight</v>
      </c>
      <c r="E487" t="b">
        <f t="shared" si="29"/>
        <v>0</v>
      </c>
      <c r="F487">
        <f>C487/(B487*B487)</f>
        <v>22.530864197530864</v>
      </c>
      <c r="G487" t="str">
        <f t="shared" si="30"/>
        <v>Normal</v>
      </c>
      <c r="H487" t="str">
        <f t="shared" si="31"/>
        <v>OK</v>
      </c>
      <c r="I487" t="str">
        <f t="shared" si="28"/>
        <v>OK</v>
      </c>
    </row>
    <row r="488" spans="1:9" x14ac:dyDescent="0.2">
      <c r="A488" t="str">
        <f>ObesityDataSet_raw_and_data_sin!A488</f>
        <v>Male</v>
      </c>
      <c r="B488">
        <f>ObesityDataSet_raw_and_data_sin!C488</f>
        <v>1.75</v>
      </c>
      <c r="C488">
        <f>ObesityDataSet_raw_and_data_sin!D488</f>
        <v>75</v>
      </c>
      <c r="D488" t="str">
        <f>ObesityDataSet_raw_and_data_sin!Q488</f>
        <v>Normal_Weight</v>
      </c>
      <c r="E488" t="b">
        <f t="shared" si="29"/>
        <v>0</v>
      </c>
      <c r="F488">
        <f>C488/(B488*B488)</f>
        <v>24.489795918367346</v>
      </c>
      <c r="G488" t="str">
        <f t="shared" si="30"/>
        <v>Normal</v>
      </c>
      <c r="H488" t="str">
        <f t="shared" si="31"/>
        <v>OK</v>
      </c>
      <c r="I488" t="str">
        <f t="shared" si="28"/>
        <v>OK</v>
      </c>
    </row>
    <row r="489" spans="1:9" x14ac:dyDescent="0.2">
      <c r="A489" t="str">
        <f>ObesityDataSet_raw_and_data_sin!A489</f>
        <v>Male</v>
      </c>
      <c r="B489">
        <f>ObesityDataSet_raw_and_data_sin!C489</f>
        <v>1.84</v>
      </c>
      <c r="C489">
        <f>ObesityDataSet_raw_and_data_sin!D489</f>
        <v>104</v>
      </c>
      <c r="D489" t="str">
        <f>ObesityDataSet_raw_and_data_sin!Q489</f>
        <v>Obesity_Type_I</v>
      </c>
      <c r="E489" t="b">
        <f t="shared" si="29"/>
        <v>0</v>
      </c>
      <c r="F489">
        <f>C489/(B489*B489)</f>
        <v>30.718336483931946</v>
      </c>
      <c r="G489" t="str">
        <f t="shared" si="30"/>
        <v>Obese</v>
      </c>
      <c r="H489" t="str">
        <f t="shared" si="31"/>
        <v>OK</v>
      </c>
      <c r="I489" t="str">
        <f t="shared" si="28"/>
        <v>OK</v>
      </c>
    </row>
    <row r="490" spans="1:9" x14ac:dyDescent="0.2">
      <c r="A490" t="str">
        <f>ObesityDataSet_raw_and_data_sin!A490</f>
        <v>Male</v>
      </c>
      <c r="B490">
        <f>ObesityDataSet_raw_and_data_sin!C490</f>
        <v>1.88</v>
      </c>
      <c r="C490">
        <f>ObesityDataSet_raw_and_data_sin!D490</f>
        <v>84</v>
      </c>
      <c r="D490" t="str">
        <f>ObesityDataSet_raw_and_data_sin!Q490</f>
        <v>Normal_Weight</v>
      </c>
      <c r="E490" t="b">
        <f t="shared" si="29"/>
        <v>0</v>
      </c>
      <c r="F490">
        <f>C490/(B490*B490)</f>
        <v>23.766410140334994</v>
      </c>
      <c r="G490" t="str">
        <f t="shared" si="30"/>
        <v>Normal</v>
      </c>
      <c r="H490" t="str">
        <f t="shared" si="31"/>
        <v>OK</v>
      </c>
      <c r="I490" t="str">
        <f t="shared" si="28"/>
        <v>OK</v>
      </c>
    </row>
    <row r="491" spans="1:9" x14ac:dyDescent="0.2">
      <c r="A491" t="str">
        <f>ObesityDataSet_raw_and_data_sin!A491</f>
        <v>Female</v>
      </c>
      <c r="B491">
        <f>ObesityDataSet_raw_and_data_sin!C491</f>
        <v>1.56</v>
      </c>
      <c r="C491">
        <f>ObesityDataSet_raw_and_data_sin!D491</f>
        <v>50</v>
      </c>
      <c r="D491" t="str">
        <f>ObesityDataSet_raw_and_data_sin!Q491</f>
        <v>Normal_Weight</v>
      </c>
      <c r="E491" t="b">
        <f t="shared" si="29"/>
        <v>0</v>
      </c>
      <c r="F491">
        <f>C491/(B491*B491)</f>
        <v>20.5456936226167</v>
      </c>
      <c r="G491" t="str">
        <f t="shared" si="30"/>
        <v>Normal</v>
      </c>
      <c r="H491" t="str">
        <f t="shared" si="31"/>
        <v>OK</v>
      </c>
      <c r="I491" t="str">
        <f t="shared" si="28"/>
        <v>OK</v>
      </c>
    </row>
    <row r="492" spans="1:9" x14ac:dyDescent="0.2">
      <c r="A492" t="str">
        <f>ObesityDataSet_raw_and_data_sin!A492</f>
        <v>Male</v>
      </c>
      <c r="B492">
        <f>ObesityDataSet_raw_and_data_sin!C492</f>
        <v>1.75</v>
      </c>
      <c r="C492">
        <f>ObesityDataSet_raw_and_data_sin!D492</f>
        <v>84</v>
      </c>
      <c r="D492" t="str">
        <f>ObesityDataSet_raw_and_data_sin!Q492</f>
        <v>Overweight_Level_II</v>
      </c>
      <c r="E492" t="b">
        <f t="shared" si="29"/>
        <v>0</v>
      </c>
      <c r="F492">
        <f>C492/(B492*B492)</f>
        <v>27.428571428571427</v>
      </c>
      <c r="G492" t="str">
        <f t="shared" si="30"/>
        <v>Overweight</v>
      </c>
      <c r="H492" t="str">
        <f t="shared" si="31"/>
        <v>OK</v>
      </c>
      <c r="I492" t="str">
        <f t="shared" si="28"/>
        <v>OK</v>
      </c>
    </row>
    <row r="493" spans="1:9" x14ac:dyDescent="0.2">
      <c r="A493" t="str">
        <f>ObesityDataSet_raw_and_data_sin!A493</f>
        <v>Male</v>
      </c>
      <c r="B493">
        <f>ObesityDataSet_raw_and_data_sin!C493</f>
        <v>1.66</v>
      </c>
      <c r="C493">
        <f>ObesityDataSet_raw_and_data_sin!D493</f>
        <v>68</v>
      </c>
      <c r="D493" t="str">
        <f>ObesityDataSet_raw_and_data_sin!Q493</f>
        <v>Normal_Weight</v>
      </c>
      <c r="E493" t="b">
        <f t="shared" si="29"/>
        <v>0</v>
      </c>
      <c r="F493">
        <f>C493/(B493*B493)</f>
        <v>24.677021338365513</v>
      </c>
      <c r="G493" t="str">
        <f t="shared" si="30"/>
        <v>Normal</v>
      </c>
      <c r="H493" t="str">
        <f t="shared" si="31"/>
        <v>OK</v>
      </c>
      <c r="I493" t="str">
        <f t="shared" si="28"/>
        <v>OK</v>
      </c>
    </row>
    <row r="494" spans="1:9" x14ac:dyDescent="0.2">
      <c r="A494" t="str">
        <f>ObesityDataSet_raw_and_data_sin!A494</f>
        <v>Male</v>
      </c>
      <c r="B494">
        <f>ObesityDataSet_raw_and_data_sin!C494</f>
        <v>1.7</v>
      </c>
      <c r="C494">
        <f>ObesityDataSet_raw_and_data_sin!D494</f>
        <v>86</v>
      </c>
      <c r="D494" t="str">
        <f>ObesityDataSet_raw_and_data_sin!Q494</f>
        <v>Overweight_Level_II</v>
      </c>
      <c r="E494" t="b">
        <f t="shared" si="29"/>
        <v>0</v>
      </c>
      <c r="F494">
        <f>C494/(B494*B494)</f>
        <v>29.757785467128031</v>
      </c>
      <c r="G494" t="str">
        <f t="shared" si="30"/>
        <v>Overweight</v>
      </c>
      <c r="H494" t="str">
        <f t="shared" si="31"/>
        <v>OK</v>
      </c>
      <c r="I494" t="str">
        <f t="shared" si="28"/>
        <v>OK</v>
      </c>
    </row>
    <row r="495" spans="1:9" x14ac:dyDescent="0.2">
      <c r="A495" t="str">
        <f>ObesityDataSet_raw_and_data_sin!A495</f>
        <v>Male</v>
      </c>
      <c r="B495">
        <f>ObesityDataSet_raw_and_data_sin!C495</f>
        <v>1.8</v>
      </c>
      <c r="C495">
        <f>ObesityDataSet_raw_and_data_sin!D495</f>
        <v>65</v>
      </c>
      <c r="D495" t="str">
        <f>ObesityDataSet_raw_and_data_sin!Q495</f>
        <v>Normal_Weight</v>
      </c>
      <c r="E495" t="b">
        <f t="shared" si="29"/>
        <v>0</v>
      </c>
      <c r="F495">
        <f>C495/(B495*B495)</f>
        <v>20.061728395061728</v>
      </c>
      <c r="G495" t="str">
        <f t="shared" si="30"/>
        <v>Normal</v>
      </c>
      <c r="H495" t="str">
        <f t="shared" si="31"/>
        <v>OK</v>
      </c>
      <c r="I495" t="str">
        <f t="shared" si="28"/>
        <v>OK</v>
      </c>
    </row>
    <row r="496" spans="1:9" x14ac:dyDescent="0.2">
      <c r="A496" t="str">
        <f>ObesityDataSet_raw_and_data_sin!A496</f>
        <v>Female</v>
      </c>
      <c r="B496">
        <f>ObesityDataSet_raw_and_data_sin!C496</f>
        <v>1.67</v>
      </c>
      <c r="C496">
        <f>ObesityDataSet_raw_and_data_sin!D496</f>
        <v>66</v>
      </c>
      <c r="D496" t="str">
        <f>ObesityDataSet_raw_and_data_sin!Q496</f>
        <v>Normal_Weight</v>
      </c>
      <c r="E496" t="b">
        <f t="shared" si="29"/>
        <v>0</v>
      </c>
      <c r="F496">
        <f>C496/(B496*B496)</f>
        <v>23.665244361576249</v>
      </c>
      <c r="G496" t="str">
        <f t="shared" si="30"/>
        <v>Normal</v>
      </c>
      <c r="H496" t="str">
        <f t="shared" si="31"/>
        <v>OK</v>
      </c>
      <c r="I496" t="str">
        <f t="shared" si="28"/>
        <v>OK</v>
      </c>
    </row>
    <row r="497" spans="1:9" x14ac:dyDescent="0.2">
      <c r="A497" t="str">
        <f>ObesityDataSet_raw_and_data_sin!A497</f>
        <v>Male</v>
      </c>
      <c r="B497">
        <f>ObesityDataSet_raw_and_data_sin!C497</f>
        <v>1.8</v>
      </c>
      <c r="C497">
        <f>ObesityDataSet_raw_and_data_sin!D497</f>
        <v>60</v>
      </c>
      <c r="D497" t="str">
        <f>ObesityDataSet_raw_and_data_sin!Q497</f>
        <v>Normal_Weight</v>
      </c>
      <c r="E497" t="b">
        <f t="shared" si="29"/>
        <v>0</v>
      </c>
      <c r="F497">
        <f>C497/(B497*B497)</f>
        <v>18.518518518518519</v>
      </c>
      <c r="G497" t="str">
        <f t="shared" si="30"/>
        <v>Normal</v>
      </c>
      <c r="H497" t="str">
        <f t="shared" si="31"/>
        <v>OK</v>
      </c>
      <c r="I497" t="str">
        <f t="shared" si="28"/>
        <v>OK</v>
      </c>
    </row>
    <row r="498" spans="1:9" x14ac:dyDescent="0.2">
      <c r="A498" t="str">
        <f>ObesityDataSet_raw_and_data_sin!A498</f>
        <v>Male</v>
      </c>
      <c r="B498">
        <f>ObesityDataSet_raw_and_data_sin!C498</f>
        <v>1.72</v>
      </c>
      <c r="C498">
        <f>ObesityDataSet_raw_and_data_sin!D498</f>
        <v>53</v>
      </c>
      <c r="D498" t="str">
        <f>ObesityDataSet_raw_and_data_sin!Q498</f>
        <v>Insufficient_Weight</v>
      </c>
      <c r="E498" t="b">
        <f t="shared" si="29"/>
        <v>0</v>
      </c>
      <c r="F498">
        <f>C498/(B498*B498)</f>
        <v>17.915089237425637</v>
      </c>
      <c r="G498" t="str">
        <f t="shared" si="30"/>
        <v>Normal</v>
      </c>
      <c r="H498" t="str">
        <f t="shared" si="31"/>
        <v>OK</v>
      </c>
      <c r="I498" t="str">
        <f t="shared" si="28"/>
        <v>OK</v>
      </c>
    </row>
    <row r="499" spans="1:9" x14ac:dyDescent="0.2">
      <c r="A499" t="str">
        <f>ObesityDataSet_raw_and_data_sin!A499</f>
        <v>Male</v>
      </c>
      <c r="B499">
        <f>ObesityDataSet_raw_and_data_sin!C499</f>
        <v>1.56</v>
      </c>
      <c r="C499">
        <f>ObesityDataSet_raw_and_data_sin!D499</f>
        <v>45</v>
      </c>
      <c r="D499" t="str">
        <f>ObesityDataSet_raw_and_data_sin!Q499</f>
        <v>Normal_Weight</v>
      </c>
      <c r="E499" t="b">
        <f t="shared" si="29"/>
        <v>1</v>
      </c>
      <c r="F499">
        <f>C499/(B499*B499)</f>
        <v>18.491124260355029</v>
      </c>
      <c r="G499" t="str">
        <f t="shared" si="30"/>
        <v>Normal</v>
      </c>
      <c r="H499" t="str">
        <f t="shared" si="31"/>
        <v>OK</v>
      </c>
      <c r="I499" t="str">
        <f t="shared" si="28"/>
        <v>OK</v>
      </c>
    </row>
    <row r="500" spans="1:9" x14ac:dyDescent="0.2">
      <c r="A500" t="str">
        <f>ObesityDataSet_raw_and_data_sin!A500</f>
        <v>Female</v>
      </c>
      <c r="B500">
        <f>ObesityDataSet_raw_and_data_sin!C500</f>
        <v>1.6863060000000001</v>
      </c>
      <c r="C500">
        <f>ObesityDataSet_raw_and_data_sin!D500</f>
        <v>104.572712</v>
      </c>
      <c r="D500" t="str">
        <f>ObesityDataSet_raw_and_data_sin!Q500</f>
        <v>Obesity_Type_III</v>
      </c>
      <c r="E500" t="b">
        <f t="shared" si="29"/>
        <v>0</v>
      </c>
      <c r="F500">
        <f>C500/(B500*B500)</f>
        <v>36.774400426037268</v>
      </c>
      <c r="G500" t="str">
        <f t="shared" si="30"/>
        <v>Obese</v>
      </c>
      <c r="H500" t="str">
        <f t="shared" si="31"/>
        <v>OK</v>
      </c>
      <c r="I500" t="str">
        <f t="shared" si="28"/>
        <v>OK</v>
      </c>
    </row>
    <row r="501" spans="1:9" x14ac:dyDescent="0.2">
      <c r="A501" t="str">
        <f>ObesityDataSet_raw_and_data_sin!A501</f>
        <v>Female</v>
      </c>
      <c r="B501">
        <f>ObesityDataSet_raw_and_data_sin!C501</f>
        <v>1.6831240000000001</v>
      </c>
      <c r="C501">
        <f>ObesityDataSet_raw_and_data_sin!D501</f>
        <v>126.67377999999999</v>
      </c>
      <c r="D501" t="str">
        <f>ObesityDataSet_raw_and_data_sin!Q501</f>
        <v>Obesity_Type_III</v>
      </c>
      <c r="E501" t="b">
        <f t="shared" si="29"/>
        <v>0</v>
      </c>
      <c r="F501">
        <f>C501/(B501*B501)</f>
        <v>44.715130732135108</v>
      </c>
      <c r="G501" t="str">
        <f t="shared" si="30"/>
        <v>Obese</v>
      </c>
      <c r="H501" t="str">
        <f t="shared" si="31"/>
        <v>OK</v>
      </c>
      <c r="I501" t="str">
        <f t="shared" si="28"/>
        <v>OK</v>
      </c>
    </row>
    <row r="502" spans="1:9" x14ac:dyDescent="0.2">
      <c r="A502" t="str">
        <f>ObesityDataSet_raw_and_data_sin!A502</f>
        <v>Female</v>
      </c>
      <c r="B502">
        <f>ObesityDataSet_raw_and_data_sin!C502</f>
        <v>1.6223970000000001</v>
      </c>
      <c r="C502">
        <f>ObesityDataSet_raw_and_data_sin!D502</f>
        <v>110.79263</v>
      </c>
      <c r="D502" t="str">
        <f>ObesityDataSet_raw_and_data_sin!Q502</f>
        <v>Obesity_Type_III</v>
      </c>
      <c r="E502" t="b">
        <f t="shared" si="29"/>
        <v>0</v>
      </c>
      <c r="F502">
        <f>C502/(B502*B502)</f>
        <v>42.091713201900674</v>
      </c>
      <c r="G502" t="str">
        <f t="shared" si="30"/>
        <v>Obese</v>
      </c>
      <c r="H502" t="str">
        <f t="shared" si="31"/>
        <v>OK</v>
      </c>
      <c r="I502" t="str">
        <f t="shared" si="28"/>
        <v>OK</v>
      </c>
    </row>
    <row r="503" spans="1:9" x14ac:dyDescent="0.2">
      <c r="A503" t="str">
        <f>ObesityDataSet_raw_and_data_sin!A503</f>
        <v>Female</v>
      </c>
      <c r="B503">
        <f>ObesityDataSet_raw_and_data_sin!C503</f>
        <v>1.7556430000000001</v>
      </c>
      <c r="C503">
        <f>ObesityDataSet_raw_and_data_sin!D503</f>
        <v>137.79688400000001</v>
      </c>
      <c r="D503" t="str">
        <f>ObesityDataSet_raw_and_data_sin!Q503</f>
        <v>Obesity_Type_III</v>
      </c>
      <c r="E503" t="b">
        <f t="shared" si="29"/>
        <v>0</v>
      </c>
      <c r="F503">
        <f>C503/(B503*B503)</f>
        <v>44.706119896144422</v>
      </c>
      <c r="G503" t="str">
        <f t="shared" si="30"/>
        <v>Obese</v>
      </c>
      <c r="H503" t="str">
        <f t="shared" si="31"/>
        <v>OK</v>
      </c>
      <c r="I503" t="str">
        <f t="shared" si="28"/>
        <v>OK</v>
      </c>
    </row>
    <row r="504" spans="1:9" x14ac:dyDescent="0.2">
      <c r="A504" t="str">
        <f>ObesityDataSet_raw_and_data_sin!A504</f>
        <v>Female</v>
      </c>
      <c r="B504">
        <f>ObesityDataSet_raw_and_data_sin!C504</f>
        <v>1.8434189999999999</v>
      </c>
      <c r="C504">
        <f>ObesityDataSet_raw_and_data_sin!D504</f>
        <v>165.05726899999999</v>
      </c>
      <c r="D504" t="str">
        <f>ObesityDataSet_raw_and_data_sin!Q504</f>
        <v>Obesity_Type_III</v>
      </c>
      <c r="E504" t="b">
        <f t="shared" si="29"/>
        <v>0</v>
      </c>
      <c r="F504">
        <f>C504/(B504*B504)</f>
        <v>48.572061502205912</v>
      </c>
      <c r="G504" t="str">
        <f t="shared" si="30"/>
        <v>Obese</v>
      </c>
      <c r="H504" t="str">
        <f t="shared" si="31"/>
        <v>OK</v>
      </c>
      <c r="I504" t="str">
        <f t="shared" si="28"/>
        <v>OK</v>
      </c>
    </row>
    <row r="505" spans="1:9" x14ac:dyDescent="0.2">
      <c r="A505" t="str">
        <f>ObesityDataSet_raw_and_data_sin!A505</f>
        <v>Female</v>
      </c>
      <c r="B505">
        <f>ObesityDataSet_raw_and_data_sin!C505</f>
        <v>1.7456</v>
      </c>
      <c r="C505">
        <f>ObesityDataSet_raw_and_data_sin!D505</f>
        <v>133.03441000000001</v>
      </c>
      <c r="D505" t="str">
        <f>ObesityDataSet_raw_and_data_sin!Q505</f>
        <v>Obesity_Type_III</v>
      </c>
      <c r="E505" t="b">
        <f t="shared" si="29"/>
        <v>0</v>
      </c>
      <c r="F505">
        <f>C505/(B505*B505)</f>
        <v>43.659074123043219</v>
      </c>
      <c r="G505" t="str">
        <f t="shared" si="30"/>
        <v>Obese</v>
      </c>
      <c r="H505" t="str">
        <f t="shared" si="31"/>
        <v>OK</v>
      </c>
      <c r="I505" t="str">
        <f t="shared" si="28"/>
        <v>OK</v>
      </c>
    </row>
    <row r="506" spans="1:9" x14ac:dyDescent="0.2">
      <c r="A506" t="str">
        <f>ObesityDataSet_raw_and_data_sin!A506</f>
        <v>Female</v>
      </c>
      <c r="B506">
        <f>ObesityDataSet_raw_and_data_sin!C506</f>
        <v>1.630927</v>
      </c>
      <c r="C506">
        <f>ObesityDataSet_raw_and_data_sin!D506</f>
        <v>111.485516</v>
      </c>
      <c r="D506" t="str">
        <f>ObesityDataSet_raw_and_data_sin!Q506</f>
        <v>Obesity_Type_III</v>
      </c>
      <c r="E506" t="b">
        <f t="shared" si="29"/>
        <v>0</v>
      </c>
      <c r="F506">
        <f>C506/(B506*B506)</f>
        <v>41.913063294573284</v>
      </c>
      <c r="G506" t="str">
        <f t="shared" si="30"/>
        <v>Obese</v>
      </c>
      <c r="H506" t="str">
        <f t="shared" si="31"/>
        <v>OK</v>
      </c>
      <c r="I506" t="str">
        <f t="shared" si="28"/>
        <v>OK</v>
      </c>
    </row>
    <row r="507" spans="1:9" x14ac:dyDescent="0.2">
      <c r="A507" t="str">
        <f>ObesityDataSet_raw_and_data_sin!A507</f>
        <v>Female</v>
      </c>
      <c r="B507">
        <f>ObesityDataSet_raw_and_data_sin!C507</f>
        <v>1.6291910000000001</v>
      </c>
      <c r="C507">
        <f>ObesityDataSet_raw_and_data_sin!D507</f>
        <v>104.826776</v>
      </c>
      <c r="D507" t="str">
        <f>ObesityDataSet_raw_and_data_sin!Q507</f>
        <v>Obesity_Type_III</v>
      </c>
      <c r="E507" t="b">
        <f t="shared" si="29"/>
        <v>0</v>
      </c>
      <c r="F507">
        <f>C507/(B507*B507)</f>
        <v>39.493736521200134</v>
      </c>
      <c r="G507" t="str">
        <f t="shared" si="30"/>
        <v>Obese</v>
      </c>
      <c r="H507" t="str">
        <f t="shared" si="31"/>
        <v>OK</v>
      </c>
      <c r="I507" t="str">
        <f t="shared" si="28"/>
        <v>OK</v>
      </c>
    </row>
    <row r="508" spans="1:9" x14ac:dyDescent="0.2">
      <c r="A508" t="str">
        <f>ObesityDataSet_raw_and_data_sin!A508</f>
        <v>Female</v>
      </c>
      <c r="B508">
        <f>ObesityDataSet_raw_and_data_sin!C508</f>
        <v>1.7706120000000001</v>
      </c>
      <c r="C508">
        <f>ObesityDataSet_raw_and_data_sin!D508</f>
        <v>133.96334899999999</v>
      </c>
      <c r="D508" t="str">
        <f>ObesityDataSet_raw_and_data_sin!Q508</f>
        <v>Obesity_Type_III</v>
      </c>
      <c r="E508" t="b">
        <f t="shared" si="29"/>
        <v>0</v>
      </c>
      <c r="F508">
        <f>C508/(B508*B508)</f>
        <v>42.730619541918877</v>
      </c>
      <c r="G508" t="str">
        <f t="shared" si="30"/>
        <v>Obese</v>
      </c>
      <c r="H508" t="str">
        <f t="shared" si="31"/>
        <v>OK</v>
      </c>
      <c r="I508" t="str">
        <f t="shared" si="28"/>
        <v>OK</v>
      </c>
    </row>
    <row r="509" spans="1:9" x14ac:dyDescent="0.2">
      <c r="A509" t="str">
        <f>ObesityDataSet_raw_and_data_sin!A509</f>
        <v>Male</v>
      </c>
      <c r="B509">
        <f>ObesityDataSet_raw_and_data_sin!C509</f>
        <v>1.7437020000000001</v>
      </c>
      <c r="C509">
        <f>ObesityDataSet_raw_and_data_sin!D509</f>
        <v>54.927529</v>
      </c>
      <c r="D509" t="str">
        <f>ObesityDataSet_raw_and_data_sin!Q509</f>
        <v>Insufficient_Weight</v>
      </c>
      <c r="E509" t="b">
        <f t="shared" si="29"/>
        <v>0</v>
      </c>
      <c r="F509">
        <f>C509/(B509*B509)</f>
        <v>18.065314669089037</v>
      </c>
      <c r="G509" t="str">
        <f t="shared" si="30"/>
        <v>Normal</v>
      </c>
      <c r="H509" t="str">
        <f t="shared" si="31"/>
        <v>OK</v>
      </c>
      <c r="I509" t="str">
        <f t="shared" si="28"/>
        <v>OK</v>
      </c>
    </row>
    <row r="510" spans="1:9" x14ac:dyDescent="0.2">
      <c r="A510" t="str">
        <f>ObesityDataSet_raw_and_data_sin!A510</f>
        <v>Male</v>
      </c>
      <c r="B510">
        <f>ObesityDataSet_raw_and_data_sin!C510</f>
        <v>1.7719149999999999</v>
      </c>
      <c r="C510">
        <f>ObesityDataSet_raw_and_data_sin!D510</f>
        <v>55.695036000000002</v>
      </c>
      <c r="D510" t="str">
        <f>ObesityDataSet_raw_and_data_sin!Q510</f>
        <v>Insufficient_Weight</v>
      </c>
      <c r="E510" t="b">
        <f t="shared" si="29"/>
        <v>0</v>
      </c>
      <c r="F510">
        <f>C510/(B510*B510)</f>
        <v>17.739064781129436</v>
      </c>
      <c r="G510" t="str">
        <f t="shared" si="30"/>
        <v>Normal</v>
      </c>
      <c r="H510" t="str">
        <f t="shared" si="31"/>
        <v>OK</v>
      </c>
      <c r="I510" t="str">
        <f t="shared" si="28"/>
        <v>OK</v>
      </c>
    </row>
    <row r="511" spans="1:9" x14ac:dyDescent="0.2">
      <c r="A511" t="str">
        <f>ObesityDataSet_raw_and_data_sin!A511</f>
        <v>Male</v>
      </c>
      <c r="B511">
        <f>ObesityDataSet_raw_and_data_sin!C511</f>
        <v>1.75376</v>
      </c>
      <c r="C511">
        <f>ObesityDataSet_raw_and_data_sin!D511</f>
        <v>55.879263000000002</v>
      </c>
      <c r="D511" t="str">
        <f>ObesityDataSet_raw_and_data_sin!Q511</f>
        <v>Insufficient_Weight</v>
      </c>
      <c r="E511" t="b">
        <f t="shared" si="29"/>
        <v>0</v>
      </c>
      <c r="F511">
        <f>C511/(B511*B511)</f>
        <v>18.168135016931124</v>
      </c>
      <c r="G511" t="str">
        <f t="shared" si="30"/>
        <v>Normal</v>
      </c>
      <c r="H511" t="str">
        <f t="shared" si="31"/>
        <v>OK</v>
      </c>
      <c r="I511" t="str">
        <f t="shared" si="28"/>
        <v>OK</v>
      </c>
    </row>
    <row r="512" spans="1:9" x14ac:dyDescent="0.2">
      <c r="A512" t="str">
        <f>ObesityDataSet_raw_and_data_sin!A512</f>
        <v>Female</v>
      </c>
      <c r="B512">
        <f>ObesityDataSet_raw_and_data_sin!C512</f>
        <v>1.675446</v>
      </c>
      <c r="C512">
        <f>ObesityDataSet_raw_and_data_sin!D512</f>
        <v>51.154201</v>
      </c>
      <c r="D512" t="str">
        <f>ObesityDataSet_raw_and_data_sin!Q512</f>
        <v>Insufficient_Weight</v>
      </c>
      <c r="E512" t="b">
        <f t="shared" si="29"/>
        <v>0</v>
      </c>
      <c r="F512">
        <f>C512/(B512*B512)</f>
        <v>18.223023517295385</v>
      </c>
      <c r="G512" t="str">
        <f t="shared" si="30"/>
        <v>Normal</v>
      </c>
      <c r="H512" t="str">
        <f t="shared" si="31"/>
        <v>OK</v>
      </c>
      <c r="I512" t="str">
        <f t="shared" si="28"/>
        <v>OK</v>
      </c>
    </row>
    <row r="513" spans="1:9" x14ac:dyDescent="0.2">
      <c r="A513" t="str">
        <f>ObesityDataSet_raw_and_data_sin!A513</f>
        <v>Female</v>
      </c>
      <c r="B513">
        <f>ObesityDataSet_raw_and_data_sin!C513</f>
        <v>1.6662030000000001</v>
      </c>
      <c r="C513">
        <f>ObesityDataSet_raw_and_data_sin!D513</f>
        <v>49.869790999999999</v>
      </c>
      <c r="D513" t="str">
        <f>ObesityDataSet_raw_and_data_sin!Q513</f>
        <v>Insufficient_Weight</v>
      </c>
      <c r="E513" t="b">
        <f t="shared" si="29"/>
        <v>0</v>
      </c>
      <c r="F513">
        <f>C513/(B513*B513)</f>
        <v>17.96311804862242</v>
      </c>
      <c r="G513" t="str">
        <f t="shared" si="30"/>
        <v>Normal</v>
      </c>
      <c r="H513" t="str">
        <f t="shared" si="31"/>
        <v>OK</v>
      </c>
      <c r="I513" t="str">
        <f t="shared" si="28"/>
        <v>OK</v>
      </c>
    </row>
    <row r="514" spans="1:9" x14ac:dyDescent="0.2">
      <c r="A514" t="str">
        <f>ObesityDataSet_raw_and_data_sin!A514</f>
        <v>Female</v>
      </c>
      <c r="B514">
        <f>ObesityDataSet_raw_and_data_sin!C514</f>
        <v>1.7114670000000001</v>
      </c>
      <c r="C514">
        <f>ObesityDataSet_raw_and_data_sin!D514</f>
        <v>51.965521000000003</v>
      </c>
      <c r="D514" t="str">
        <f>ObesityDataSet_raw_and_data_sin!Q514</f>
        <v>Insufficient_Weight</v>
      </c>
      <c r="E514" t="b">
        <f t="shared" si="29"/>
        <v>0</v>
      </c>
      <c r="F514">
        <f>C514/(B514*B514)</f>
        <v>17.741005339164264</v>
      </c>
      <c r="G514" t="str">
        <f t="shared" si="30"/>
        <v>Normal</v>
      </c>
      <c r="H514" t="str">
        <f t="shared" si="31"/>
        <v>OK</v>
      </c>
      <c r="I514" t="str">
        <f t="shared" ref="I514:I577" si="32">IF(AND(LEFT(D514,10)="Overweight",G514&lt;&gt;"Overweight"),"ERROR","OK")</f>
        <v>OK</v>
      </c>
    </row>
    <row r="515" spans="1:9" x14ac:dyDescent="0.2">
      <c r="A515" t="str">
        <f>ObesityDataSet_raw_and_data_sin!A515</f>
        <v>Female</v>
      </c>
      <c r="B515">
        <f>ObesityDataSet_raw_and_data_sin!C515</f>
        <v>1.5980190000000001</v>
      </c>
      <c r="C515">
        <f>ObesityDataSet_raw_and_data_sin!D515</f>
        <v>44.845655000000001</v>
      </c>
      <c r="D515" t="str">
        <f>ObesityDataSet_raw_and_data_sin!Q515</f>
        <v>Insufficient_Weight</v>
      </c>
      <c r="E515" t="b">
        <f t="shared" ref="E515:E578" si="33">IF(AND(A515="Female", B515&lt;1.5), TRUE, IF(AND(A515="Male",B515&lt;1.6),TRUE, FALSE))</f>
        <v>0</v>
      </c>
      <c r="F515">
        <f>C515/(B515*B515)</f>
        <v>17.561293216055081</v>
      </c>
      <c r="G515" t="str">
        <f t="shared" ref="G515:G578" si="34">IF(E515=TRUE,IF(F515&lt;23,"Normal",IF(F515&lt;25,"Overweight","Obese")),IF(F515&lt;25,"Normal",IF(F515&lt;30,"Overweight","Obese")))</f>
        <v>Normal</v>
      </c>
      <c r="H515" t="str">
        <f t="shared" ref="H515:H578" si="35">IF(AND(D515="Normal_Weight",G515&lt;&gt;"Normal"),"ERROR","OK")</f>
        <v>OK</v>
      </c>
      <c r="I515" t="str">
        <f t="shared" si="32"/>
        <v>OK</v>
      </c>
    </row>
    <row r="516" spans="1:9" x14ac:dyDescent="0.2">
      <c r="A516" t="str">
        <f>ObesityDataSet_raw_and_data_sin!A516</f>
        <v>Female</v>
      </c>
      <c r="B516">
        <f>ObesityDataSet_raw_and_data_sin!C516</f>
        <v>1.5961099999999999</v>
      </c>
      <c r="C516">
        <f>ObesityDataSet_raw_and_data_sin!D516</f>
        <v>42.848033000000001</v>
      </c>
      <c r="D516" t="str">
        <f>ObesityDataSet_raw_and_data_sin!Q516</f>
        <v>Insufficient_Weight</v>
      </c>
      <c r="E516" t="b">
        <f t="shared" si="33"/>
        <v>0</v>
      </c>
      <c r="F516">
        <f>C516/(B516*B516)</f>
        <v>16.819196817270793</v>
      </c>
      <c r="G516" t="str">
        <f t="shared" si="34"/>
        <v>Normal</v>
      </c>
      <c r="H516" t="str">
        <f t="shared" si="35"/>
        <v>OK</v>
      </c>
      <c r="I516" t="str">
        <f t="shared" si="32"/>
        <v>OK</v>
      </c>
    </row>
    <row r="517" spans="1:9" x14ac:dyDescent="0.2">
      <c r="A517" t="str">
        <f>ObesityDataSet_raw_and_data_sin!A517</f>
        <v>Female</v>
      </c>
      <c r="B517">
        <f>ObesityDataSet_raw_and_data_sin!C517</f>
        <v>1.57206</v>
      </c>
      <c r="C517">
        <f>ObesityDataSet_raw_and_data_sin!D517</f>
        <v>43.919834999999999</v>
      </c>
      <c r="D517" t="str">
        <f>ObesityDataSet_raw_and_data_sin!Q517</f>
        <v>Insufficient_Weight</v>
      </c>
      <c r="E517" t="b">
        <f t="shared" si="33"/>
        <v>0</v>
      </c>
      <c r="F517">
        <f>C517/(B517*B517)</f>
        <v>17.771433666119584</v>
      </c>
      <c r="G517" t="str">
        <f t="shared" si="34"/>
        <v>Normal</v>
      </c>
      <c r="H517" t="str">
        <f t="shared" si="35"/>
        <v>OK</v>
      </c>
      <c r="I517" t="str">
        <f t="shared" si="32"/>
        <v>OK</v>
      </c>
    </row>
    <row r="518" spans="1:9" x14ac:dyDescent="0.2">
      <c r="A518" t="str">
        <f>ObesityDataSet_raw_and_data_sin!A518</f>
        <v>Female</v>
      </c>
      <c r="B518">
        <f>ObesityDataSet_raw_and_data_sin!C518</f>
        <v>1.5869519999999999</v>
      </c>
      <c r="C518">
        <f>ObesityDataSet_raw_and_data_sin!D518</f>
        <v>43.087508</v>
      </c>
      <c r="D518" t="str">
        <f>ObesityDataSet_raw_and_data_sin!Q518</f>
        <v>Insufficient_Weight</v>
      </c>
      <c r="E518" t="b">
        <f t="shared" si="33"/>
        <v>0</v>
      </c>
      <c r="F518">
        <f>C518/(B518*B518)</f>
        <v>17.10896725321399</v>
      </c>
      <c r="G518" t="str">
        <f t="shared" si="34"/>
        <v>Normal</v>
      </c>
      <c r="H518" t="str">
        <f t="shared" si="35"/>
        <v>OK</v>
      </c>
      <c r="I518" t="str">
        <f t="shared" si="32"/>
        <v>OK</v>
      </c>
    </row>
    <row r="519" spans="1:9" x14ac:dyDescent="0.2">
      <c r="A519" t="str">
        <f>ObesityDataSet_raw_and_data_sin!A519</f>
        <v>Female</v>
      </c>
      <c r="B519">
        <f>ObesityDataSet_raw_and_data_sin!C519</f>
        <v>1.5955900000000001</v>
      </c>
      <c r="C519">
        <f>ObesityDataSet_raw_and_data_sin!D519</f>
        <v>44.581159</v>
      </c>
      <c r="D519" t="str">
        <f>ObesityDataSet_raw_and_data_sin!Q519</f>
        <v>Insufficient_Weight</v>
      </c>
      <c r="E519" t="b">
        <f t="shared" si="33"/>
        <v>0</v>
      </c>
      <c r="F519">
        <f>C519/(B519*B519)</f>
        <v>17.510911102943165</v>
      </c>
      <c r="G519" t="str">
        <f t="shared" si="34"/>
        <v>Normal</v>
      </c>
      <c r="H519" t="str">
        <f t="shared" si="35"/>
        <v>OK</v>
      </c>
      <c r="I519" t="str">
        <f t="shared" si="32"/>
        <v>OK</v>
      </c>
    </row>
    <row r="520" spans="1:9" x14ac:dyDescent="0.2">
      <c r="A520" t="str">
        <f>ObesityDataSet_raw_and_data_sin!A520</f>
        <v>Female</v>
      </c>
      <c r="B520">
        <f>ObesityDataSet_raw_and_data_sin!C520</f>
        <v>1.6</v>
      </c>
      <c r="C520">
        <f>ObesityDataSet_raw_and_data_sin!D520</f>
        <v>45</v>
      </c>
      <c r="D520" t="str">
        <f>ObesityDataSet_raw_and_data_sin!Q520</f>
        <v>Insufficient_Weight</v>
      </c>
      <c r="E520" t="b">
        <f t="shared" si="33"/>
        <v>0</v>
      </c>
      <c r="F520">
        <f>C520/(B520*B520)</f>
        <v>17.578124999999996</v>
      </c>
      <c r="G520" t="str">
        <f t="shared" si="34"/>
        <v>Normal</v>
      </c>
      <c r="H520" t="str">
        <f t="shared" si="35"/>
        <v>OK</v>
      </c>
      <c r="I520" t="str">
        <f t="shared" si="32"/>
        <v>OK</v>
      </c>
    </row>
    <row r="521" spans="1:9" x14ac:dyDescent="0.2">
      <c r="A521" t="str">
        <f>ObesityDataSet_raw_and_data_sin!A521</f>
        <v>Female</v>
      </c>
      <c r="B521">
        <f>ObesityDataSet_raw_and_data_sin!C521</f>
        <v>1.6880250000000001</v>
      </c>
      <c r="C521">
        <f>ObesityDataSet_raw_and_data_sin!D521</f>
        <v>45</v>
      </c>
      <c r="D521" t="str">
        <f>ObesityDataSet_raw_and_data_sin!Q521</f>
        <v>Insufficient_Weight</v>
      </c>
      <c r="E521" t="b">
        <f t="shared" si="33"/>
        <v>0</v>
      </c>
      <c r="F521">
        <f>C521/(B521*B521)</f>
        <v>15.792641075006339</v>
      </c>
      <c r="G521" t="str">
        <f t="shared" si="34"/>
        <v>Normal</v>
      </c>
      <c r="H521" t="str">
        <f t="shared" si="35"/>
        <v>OK</v>
      </c>
      <c r="I521" t="str">
        <f t="shared" si="32"/>
        <v>OK</v>
      </c>
    </row>
    <row r="522" spans="1:9" x14ac:dyDescent="0.2">
      <c r="A522" t="str">
        <f>ObesityDataSet_raw_and_data_sin!A522</f>
        <v>Female</v>
      </c>
      <c r="B522">
        <f>ObesityDataSet_raw_and_data_sin!C522</f>
        <v>1.556211</v>
      </c>
      <c r="C522">
        <f>ObesityDataSet_raw_and_data_sin!D522</f>
        <v>42.339767000000002</v>
      </c>
      <c r="D522" t="str">
        <f>ObesityDataSet_raw_and_data_sin!Q522</f>
        <v>Insufficient_Weight</v>
      </c>
      <c r="E522" t="b">
        <f t="shared" si="33"/>
        <v>0</v>
      </c>
      <c r="F522">
        <f>C522/(B522*B522)</f>
        <v>17.482820643764907</v>
      </c>
      <c r="G522" t="str">
        <f t="shared" si="34"/>
        <v>Normal</v>
      </c>
      <c r="H522" t="str">
        <f t="shared" si="35"/>
        <v>OK</v>
      </c>
      <c r="I522" t="str">
        <f t="shared" si="32"/>
        <v>OK</v>
      </c>
    </row>
    <row r="523" spans="1:9" x14ac:dyDescent="0.2">
      <c r="A523" t="str">
        <f>ObesityDataSet_raw_and_data_sin!A523</f>
        <v>Female</v>
      </c>
      <c r="B523">
        <f>ObesityDataSet_raw_and_data_sin!C523</f>
        <v>1.5641989999999999</v>
      </c>
      <c r="C523">
        <f>ObesityDataSet_raw_and_data_sin!D523</f>
        <v>42.096062000000003</v>
      </c>
      <c r="D523" t="str">
        <f>ObesityDataSet_raw_and_data_sin!Q523</f>
        <v>Insufficient_Weight</v>
      </c>
      <c r="E523" t="b">
        <f t="shared" si="33"/>
        <v>0</v>
      </c>
      <c r="F523">
        <f>C523/(B523*B523)</f>
        <v>17.205110355115853</v>
      </c>
      <c r="G523" t="str">
        <f t="shared" si="34"/>
        <v>Normal</v>
      </c>
      <c r="H523" t="str">
        <f t="shared" si="35"/>
        <v>OK</v>
      </c>
      <c r="I523" t="str">
        <f t="shared" si="32"/>
        <v>OK</v>
      </c>
    </row>
    <row r="524" spans="1:9" x14ac:dyDescent="0.2">
      <c r="A524" t="str">
        <f>ObesityDataSet_raw_and_data_sin!A524</f>
        <v>Female</v>
      </c>
      <c r="B524">
        <f>ObesityDataSet_raw_and_data_sin!C524</f>
        <v>1.56948</v>
      </c>
      <c r="C524">
        <f>ObesityDataSet_raw_and_data_sin!D524</f>
        <v>41.324558000000003</v>
      </c>
      <c r="D524" t="str">
        <f>ObesityDataSet_raw_and_data_sin!Q524</f>
        <v>Insufficient_Weight</v>
      </c>
      <c r="E524" t="b">
        <f t="shared" si="33"/>
        <v>0</v>
      </c>
      <c r="F524">
        <f>C524/(B524*B524)</f>
        <v>16.776317836604839</v>
      </c>
      <c r="G524" t="str">
        <f t="shared" si="34"/>
        <v>Normal</v>
      </c>
      <c r="H524" t="str">
        <f t="shared" si="35"/>
        <v>OK</v>
      </c>
      <c r="I524" t="str">
        <f t="shared" si="32"/>
        <v>OK</v>
      </c>
    </row>
    <row r="525" spans="1:9" x14ac:dyDescent="0.2">
      <c r="A525" t="str">
        <f>ObesityDataSet_raw_and_data_sin!A525</f>
        <v>Female</v>
      </c>
      <c r="B525">
        <f>ObesityDataSet_raw_and_data_sin!C525</f>
        <v>1.52</v>
      </c>
      <c r="C525">
        <f>ObesityDataSet_raw_and_data_sin!D525</f>
        <v>42</v>
      </c>
      <c r="D525" t="str">
        <f>ObesityDataSet_raw_and_data_sin!Q525</f>
        <v>Insufficient_Weight</v>
      </c>
      <c r="E525" t="b">
        <f t="shared" si="33"/>
        <v>0</v>
      </c>
      <c r="F525">
        <f>C525/(B525*B525)</f>
        <v>18.178670360110804</v>
      </c>
      <c r="G525" t="str">
        <f t="shared" si="34"/>
        <v>Normal</v>
      </c>
      <c r="H525" t="str">
        <f t="shared" si="35"/>
        <v>OK</v>
      </c>
      <c r="I525" t="str">
        <f t="shared" si="32"/>
        <v>OK</v>
      </c>
    </row>
    <row r="526" spans="1:9" x14ac:dyDescent="0.2">
      <c r="A526" t="str">
        <f>ObesityDataSet_raw_and_data_sin!A526</f>
        <v>Female</v>
      </c>
      <c r="B526">
        <f>ObesityDataSet_raw_and_data_sin!C526</f>
        <v>1.550648</v>
      </c>
      <c r="C526">
        <f>ObesityDataSet_raw_and_data_sin!D526</f>
        <v>44.641795999999999</v>
      </c>
      <c r="D526" t="str">
        <f>ObesityDataSet_raw_and_data_sin!Q526</f>
        <v>Insufficient_Weight</v>
      </c>
      <c r="E526" t="b">
        <f t="shared" si="33"/>
        <v>0</v>
      </c>
      <c r="F526">
        <f>C526/(B526*B526)</f>
        <v>18.565866011435933</v>
      </c>
      <c r="G526" t="str">
        <f t="shared" si="34"/>
        <v>Normal</v>
      </c>
      <c r="H526" t="str">
        <f t="shared" si="35"/>
        <v>OK</v>
      </c>
      <c r="I526" t="str">
        <f t="shared" si="32"/>
        <v>OK</v>
      </c>
    </row>
    <row r="527" spans="1:9" x14ac:dyDescent="0.2">
      <c r="A527" t="str">
        <f>ObesityDataSet_raw_and_data_sin!A527</f>
        <v>Female</v>
      </c>
      <c r="B527">
        <f>ObesityDataSet_raw_and_data_sin!C527</f>
        <v>1.5209969999999999</v>
      </c>
      <c r="C527">
        <f>ObesityDataSet_raw_and_data_sin!D527</f>
        <v>42</v>
      </c>
      <c r="D527" t="str">
        <f>ObesityDataSet_raw_and_data_sin!Q527</f>
        <v>Insufficient_Weight</v>
      </c>
      <c r="E527" t="b">
        <f t="shared" si="33"/>
        <v>0</v>
      </c>
      <c r="F527">
        <f>C527/(B527*B527)</f>
        <v>18.154846257571968</v>
      </c>
      <c r="G527" t="str">
        <f t="shared" si="34"/>
        <v>Normal</v>
      </c>
      <c r="H527" t="str">
        <f t="shared" si="35"/>
        <v>OK</v>
      </c>
      <c r="I527" t="str">
        <f t="shared" si="32"/>
        <v>OK</v>
      </c>
    </row>
    <row r="528" spans="1:9" x14ac:dyDescent="0.2">
      <c r="A528" t="str">
        <f>ObesityDataSet_raw_and_data_sin!A528</f>
        <v>Female</v>
      </c>
      <c r="B528">
        <f>ObesityDataSet_raw_and_data_sin!C528</f>
        <v>1.528011</v>
      </c>
      <c r="C528">
        <f>ObesityDataSet_raw_and_data_sin!D528</f>
        <v>42</v>
      </c>
      <c r="D528" t="str">
        <f>ObesityDataSet_raw_and_data_sin!Q528</f>
        <v>Insufficient_Weight</v>
      </c>
      <c r="E528" t="b">
        <f t="shared" si="33"/>
        <v>0</v>
      </c>
      <c r="F528">
        <f>C528/(B528*B528)</f>
        <v>17.988557097567909</v>
      </c>
      <c r="G528" t="str">
        <f t="shared" si="34"/>
        <v>Normal</v>
      </c>
      <c r="H528" t="str">
        <f t="shared" si="35"/>
        <v>OK</v>
      </c>
      <c r="I528" t="str">
        <f t="shared" si="32"/>
        <v>OK</v>
      </c>
    </row>
    <row r="529" spans="1:9" x14ac:dyDescent="0.2">
      <c r="A529" t="str">
        <f>ObesityDataSet_raw_and_data_sin!A529</f>
        <v>Female</v>
      </c>
      <c r="B529">
        <f>ObesityDataSet_raw_and_data_sin!C529</f>
        <v>1.52</v>
      </c>
      <c r="C529">
        <f>ObesityDataSet_raw_and_data_sin!D529</f>
        <v>42</v>
      </c>
      <c r="D529" t="str">
        <f>ObesityDataSet_raw_and_data_sin!Q529</f>
        <v>Insufficient_Weight</v>
      </c>
      <c r="E529" t="b">
        <f t="shared" si="33"/>
        <v>0</v>
      </c>
      <c r="F529">
        <f>C529/(B529*B529)</f>
        <v>18.178670360110804</v>
      </c>
      <c r="G529" t="str">
        <f t="shared" si="34"/>
        <v>Normal</v>
      </c>
      <c r="H529" t="str">
        <f t="shared" si="35"/>
        <v>OK</v>
      </c>
      <c r="I529" t="str">
        <f t="shared" si="32"/>
        <v>OK</v>
      </c>
    </row>
    <row r="530" spans="1:9" x14ac:dyDescent="0.2">
      <c r="A530" t="str">
        <f>ObesityDataSet_raw_and_data_sin!A530</f>
        <v>Female</v>
      </c>
      <c r="B530">
        <f>ObesityDataSet_raw_and_data_sin!C530</f>
        <v>1.733263</v>
      </c>
      <c r="C530">
        <f>ObesityDataSet_raw_and_data_sin!D530</f>
        <v>50.890363000000001</v>
      </c>
      <c r="D530" t="str">
        <f>ObesityDataSet_raw_and_data_sin!Q530</f>
        <v>Insufficient_Weight</v>
      </c>
      <c r="E530" t="b">
        <f t="shared" si="33"/>
        <v>0</v>
      </c>
      <c r="F530">
        <f>C530/(B530*B530)</f>
        <v>16.939735162746569</v>
      </c>
      <c r="G530" t="str">
        <f t="shared" si="34"/>
        <v>Normal</v>
      </c>
      <c r="H530" t="str">
        <f t="shared" si="35"/>
        <v>OK</v>
      </c>
      <c r="I530" t="str">
        <f t="shared" si="32"/>
        <v>OK</v>
      </c>
    </row>
    <row r="531" spans="1:9" x14ac:dyDescent="0.2">
      <c r="A531" t="str">
        <f>ObesityDataSet_raw_and_data_sin!A531</f>
        <v>Female</v>
      </c>
      <c r="B531">
        <f>ObesityDataSet_raw_and_data_sin!C531</f>
        <v>1.7225269999999999</v>
      </c>
      <c r="C531">
        <f>ObesityDataSet_raw_and_data_sin!D531</f>
        <v>50.833029000000003</v>
      </c>
      <c r="D531" t="str">
        <f>ObesityDataSet_raw_and_data_sin!Q531</f>
        <v>Insufficient_Weight</v>
      </c>
      <c r="E531" t="b">
        <f t="shared" si="33"/>
        <v>0</v>
      </c>
      <c r="F531">
        <f>C531/(B531*B531)</f>
        <v>17.132230656095224</v>
      </c>
      <c r="G531" t="str">
        <f t="shared" si="34"/>
        <v>Normal</v>
      </c>
      <c r="H531" t="str">
        <f t="shared" si="35"/>
        <v>OK</v>
      </c>
      <c r="I531" t="str">
        <f t="shared" si="32"/>
        <v>OK</v>
      </c>
    </row>
    <row r="532" spans="1:9" x14ac:dyDescent="0.2">
      <c r="A532" t="str">
        <f>ObesityDataSet_raw_and_data_sin!A532</f>
        <v>Female</v>
      </c>
      <c r="B532">
        <f>ObesityDataSet_raw_and_data_sin!C532</f>
        <v>1.7348319999999999</v>
      </c>
      <c r="C532">
        <f>ObesityDataSet_raw_and_data_sin!D532</f>
        <v>50</v>
      </c>
      <c r="D532" t="str">
        <f>ObesityDataSet_raw_and_data_sin!Q532</f>
        <v>Insufficient_Weight</v>
      </c>
      <c r="E532" t="b">
        <f t="shared" si="33"/>
        <v>0</v>
      </c>
      <c r="F532">
        <f>C532/(B532*B532)</f>
        <v>16.613271235109089</v>
      </c>
      <c r="G532" t="str">
        <f t="shared" si="34"/>
        <v>Normal</v>
      </c>
      <c r="H532" t="str">
        <f t="shared" si="35"/>
        <v>OK</v>
      </c>
      <c r="I532" t="str">
        <f t="shared" si="32"/>
        <v>OK</v>
      </c>
    </row>
    <row r="533" spans="1:9" x14ac:dyDescent="0.2">
      <c r="A533" t="str">
        <f>ObesityDataSet_raw_and_data_sin!A533</f>
        <v>Male</v>
      </c>
      <c r="B533">
        <f>ObesityDataSet_raw_and_data_sin!C533</f>
        <v>1.882779</v>
      </c>
      <c r="C533">
        <f>ObesityDataSet_raw_and_data_sin!D533</f>
        <v>64.106108000000006</v>
      </c>
      <c r="D533" t="str">
        <f>ObesityDataSet_raw_and_data_sin!Q533</f>
        <v>Insufficient_Weight</v>
      </c>
      <c r="E533" t="b">
        <f t="shared" si="33"/>
        <v>0</v>
      </c>
      <c r="F533">
        <f>C533/(B533*B533)</f>
        <v>18.084259051590742</v>
      </c>
      <c r="G533" t="str">
        <f t="shared" si="34"/>
        <v>Normal</v>
      </c>
      <c r="H533" t="str">
        <f t="shared" si="35"/>
        <v>OK</v>
      </c>
      <c r="I533" t="str">
        <f t="shared" si="32"/>
        <v>OK</v>
      </c>
    </row>
    <row r="534" spans="1:9" x14ac:dyDescent="0.2">
      <c r="A534" t="str">
        <f>ObesityDataSet_raw_and_data_sin!A534</f>
        <v>Male</v>
      </c>
      <c r="B534">
        <f>ObesityDataSet_raw_and_data_sin!C534</f>
        <v>1.854592</v>
      </c>
      <c r="C534">
        <f>ObesityDataSet_raw_and_data_sin!D534</f>
        <v>63.611108999999999</v>
      </c>
      <c r="D534" t="str">
        <f>ObesityDataSet_raw_and_data_sin!Q534</f>
        <v>Insufficient_Weight</v>
      </c>
      <c r="E534" t="b">
        <f t="shared" si="33"/>
        <v>0</v>
      </c>
      <c r="F534">
        <f>C534/(B534*B534)</f>
        <v>18.494227814135193</v>
      </c>
      <c r="G534" t="str">
        <f t="shared" si="34"/>
        <v>Normal</v>
      </c>
      <c r="H534" t="str">
        <f t="shared" si="35"/>
        <v>OK</v>
      </c>
      <c r="I534" t="str">
        <f t="shared" si="32"/>
        <v>OK</v>
      </c>
    </row>
    <row r="535" spans="1:9" x14ac:dyDescent="0.2">
      <c r="A535" t="str">
        <f>ObesityDataSet_raw_and_data_sin!A535</f>
        <v>Male</v>
      </c>
      <c r="B535">
        <f>ObesityDataSet_raw_and_data_sin!C535</f>
        <v>1.8356429999999999</v>
      </c>
      <c r="C535">
        <f>ObesityDataSet_raw_and_data_sin!D535</f>
        <v>58.854416000000001</v>
      </c>
      <c r="D535" t="str">
        <f>ObesityDataSet_raw_and_data_sin!Q535</f>
        <v>Insufficient_Weight</v>
      </c>
      <c r="E535" t="b">
        <f t="shared" si="33"/>
        <v>0</v>
      </c>
      <c r="F535">
        <f>C535/(B535*B535)</f>
        <v>17.466368142414424</v>
      </c>
      <c r="G535" t="str">
        <f t="shared" si="34"/>
        <v>Normal</v>
      </c>
      <c r="H535" t="str">
        <f t="shared" si="35"/>
        <v>OK</v>
      </c>
      <c r="I535" t="str">
        <f t="shared" si="32"/>
        <v>OK</v>
      </c>
    </row>
    <row r="536" spans="1:9" x14ac:dyDescent="0.2">
      <c r="A536" t="str">
        <f>ObesityDataSet_raw_and_data_sin!A536</f>
        <v>Male</v>
      </c>
      <c r="B536">
        <f>ObesityDataSet_raw_and_data_sin!C536</f>
        <v>1.7555069999999999</v>
      </c>
      <c r="C536">
        <f>ObesityDataSet_raw_and_data_sin!D536</f>
        <v>52</v>
      </c>
      <c r="D536" t="str">
        <f>ObesityDataSet_raw_and_data_sin!Q536</f>
        <v>Insufficient_Weight</v>
      </c>
      <c r="E536" t="b">
        <f t="shared" si="33"/>
        <v>0</v>
      </c>
      <c r="F536">
        <f>C536/(B536*B536)</f>
        <v>16.87322946073548</v>
      </c>
      <c r="G536" t="str">
        <f t="shared" si="34"/>
        <v>Normal</v>
      </c>
      <c r="H536" t="str">
        <f t="shared" si="35"/>
        <v>OK</v>
      </c>
      <c r="I536" t="str">
        <f t="shared" si="32"/>
        <v>OK</v>
      </c>
    </row>
    <row r="537" spans="1:9" x14ac:dyDescent="0.2">
      <c r="A537" t="str">
        <f>ObesityDataSet_raw_and_data_sin!A537</f>
        <v>Male</v>
      </c>
      <c r="B537">
        <f>ObesityDataSet_raw_and_data_sin!C537</f>
        <v>1.7126600000000001</v>
      </c>
      <c r="C537">
        <f>ObesityDataSet_raw_and_data_sin!D537</f>
        <v>51.598593000000001</v>
      </c>
      <c r="D537" t="str">
        <f>ObesityDataSet_raw_and_data_sin!Q537</f>
        <v>Insufficient_Weight</v>
      </c>
      <c r="E537" t="b">
        <f t="shared" si="33"/>
        <v>0</v>
      </c>
      <c r="F537">
        <f>C537/(B537*B537)</f>
        <v>17.591203391194185</v>
      </c>
      <c r="G537" t="str">
        <f t="shared" si="34"/>
        <v>Normal</v>
      </c>
      <c r="H537" t="str">
        <f t="shared" si="35"/>
        <v>OK</v>
      </c>
      <c r="I537" t="str">
        <f t="shared" si="32"/>
        <v>OK</v>
      </c>
    </row>
    <row r="538" spans="1:9" x14ac:dyDescent="0.2">
      <c r="A538" t="str">
        <f>ObesityDataSet_raw_and_data_sin!A538</f>
        <v>Male</v>
      </c>
      <c r="B538">
        <f>ObesityDataSet_raw_and_data_sin!C538</f>
        <v>1.6942649999999999</v>
      </c>
      <c r="C538">
        <f>ObesityDataSet_raw_and_data_sin!D538</f>
        <v>52</v>
      </c>
      <c r="D538" t="str">
        <f>ObesityDataSet_raw_and_data_sin!Q538</f>
        <v>Insufficient_Weight</v>
      </c>
      <c r="E538" t="b">
        <f t="shared" si="33"/>
        <v>0</v>
      </c>
      <c r="F538">
        <f>C538/(B538*B538)</f>
        <v>18.115097047652036</v>
      </c>
      <c r="G538" t="str">
        <f t="shared" si="34"/>
        <v>Normal</v>
      </c>
      <c r="H538" t="str">
        <f t="shared" si="35"/>
        <v>OK</v>
      </c>
      <c r="I538" t="str">
        <f t="shared" si="32"/>
        <v>OK</v>
      </c>
    </row>
    <row r="539" spans="1:9" x14ac:dyDescent="0.2">
      <c r="A539" t="str">
        <f>ObesityDataSet_raw_and_data_sin!A539</f>
        <v>Female</v>
      </c>
      <c r="B539">
        <f>ObesityDataSet_raw_and_data_sin!C539</f>
        <v>1.5868949999999999</v>
      </c>
      <c r="C539">
        <f>ObesityDataSet_raw_and_data_sin!D539</f>
        <v>41.452385</v>
      </c>
      <c r="D539" t="str">
        <f>ObesityDataSet_raw_and_data_sin!Q539</f>
        <v>Insufficient_Weight</v>
      </c>
      <c r="E539" t="b">
        <f t="shared" si="33"/>
        <v>0</v>
      </c>
      <c r="F539">
        <f>C539/(B539*B539)</f>
        <v>16.460883437039772</v>
      </c>
      <c r="G539" t="str">
        <f t="shared" si="34"/>
        <v>Normal</v>
      </c>
      <c r="H539" t="str">
        <f t="shared" si="35"/>
        <v>OK</v>
      </c>
      <c r="I539" t="str">
        <f t="shared" si="32"/>
        <v>OK</v>
      </c>
    </row>
    <row r="540" spans="1:9" x14ac:dyDescent="0.2">
      <c r="A540" t="str">
        <f>ObesityDataSet_raw_and_data_sin!A540</f>
        <v>Female</v>
      </c>
      <c r="B540">
        <f>ObesityDataSet_raw_and_data_sin!C540</f>
        <v>1.579561</v>
      </c>
      <c r="C540">
        <f>ObesityDataSet_raw_and_data_sin!D540</f>
        <v>41.890203999999997</v>
      </c>
      <c r="D540" t="str">
        <f>ObesityDataSet_raw_and_data_sin!Q540</f>
        <v>Insufficient_Weight</v>
      </c>
      <c r="E540" t="b">
        <f t="shared" si="33"/>
        <v>0</v>
      </c>
      <c r="F540">
        <f>C540/(B540*B540)</f>
        <v>16.789573759252661</v>
      </c>
      <c r="G540" t="str">
        <f t="shared" si="34"/>
        <v>Normal</v>
      </c>
      <c r="H540" t="str">
        <f t="shared" si="35"/>
        <v>OK</v>
      </c>
      <c r="I540" t="str">
        <f t="shared" si="32"/>
        <v>OK</v>
      </c>
    </row>
    <row r="541" spans="1:9" x14ac:dyDescent="0.2">
      <c r="A541" t="str">
        <f>ObesityDataSet_raw_and_data_sin!A541</f>
        <v>Female</v>
      </c>
      <c r="B541">
        <f>ObesityDataSet_raw_and_data_sin!C541</f>
        <v>1.564568</v>
      </c>
      <c r="C541">
        <f>ObesityDataSet_raw_and_data_sin!D541</f>
        <v>41.397378000000003</v>
      </c>
      <c r="D541" t="str">
        <f>ObesityDataSet_raw_and_data_sin!Q541</f>
        <v>Insufficient_Weight</v>
      </c>
      <c r="E541" t="b">
        <f t="shared" si="33"/>
        <v>0</v>
      </c>
      <c r="F541">
        <f>C541/(B541*B541)</f>
        <v>16.911570800342314</v>
      </c>
      <c r="G541" t="str">
        <f t="shared" si="34"/>
        <v>Normal</v>
      </c>
      <c r="H541" t="str">
        <f t="shared" si="35"/>
        <v>OK</v>
      </c>
      <c r="I541" t="str">
        <f t="shared" si="32"/>
        <v>OK</v>
      </c>
    </row>
    <row r="542" spans="1:9" x14ac:dyDescent="0.2">
      <c r="A542" t="str">
        <f>ObesityDataSet_raw_and_data_sin!A542</f>
        <v>Female</v>
      </c>
      <c r="B542">
        <f>ObesityDataSet_raw_and_data_sin!C542</f>
        <v>1.6706350000000001</v>
      </c>
      <c r="C542">
        <f>ObesityDataSet_raw_and_data_sin!D542</f>
        <v>49.742930999999999</v>
      </c>
      <c r="D542" t="str">
        <f>ObesityDataSet_raw_and_data_sin!Q542</f>
        <v>Insufficient_Weight</v>
      </c>
      <c r="E542" t="b">
        <f t="shared" si="33"/>
        <v>0</v>
      </c>
      <c r="F542">
        <f>C542/(B542*B542)</f>
        <v>17.822483455257931</v>
      </c>
      <c r="G542" t="str">
        <f t="shared" si="34"/>
        <v>Normal</v>
      </c>
      <c r="H542" t="str">
        <f t="shared" si="35"/>
        <v>OK</v>
      </c>
      <c r="I542" t="str">
        <f t="shared" si="32"/>
        <v>OK</v>
      </c>
    </row>
    <row r="543" spans="1:9" x14ac:dyDescent="0.2">
      <c r="A543" t="str">
        <f>ObesityDataSet_raw_and_data_sin!A543</f>
        <v>Female</v>
      </c>
      <c r="B543">
        <f>ObesityDataSet_raw_and_data_sin!C543</f>
        <v>1.688426</v>
      </c>
      <c r="C543">
        <f>ObesityDataSet_raw_and_data_sin!D543</f>
        <v>49.660995</v>
      </c>
      <c r="D543" t="str">
        <f>ObesityDataSet_raw_and_data_sin!Q543</f>
        <v>Insufficient_Weight</v>
      </c>
      <c r="E543" t="b">
        <f t="shared" si="33"/>
        <v>0</v>
      </c>
      <c r="F543">
        <f>C543/(B543*B543)</f>
        <v>17.420128502537949</v>
      </c>
      <c r="G543" t="str">
        <f t="shared" si="34"/>
        <v>Normal</v>
      </c>
      <c r="H543" t="str">
        <f t="shared" si="35"/>
        <v>OK</v>
      </c>
      <c r="I543" t="str">
        <f t="shared" si="32"/>
        <v>OK</v>
      </c>
    </row>
    <row r="544" spans="1:9" x14ac:dyDescent="0.2">
      <c r="A544" t="str">
        <f>ObesityDataSet_raw_and_data_sin!A544</f>
        <v>Female</v>
      </c>
      <c r="B544">
        <f>ObesityDataSet_raw_and_data_sin!C544</f>
        <v>1.6608400000000001</v>
      </c>
      <c r="C544">
        <f>ObesityDataSet_raw_and_data_sin!D544</f>
        <v>49.039794000000001</v>
      </c>
      <c r="D544" t="str">
        <f>ObesityDataSet_raw_and_data_sin!Q544</f>
        <v>Insufficient_Weight</v>
      </c>
      <c r="E544" t="b">
        <f t="shared" si="33"/>
        <v>0</v>
      </c>
      <c r="F544">
        <f>C544/(B544*B544)</f>
        <v>17.778415231221288</v>
      </c>
      <c r="G544" t="str">
        <f t="shared" si="34"/>
        <v>Normal</v>
      </c>
      <c r="H544" t="str">
        <f t="shared" si="35"/>
        <v>OK</v>
      </c>
      <c r="I544" t="str">
        <f t="shared" si="32"/>
        <v>OK</v>
      </c>
    </row>
    <row r="545" spans="1:9" x14ac:dyDescent="0.2">
      <c r="A545" t="str">
        <f>ObesityDataSet_raw_and_data_sin!A545</f>
        <v>Female</v>
      </c>
      <c r="B545">
        <f>ObesityDataSet_raw_and_data_sin!C545</f>
        <v>1.7101820000000001</v>
      </c>
      <c r="C545">
        <f>ObesityDataSet_raw_and_data_sin!D545</f>
        <v>50.287967000000002</v>
      </c>
      <c r="D545" t="str">
        <f>ObesityDataSet_raw_and_data_sin!Q545</f>
        <v>Insufficient_Weight</v>
      </c>
      <c r="E545" t="b">
        <f t="shared" si="33"/>
        <v>0</v>
      </c>
      <c r="F545">
        <f>C545/(B545*B545)</f>
        <v>17.194098743422185</v>
      </c>
      <c r="G545" t="str">
        <f t="shared" si="34"/>
        <v>Normal</v>
      </c>
      <c r="H545" t="str">
        <f t="shared" si="35"/>
        <v>OK</v>
      </c>
      <c r="I545" t="str">
        <f t="shared" si="32"/>
        <v>OK</v>
      </c>
    </row>
    <row r="546" spans="1:9" x14ac:dyDescent="0.2">
      <c r="A546" t="str">
        <f>ObesityDataSet_raw_and_data_sin!A546</f>
        <v>Female</v>
      </c>
      <c r="B546">
        <f>ObesityDataSet_raw_and_data_sin!C546</f>
        <v>1.755978</v>
      </c>
      <c r="C546">
        <f>ObesityDataSet_raw_and_data_sin!D546</f>
        <v>53.699561000000003</v>
      </c>
      <c r="D546" t="str">
        <f>ObesityDataSet_raw_and_data_sin!Q546</f>
        <v>Insufficient_Weight</v>
      </c>
      <c r="E546" t="b">
        <f t="shared" si="33"/>
        <v>0</v>
      </c>
      <c r="F546">
        <f>C546/(B546*B546)</f>
        <v>17.415365532419099</v>
      </c>
      <c r="G546" t="str">
        <f t="shared" si="34"/>
        <v>Normal</v>
      </c>
      <c r="H546" t="str">
        <f t="shared" si="35"/>
        <v>OK</v>
      </c>
      <c r="I546" t="str">
        <f t="shared" si="32"/>
        <v>OK</v>
      </c>
    </row>
    <row r="547" spans="1:9" x14ac:dyDescent="0.2">
      <c r="A547" t="str">
        <f>ObesityDataSet_raw_and_data_sin!A547</f>
        <v>Female</v>
      </c>
      <c r="B547">
        <f>ObesityDataSet_raw_and_data_sin!C547</f>
        <v>1.728834</v>
      </c>
      <c r="C547">
        <f>ObesityDataSet_raw_and_data_sin!D547</f>
        <v>51.442292999999999</v>
      </c>
      <c r="D547" t="str">
        <f>ObesityDataSet_raw_and_data_sin!Q547</f>
        <v>Insufficient_Weight</v>
      </c>
      <c r="E547" t="b">
        <f t="shared" si="33"/>
        <v>0</v>
      </c>
      <c r="F547">
        <f>C547/(B547*B547)</f>
        <v>17.211302144806648</v>
      </c>
      <c r="G547" t="str">
        <f t="shared" si="34"/>
        <v>Normal</v>
      </c>
      <c r="H547" t="str">
        <f t="shared" si="35"/>
        <v>OK</v>
      </c>
      <c r="I547" t="str">
        <f t="shared" si="32"/>
        <v>OK</v>
      </c>
    </row>
    <row r="548" spans="1:9" x14ac:dyDescent="0.2">
      <c r="A548" t="str">
        <f>ObesityDataSet_raw_and_data_sin!A548</f>
        <v>Female</v>
      </c>
      <c r="B548">
        <f>ObesityDataSet_raw_and_data_sin!C548</f>
        <v>1.6620170000000001</v>
      </c>
      <c r="C548">
        <f>ObesityDataSet_raw_and_data_sin!D548</f>
        <v>49.838965000000002</v>
      </c>
      <c r="D548" t="str">
        <f>ObesityDataSet_raw_and_data_sin!Q548</f>
        <v>Insufficient_Weight</v>
      </c>
      <c r="E548" t="b">
        <f t="shared" si="33"/>
        <v>0</v>
      </c>
      <c r="F548">
        <f>C548/(B548*B548)</f>
        <v>18.042557227370896</v>
      </c>
      <c r="G548" t="str">
        <f t="shared" si="34"/>
        <v>Normal</v>
      </c>
      <c r="H548" t="str">
        <f t="shared" si="35"/>
        <v>OK</v>
      </c>
      <c r="I548" t="str">
        <f t="shared" si="32"/>
        <v>OK</v>
      </c>
    </row>
    <row r="549" spans="1:9" x14ac:dyDescent="0.2">
      <c r="A549" t="str">
        <f>ObesityDataSet_raw_and_data_sin!A549</f>
        <v>Female</v>
      </c>
      <c r="B549">
        <f>ObesityDataSet_raw_and_data_sin!C549</f>
        <v>1.7</v>
      </c>
      <c r="C549">
        <f>ObesityDataSet_raw_and_data_sin!D549</f>
        <v>50</v>
      </c>
      <c r="D549" t="str">
        <f>ObesityDataSet_raw_and_data_sin!Q549</f>
        <v>Insufficient_Weight</v>
      </c>
      <c r="E549" t="b">
        <f t="shared" si="33"/>
        <v>0</v>
      </c>
      <c r="F549">
        <f>C549/(B549*B549)</f>
        <v>17.301038062283737</v>
      </c>
      <c r="G549" t="str">
        <f t="shared" si="34"/>
        <v>Normal</v>
      </c>
      <c r="H549" t="str">
        <f t="shared" si="35"/>
        <v>OK</v>
      </c>
      <c r="I549" t="str">
        <f t="shared" si="32"/>
        <v>OK</v>
      </c>
    </row>
    <row r="550" spans="1:9" x14ac:dyDescent="0.2">
      <c r="A550" t="str">
        <f>ObesityDataSet_raw_and_data_sin!A550</f>
        <v>Female</v>
      </c>
      <c r="B550">
        <f>ObesityDataSet_raw_and_data_sin!C550</f>
        <v>1.661403</v>
      </c>
      <c r="C550">
        <f>ObesityDataSet_raw_and_data_sin!D550</f>
        <v>49.932198999999997</v>
      </c>
      <c r="D550" t="str">
        <f>ObesityDataSet_raw_and_data_sin!Q550</f>
        <v>Insufficient_Weight</v>
      </c>
      <c r="E550" t="b">
        <f t="shared" si="33"/>
        <v>0</v>
      </c>
      <c r="F550">
        <f>C550/(B550*B550)</f>
        <v>18.089672818885816</v>
      </c>
      <c r="G550" t="str">
        <f t="shared" si="34"/>
        <v>Normal</v>
      </c>
      <c r="H550" t="str">
        <f t="shared" si="35"/>
        <v>OK</v>
      </c>
      <c r="I550" t="str">
        <f t="shared" si="32"/>
        <v>OK</v>
      </c>
    </row>
    <row r="551" spans="1:9" x14ac:dyDescent="0.2">
      <c r="A551" t="str">
        <f>ObesityDataSet_raw_and_data_sin!A551</f>
        <v>Female</v>
      </c>
      <c r="B551">
        <f>ObesityDataSet_raw_and_data_sin!C551</f>
        <v>1.6108629999999999</v>
      </c>
      <c r="C551">
        <f>ObesityDataSet_raw_and_data_sin!D551</f>
        <v>49.516027000000001</v>
      </c>
      <c r="D551" t="str">
        <f>ObesityDataSet_raw_and_data_sin!Q551</f>
        <v>Insufficient_Weight</v>
      </c>
      <c r="E551" t="b">
        <f t="shared" si="33"/>
        <v>0</v>
      </c>
      <c r="F551">
        <f>C551/(B551*B551)</f>
        <v>19.082205937029588</v>
      </c>
      <c r="G551" t="str">
        <f t="shared" si="34"/>
        <v>Normal</v>
      </c>
      <c r="H551" t="str">
        <f t="shared" si="35"/>
        <v>OK</v>
      </c>
      <c r="I551" t="str">
        <f t="shared" si="32"/>
        <v>OK</v>
      </c>
    </row>
    <row r="552" spans="1:9" x14ac:dyDescent="0.2">
      <c r="A552" t="str">
        <f>ObesityDataSet_raw_and_data_sin!A552</f>
        <v>Female</v>
      </c>
      <c r="B552">
        <f>ObesityDataSet_raw_and_data_sin!C552</f>
        <v>1.6406879999999999</v>
      </c>
      <c r="C552">
        <f>ObesityDataSet_raw_and_data_sin!D552</f>
        <v>46.655622000000001</v>
      </c>
      <c r="D552" t="str">
        <f>ObesityDataSet_raw_and_data_sin!Q552</f>
        <v>Insufficient_Weight</v>
      </c>
      <c r="E552" t="b">
        <f t="shared" si="33"/>
        <v>0</v>
      </c>
      <c r="F552">
        <f>C552/(B552*B552)</f>
        <v>17.332131697748757</v>
      </c>
      <c r="G552" t="str">
        <f t="shared" si="34"/>
        <v>Normal</v>
      </c>
      <c r="H552" t="str">
        <f t="shared" si="35"/>
        <v>OK</v>
      </c>
      <c r="I552" t="str">
        <f t="shared" si="32"/>
        <v>OK</v>
      </c>
    </row>
    <row r="553" spans="1:9" x14ac:dyDescent="0.2">
      <c r="A553" t="str">
        <f>ObesityDataSet_raw_and_data_sin!A553</f>
        <v>Female</v>
      </c>
      <c r="B553">
        <f>ObesityDataSet_raw_and_data_sin!C553</f>
        <v>1.6460300000000001</v>
      </c>
      <c r="C553">
        <f>ObesityDataSet_raw_and_data_sin!D553</f>
        <v>49.839685000000003</v>
      </c>
      <c r="D553" t="str">
        <f>ObesityDataSet_raw_and_data_sin!Q553</f>
        <v>Insufficient_Weight</v>
      </c>
      <c r="E553" t="b">
        <f t="shared" si="33"/>
        <v>0</v>
      </c>
      <c r="F553">
        <f>C553/(B553*B553)</f>
        <v>18.395000174666684</v>
      </c>
      <c r="G553" t="str">
        <f t="shared" si="34"/>
        <v>Normal</v>
      </c>
      <c r="H553" t="str">
        <f t="shared" si="35"/>
        <v>OK</v>
      </c>
      <c r="I553" t="str">
        <f t="shared" si="32"/>
        <v>OK</v>
      </c>
    </row>
    <row r="554" spans="1:9" x14ac:dyDescent="0.2">
      <c r="A554" t="str">
        <f>ObesityDataSet_raw_and_data_sin!A554</f>
        <v>Male</v>
      </c>
      <c r="B554">
        <f>ObesityDataSet_raw_and_data_sin!C554</f>
        <v>1.710564</v>
      </c>
      <c r="C554">
        <f>ObesityDataSet_raw_and_data_sin!D554</f>
        <v>51.588873999999997</v>
      </c>
      <c r="D554" t="str">
        <f>ObesityDataSet_raw_and_data_sin!Q554</f>
        <v>Insufficient_Weight</v>
      </c>
      <c r="E554" t="b">
        <f t="shared" si="33"/>
        <v>0</v>
      </c>
      <c r="F554">
        <f>C554/(B554*B554)</f>
        <v>17.631018184497087</v>
      </c>
      <c r="G554" t="str">
        <f t="shared" si="34"/>
        <v>Normal</v>
      </c>
      <c r="H554" t="str">
        <f t="shared" si="35"/>
        <v>OK</v>
      </c>
      <c r="I554" t="str">
        <f t="shared" si="32"/>
        <v>OK</v>
      </c>
    </row>
    <row r="555" spans="1:9" x14ac:dyDescent="0.2">
      <c r="A555" t="str">
        <f>ObesityDataSet_raw_and_data_sin!A555</f>
        <v>Male</v>
      </c>
      <c r="B555">
        <f>ObesityDataSet_raw_and_data_sin!C555</f>
        <v>1.7527550000000001</v>
      </c>
      <c r="C555">
        <f>ObesityDataSet_raw_and_data_sin!D555</f>
        <v>50</v>
      </c>
      <c r="D555" t="str">
        <f>ObesityDataSet_raw_and_data_sin!Q555</f>
        <v>Insufficient_Weight</v>
      </c>
      <c r="E555" t="b">
        <f t="shared" si="33"/>
        <v>0</v>
      </c>
      <c r="F555">
        <f>C555/(B555*B555)</f>
        <v>16.275246499949851</v>
      </c>
      <c r="G555" t="str">
        <f t="shared" si="34"/>
        <v>Normal</v>
      </c>
      <c r="H555" t="str">
        <f t="shared" si="35"/>
        <v>OK</v>
      </c>
      <c r="I555" t="str">
        <f t="shared" si="32"/>
        <v>OK</v>
      </c>
    </row>
    <row r="556" spans="1:9" x14ac:dyDescent="0.2">
      <c r="A556" t="str">
        <f>ObesityDataSet_raw_and_data_sin!A556</f>
        <v>Male</v>
      </c>
      <c r="B556">
        <f>ObesityDataSet_raw_and_data_sin!C556</f>
        <v>1.6910069999999999</v>
      </c>
      <c r="C556">
        <f>ObesityDataSet_raw_and_data_sin!D556</f>
        <v>52.629373999999999</v>
      </c>
      <c r="D556" t="str">
        <f>ObesityDataSet_raw_and_data_sin!Q556</f>
        <v>Insufficient_Weight</v>
      </c>
      <c r="E556" t="b">
        <f t="shared" si="33"/>
        <v>0</v>
      </c>
      <c r="F556">
        <f>C556/(B556*B556)</f>
        <v>18.40506661088191</v>
      </c>
      <c r="G556" t="str">
        <f t="shared" si="34"/>
        <v>Normal</v>
      </c>
      <c r="H556" t="str">
        <f t="shared" si="35"/>
        <v>OK</v>
      </c>
      <c r="I556" t="str">
        <f t="shared" si="32"/>
        <v>OK</v>
      </c>
    </row>
    <row r="557" spans="1:9" x14ac:dyDescent="0.2">
      <c r="A557" t="str">
        <f>ObesityDataSet_raw_and_data_sin!A557</f>
        <v>Male</v>
      </c>
      <c r="B557">
        <f>ObesityDataSet_raw_and_data_sin!C557</f>
        <v>1.753349</v>
      </c>
      <c r="C557">
        <f>ObesityDataSet_raw_and_data_sin!D557</f>
        <v>51.457225999999999</v>
      </c>
      <c r="D557" t="str">
        <f>ObesityDataSet_raw_and_data_sin!Q557</f>
        <v>Insufficient_Weight</v>
      </c>
      <c r="E557" t="b">
        <f t="shared" si="33"/>
        <v>0</v>
      </c>
      <c r="F557">
        <f>C557/(B557*B557)</f>
        <v>16.738233815390476</v>
      </c>
      <c r="G557" t="str">
        <f t="shared" si="34"/>
        <v>Normal</v>
      </c>
      <c r="H557" t="str">
        <f t="shared" si="35"/>
        <v>OK</v>
      </c>
      <c r="I557" t="str">
        <f t="shared" si="32"/>
        <v>OK</v>
      </c>
    </row>
    <row r="558" spans="1:9" x14ac:dyDescent="0.2">
      <c r="A558" t="str">
        <f>ObesityDataSet_raw_and_data_sin!A558</f>
        <v>Male</v>
      </c>
      <c r="B558">
        <f>ObesityDataSet_raw_and_data_sin!C558</f>
        <v>1.7815430000000001</v>
      </c>
      <c r="C558">
        <f>ObesityDataSet_raw_and_data_sin!D558</f>
        <v>50.869703999999999</v>
      </c>
      <c r="D558" t="str">
        <f>ObesityDataSet_raw_and_data_sin!Q558</f>
        <v>Insufficient_Weight</v>
      </c>
      <c r="E558" t="b">
        <f t="shared" si="33"/>
        <v>0</v>
      </c>
      <c r="F558">
        <f>C558/(B558*B558)</f>
        <v>16.027529774529064</v>
      </c>
      <c r="G558" t="str">
        <f t="shared" si="34"/>
        <v>Normal</v>
      </c>
      <c r="H558" t="str">
        <f t="shared" si="35"/>
        <v>OK</v>
      </c>
      <c r="I558" t="str">
        <f t="shared" si="32"/>
        <v>OK</v>
      </c>
    </row>
    <row r="559" spans="1:9" x14ac:dyDescent="0.2">
      <c r="A559" t="str">
        <f>ObesityDataSet_raw_and_data_sin!A559</f>
        <v>Male</v>
      </c>
      <c r="B559">
        <f>ObesityDataSet_raw_and_data_sin!C559</f>
        <v>1.7558229999999999</v>
      </c>
      <c r="C559">
        <f>ObesityDataSet_raw_and_data_sin!D559</f>
        <v>52.331172000000002</v>
      </c>
      <c r="D559" t="str">
        <f>ObesityDataSet_raw_and_data_sin!Q559</f>
        <v>Insufficient_Weight</v>
      </c>
      <c r="E559" t="b">
        <f t="shared" si="33"/>
        <v>0</v>
      </c>
      <c r="F559">
        <f>C559/(B559*B559)</f>
        <v>16.974578300193262</v>
      </c>
      <c r="G559" t="str">
        <f t="shared" si="34"/>
        <v>Normal</v>
      </c>
      <c r="H559" t="str">
        <f t="shared" si="35"/>
        <v>OK</v>
      </c>
      <c r="I559" t="str">
        <f t="shared" si="32"/>
        <v>OK</v>
      </c>
    </row>
    <row r="560" spans="1:9" x14ac:dyDescent="0.2">
      <c r="A560" t="str">
        <f>ObesityDataSet_raw_and_data_sin!A560</f>
        <v>Male</v>
      </c>
      <c r="B560">
        <f>ObesityDataSet_raw_and_data_sin!C560</f>
        <v>1.8366690000000001</v>
      </c>
      <c r="C560">
        <f>ObesityDataSet_raw_and_data_sin!D560</f>
        <v>58.943347000000003</v>
      </c>
      <c r="D560" t="str">
        <f>ObesityDataSet_raw_and_data_sin!Q560</f>
        <v>Insufficient_Weight</v>
      </c>
      <c r="E560" t="b">
        <f t="shared" si="33"/>
        <v>0</v>
      </c>
      <c r="F560">
        <f>C560/(B560*B560)</f>
        <v>17.473222259306745</v>
      </c>
      <c r="G560" t="str">
        <f t="shared" si="34"/>
        <v>Normal</v>
      </c>
      <c r="H560" t="str">
        <f t="shared" si="35"/>
        <v>OK</v>
      </c>
      <c r="I560" t="str">
        <f t="shared" si="32"/>
        <v>OK</v>
      </c>
    </row>
    <row r="561" spans="1:9" x14ac:dyDescent="0.2">
      <c r="A561" t="str">
        <f>ObesityDataSet_raw_and_data_sin!A561</f>
        <v>Male</v>
      </c>
      <c r="B561">
        <f>ObesityDataSet_raw_and_data_sin!C561</f>
        <v>1.7684930000000001</v>
      </c>
      <c r="C561">
        <f>ObesityDataSet_raw_and_data_sin!D561</f>
        <v>57.790381000000004</v>
      </c>
      <c r="D561" t="str">
        <f>ObesityDataSet_raw_and_data_sin!Q561</f>
        <v>Insufficient_Weight</v>
      </c>
      <c r="E561" t="b">
        <f t="shared" si="33"/>
        <v>0</v>
      </c>
      <c r="F561">
        <f>C561/(B561*B561)</f>
        <v>18.477740661198922</v>
      </c>
      <c r="G561" t="str">
        <f t="shared" si="34"/>
        <v>Normal</v>
      </c>
      <c r="H561" t="str">
        <f t="shared" si="35"/>
        <v>OK</v>
      </c>
      <c r="I561" t="str">
        <f t="shared" si="32"/>
        <v>OK</v>
      </c>
    </row>
    <row r="562" spans="1:9" x14ac:dyDescent="0.2">
      <c r="A562" t="str">
        <f>ObesityDataSet_raw_and_data_sin!A562</f>
        <v>Male</v>
      </c>
      <c r="B562">
        <f>ObesityDataSet_raw_and_data_sin!C562</f>
        <v>1.7771079999999999</v>
      </c>
      <c r="C562">
        <f>ObesityDataSet_raw_and_data_sin!D562</f>
        <v>57.145916999999997</v>
      </c>
      <c r="D562" t="str">
        <f>ObesityDataSet_raw_and_data_sin!Q562</f>
        <v>Insufficient_Weight</v>
      </c>
      <c r="E562" t="b">
        <f t="shared" si="33"/>
        <v>0</v>
      </c>
      <c r="F562">
        <f>C562/(B562*B562)</f>
        <v>18.094957282685339</v>
      </c>
      <c r="G562" t="str">
        <f t="shared" si="34"/>
        <v>Normal</v>
      </c>
      <c r="H562" t="str">
        <f t="shared" si="35"/>
        <v>OK</v>
      </c>
      <c r="I562" t="str">
        <f t="shared" si="32"/>
        <v>OK</v>
      </c>
    </row>
    <row r="563" spans="1:9" x14ac:dyDescent="0.2">
      <c r="A563" t="str">
        <f>ObesityDataSet_raw_and_data_sin!A563</f>
        <v>Female</v>
      </c>
      <c r="B563">
        <f>ObesityDataSet_raw_and_data_sin!C563</f>
        <v>1.6408240000000001</v>
      </c>
      <c r="C563">
        <f>ObesityDataSet_raw_and_data_sin!D563</f>
        <v>43.365004999999996</v>
      </c>
      <c r="D563" t="str">
        <f>ObesityDataSet_raw_and_data_sin!Q563</f>
        <v>Insufficient_Weight</v>
      </c>
      <c r="E563" t="b">
        <f t="shared" si="33"/>
        <v>0</v>
      </c>
      <c r="F563">
        <f>C563/(B563*B563)</f>
        <v>16.107027542472959</v>
      </c>
      <c r="G563" t="str">
        <f t="shared" si="34"/>
        <v>Normal</v>
      </c>
      <c r="H563" t="str">
        <f t="shared" si="35"/>
        <v>OK</v>
      </c>
      <c r="I563" t="str">
        <f t="shared" si="32"/>
        <v>OK</v>
      </c>
    </row>
    <row r="564" spans="1:9" x14ac:dyDescent="0.2">
      <c r="A564" t="str">
        <f>ObesityDataSet_raw_and_data_sin!A564</f>
        <v>Female</v>
      </c>
      <c r="B564">
        <f>ObesityDataSet_raw_and_data_sin!C564</f>
        <v>1.584951</v>
      </c>
      <c r="C564">
        <f>ObesityDataSet_raw_and_data_sin!D564</f>
        <v>44.411800999999997</v>
      </c>
      <c r="D564" t="str">
        <f>ObesityDataSet_raw_and_data_sin!Q564</f>
        <v>Insufficient_Weight</v>
      </c>
      <c r="E564" t="b">
        <f t="shared" si="33"/>
        <v>0</v>
      </c>
      <c r="F564">
        <f>C564/(B564*B564)</f>
        <v>17.679366734104885</v>
      </c>
      <c r="G564" t="str">
        <f t="shared" si="34"/>
        <v>Normal</v>
      </c>
      <c r="H564" t="str">
        <f t="shared" si="35"/>
        <v>OK</v>
      </c>
      <c r="I564" t="str">
        <f t="shared" si="32"/>
        <v>OK</v>
      </c>
    </row>
    <row r="565" spans="1:9" x14ac:dyDescent="0.2">
      <c r="A565" t="str">
        <f>ObesityDataSet_raw_and_data_sin!A565</f>
        <v>Female</v>
      </c>
      <c r="B565">
        <f>ObesityDataSet_raw_and_data_sin!C565</f>
        <v>1.818268</v>
      </c>
      <c r="C565">
        <f>ObesityDataSet_raw_and_data_sin!D565</f>
        <v>47.124716999999997</v>
      </c>
      <c r="D565" t="str">
        <f>ObesityDataSet_raw_and_data_sin!Q565</f>
        <v>Insufficient_Weight</v>
      </c>
      <c r="E565" t="b">
        <f t="shared" si="33"/>
        <v>0</v>
      </c>
      <c r="F565">
        <f>C565/(B565*B565)</f>
        <v>14.25387559306874</v>
      </c>
      <c r="G565" t="str">
        <f t="shared" si="34"/>
        <v>Normal</v>
      </c>
      <c r="H565" t="str">
        <f t="shared" si="35"/>
        <v>OK</v>
      </c>
      <c r="I565" t="str">
        <f t="shared" si="32"/>
        <v>OK</v>
      </c>
    </row>
    <row r="566" spans="1:9" x14ac:dyDescent="0.2">
      <c r="A566" t="str">
        <f>ObesityDataSet_raw_and_data_sin!A566</f>
        <v>Male</v>
      </c>
      <c r="B566">
        <f>ObesityDataSet_raw_and_data_sin!C566</f>
        <v>1.7939259999999999</v>
      </c>
      <c r="C566">
        <f>ObesityDataSet_raw_and_data_sin!D566</f>
        <v>59.682591000000002</v>
      </c>
      <c r="D566" t="str">
        <f>ObesityDataSet_raw_and_data_sin!Q566</f>
        <v>Insufficient_Weight</v>
      </c>
      <c r="E566" t="b">
        <f t="shared" si="33"/>
        <v>0</v>
      </c>
      <c r="F566">
        <f>C566/(B566*B566)</f>
        <v>18.545503142543524</v>
      </c>
      <c r="G566" t="str">
        <f t="shared" si="34"/>
        <v>Normal</v>
      </c>
      <c r="H566" t="str">
        <f t="shared" si="35"/>
        <v>OK</v>
      </c>
      <c r="I566" t="str">
        <f t="shared" si="32"/>
        <v>OK</v>
      </c>
    </row>
    <row r="567" spans="1:9" x14ac:dyDescent="0.2">
      <c r="A567" t="str">
        <f>ObesityDataSet_raw_and_data_sin!A567</f>
        <v>Male</v>
      </c>
      <c r="B567">
        <f>ObesityDataSet_raw_and_data_sin!C567</f>
        <v>1.8092509999999999</v>
      </c>
      <c r="C567">
        <f>ObesityDataSet_raw_and_data_sin!D567</f>
        <v>58.968994000000002</v>
      </c>
      <c r="D567" t="str">
        <f>ObesityDataSet_raw_and_data_sin!Q567</f>
        <v>Insufficient_Weight</v>
      </c>
      <c r="E567" t="b">
        <f t="shared" si="33"/>
        <v>0</v>
      </c>
      <c r="F567">
        <f>C567/(B567*B567)</f>
        <v>18.014660261682458</v>
      </c>
      <c r="G567" t="str">
        <f t="shared" si="34"/>
        <v>Normal</v>
      </c>
      <c r="H567" t="str">
        <f t="shared" si="35"/>
        <v>OK</v>
      </c>
      <c r="I567" t="str">
        <f t="shared" si="32"/>
        <v>OK</v>
      </c>
    </row>
    <row r="568" spans="1:9" x14ac:dyDescent="0.2">
      <c r="A568" t="str">
        <f>ObesityDataSet_raw_and_data_sin!A568</f>
        <v>Male</v>
      </c>
      <c r="B568">
        <f>ObesityDataSet_raw_and_data_sin!C568</f>
        <v>1.7673350000000001</v>
      </c>
      <c r="C568">
        <f>ObesityDataSet_raw_and_data_sin!D568</f>
        <v>55.700496999999999</v>
      </c>
      <c r="D568" t="str">
        <f>ObesityDataSet_raw_and_data_sin!Q568</f>
        <v>Insufficient_Weight</v>
      </c>
      <c r="E568" t="b">
        <f t="shared" si="33"/>
        <v>0</v>
      </c>
      <c r="F568">
        <f>C568/(B568*B568)</f>
        <v>17.832872882308202</v>
      </c>
      <c r="G568" t="str">
        <f t="shared" si="34"/>
        <v>Normal</v>
      </c>
      <c r="H568" t="str">
        <f t="shared" si="35"/>
        <v>OK</v>
      </c>
      <c r="I568" t="str">
        <f t="shared" si="32"/>
        <v>OK</v>
      </c>
    </row>
    <row r="569" spans="1:9" x14ac:dyDescent="0.2">
      <c r="A569" t="str">
        <f>ObesityDataSet_raw_and_data_sin!A569</f>
        <v>Female</v>
      </c>
      <c r="B569">
        <f>ObesityDataSet_raw_and_data_sin!C569</f>
        <v>1.699568</v>
      </c>
      <c r="C569">
        <f>ObesityDataSet_raw_and_data_sin!D569</f>
        <v>54.987740000000002</v>
      </c>
      <c r="D569" t="str">
        <f>ObesityDataSet_raw_and_data_sin!Q569</f>
        <v>Insufficient_Weight</v>
      </c>
      <c r="E569" t="b">
        <f t="shared" si="33"/>
        <v>0</v>
      </c>
      <c r="F569">
        <f>C569/(B569*B569)</f>
        <v>19.036573483200915</v>
      </c>
      <c r="G569" t="str">
        <f t="shared" si="34"/>
        <v>Normal</v>
      </c>
      <c r="H569" t="str">
        <f t="shared" si="35"/>
        <v>OK</v>
      </c>
      <c r="I569" t="str">
        <f t="shared" si="32"/>
        <v>OK</v>
      </c>
    </row>
    <row r="570" spans="1:9" x14ac:dyDescent="0.2">
      <c r="A570" t="str">
        <f>ObesityDataSet_raw_and_data_sin!A570</f>
        <v>Female</v>
      </c>
      <c r="B570">
        <f>ObesityDataSet_raw_and_data_sin!C570</f>
        <v>1.759358</v>
      </c>
      <c r="C570">
        <f>ObesityDataSet_raw_and_data_sin!D570</f>
        <v>55.010449999999999</v>
      </c>
      <c r="D570" t="str">
        <f>ObesityDataSet_raw_and_data_sin!Q570</f>
        <v>Insufficient_Weight</v>
      </c>
      <c r="E570" t="b">
        <f t="shared" si="33"/>
        <v>0</v>
      </c>
      <c r="F570">
        <f>C570/(B570*B570)</f>
        <v>17.77201852833317</v>
      </c>
      <c r="G570" t="str">
        <f t="shared" si="34"/>
        <v>Normal</v>
      </c>
      <c r="H570" t="str">
        <f t="shared" si="35"/>
        <v>OK</v>
      </c>
      <c r="I570" t="str">
        <f t="shared" si="32"/>
        <v>OK</v>
      </c>
    </row>
    <row r="571" spans="1:9" x14ac:dyDescent="0.2">
      <c r="A571" t="str">
        <f>ObesityDataSet_raw_and_data_sin!A571</f>
        <v>Female</v>
      </c>
      <c r="B571">
        <f>ObesityDataSet_raw_and_data_sin!C571</f>
        <v>1.7402949999999999</v>
      </c>
      <c r="C571">
        <f>ObesityDataSet_raw_and_data_sin!D571</f>
        <v>54.166452999999997</v>
      </c>
      <c r="D571" t="str">
        <f>ObesityDataSet_raw_and_data_sin!Q571</f>
        <v>Insufficient_Weight</v>
      </c>
      <c r="E571" t="b">
        <f t="shared" si="33"/>
        <v>0</v>
      </c>
      <c r="F571">
        <f>C571/(B571*B571)</f>
        <v>17.884823254069438</v>
      </c>
      <c r="G571" t="str">
        <f t="shared" si="34"/>
        <v>Normal</v>
      </c>
      <c r="H571" t="str">
        <f t="shared" si="35"/>
        <v>OK</v>
      </c>
      <c r="I571" t="str">
        <f t="shared" si="32"/>
        <v>OK</v>
      </c>
    </row>
    <row r="572" spans="1:9" x14ac:dyDescent="0.2">
      <c r="A572" t="str">
        <f>ObesityDataSet_raw_and_data_sin!A572</f>
        <v>Female</v>
      </c>
      <c r="B572">
        <f>ObesityDataSet_raw_and_data_sin!C572</f>
        <v>1.7393540000000001</v>
      </c>
      <c r="C572">
        <f>ObesityDataSet_raw_and_data_sin!D572</f>
        <v>49.649613000000002</v>
      </c>
      <c r="D572" t="str">
        <f>ObesityDataSet_raw_and_data_sin!Q572</f>
        <v>Insufficient_Weight</v>
      </c>
      <c r="E572" t="b">
        <f t="shared" si="33"/>
        <v>0</v>
      </c>
      <c r="F572">
        <f>C572/(B572*B572)</f>
        <v>16.411183711596255</v>
      </c>
      <c r="G572" t="str">
        <f t="shared" si="34"/>
        <v>Normal</v>
      </c>
      <c r="H572" t="str">
        <f t="shared" si="35"/>
        <v>OK</v>
      </c>
      <c r="I572" t="str">
        <f t="shared" si="32"/>
        <v>OK</v>
      </c>
    </row>
    <row r="573" spans="1:9" x14ac:dyDescent="0.2">
      <c r="A573" t="str">
        <f>ObesityDataSet_raw_and_data_sin!A573</f>
        <v>Female</v>
      </c>
      <c r="B573">
        <f>ObesityDataSet_raw_and_data_sin!C573</f>
        <v>1.6478109999999999</v>
      </c>
      <c r="C573">
        <f>ObesityDataSet_raw_and_data_sin!D573</f>
        <v>49.603807000000003</v>
      </c>
      <c r="D573" t="str">
        <f>ObesityDataSet_raw_and_data_sin!Q573</f>
        <v>Insufficient_Weight</v>
      </c>
      <c r="E573" t="b">
        <f t="shared" si="33"/>
        <v>0</v>
      </c>
      <c r="F573">
        <f>C573/(B573*B573)</f>
        <v>18.268387442922204</v>
      </c>
      <c r="G573" t="str">
        <f t="shared" si="34"/>
        <v>Normal</v>
      </c>
      <c r="H573" t="str">
        <f t="shared" si="35"/>
        <v>OK</v>
      </c>
      <c r="I573" t="str">
        <f t="shared" si="32"/>
        <v>OK</v>
      </c>
    </row>
    <row r="574" spans="1:9" x14ac:dyDescent="0.2">
      <c r="A574" t="str">
        <f>ObesityDataSet_raw_and_data_sin!A574</f>
        <v>Female</v>
      </c>
      <c r="B574">
        <f>ObesityDataSet_raw_and_data_sin!C574</f>
        <v>1.768435</v>
      </c>
      <c r="C574">
        <f>ObesityDataSet_raw_and_data_sin!D574</f>
        <v>49.597765000000003</v>
      </c>
      <c r="D574" t="str">
        <f>ObesityDataSet_raw_and_data_sin!Q574</f>
        <v>Insufficient_Weight</v>
      </c>
      <c r="E574" t="b">
        <f t="shared" si="33"/>
        <v>0</v>
      </c>
      <c r="F574">
        <f>C574/(B574*B574)</f>
        <v>15.8592959374506</v>
      </c>
      <c r="G574" t="str">
        <f t="shared" si="34"/>
        <v>Normal</v>
      </c>
      <c r="H574" t="str">
        <f t="shared" si="35"/>
        <v>OK</v>
      </c>
      <c r="I574" t="str">
        <f t="shared" si="32"/>
        <v>OK</v>
      </c>
    </row>
    <row r="575" spans="1:9" x14ac:dyDescent="0.2">
      <c r="A575" t="str">
        <f>ObesityDataSet_raw_and_data_sin!A575</f>
        <v>Female</v>
      </c>
      <c r="B575">
        <f>ObesityDataSet_raw_and_data_sin!C575</f>
        <v>1.7</v>
      </c>
      <c r="C575">
        <f>ObesityDataSet_raw_and_data_sin!D575</f>
        <v>50</v>
      </c>
      <c r="D575" t="str">
        <f>ObesityDataSet_raw_and_data_sin!Q575</f>
        <v>Insufficient_Weight</v>
      </c>
      <c r="E575" t="b">
        <f t="shared" si="33"/>
        <v>0</v>
      </c>
      <c r="F575">
        <f>C575/(B575*B575)</f>
        <v>17.301038062283737</v>
      </c>
      <c r="G575" t="str">
        <f t="shared" si="34"/>
        <v>Normal</v>
      </c>
      <c r="H575" t="str">
        <f t="shared" si="35"/>
        <v>OK</v>
      </c>
      <c r="I575" t="str">
        <f t="shared" si="32"/>
        <v>OK</v>
      </c>
    </row>
    <row r="576" spans="1:9" x14ac:dyDescent="0.2">
      <c r="A576" t="str">
        <f>ObesityDataSet_raw_and_data_sin!A576</f>
        <v>Female</v>
      </c>
      <c r="B576">
        <f>ObesityDataSet_raw_and_data_sin!C576</f>
        <v>1.6994640000000001</v>
      </c>
      <c r="C576">
        <f>ObesityDataSet_raw_and_data_sin!D576</f>
        <v>49.676045999999999</v>
      </c>
      <c r="D576" t="str">
        <f>ObesityDataSet_raw_and_data_sin!Q576</f>
        <v>Insufficient_Weight</v>
      </c>
      <c r="E576" t="b">
        <f t="shared" si="33"/>
        <v>0</v>
      </c>
      <c r="F576">
        <f>C576/(B576*B576)</f>
        <v>17.199787526421449</v>
      </c>
      <c r="G576" t="str">
        <f t="shared" si="34"/>
        <v>Normal</v>
      </c>
      <c r="H576" t="str">
        <f t="shared" si="35"/>
        <v>OK</v>
      </c>
      <c r="I576" t="str">
        <f t="shared" si="32"/>
        <v>OK</v>
      </c>
    </row>
    <row r="577" spans="1:9" x14ac:dyDescent="0.2">
      <c r="A577" t="str">
        <f>ObesityDataSet_raw_and_data_sin!A577</f>
        <v>Female</v>
      </c>
      <c r="B577">
        <f>ObesityDataSet_raw_and_data_sin!C577</f>
        <v>1.74379</v>
      </c>
      <c r="C577">
        <f>ObesityDataSet_raw_and_data_sin!D577</f>
        <v>50</v>
      </c>
      <c r="D577" t="str">
        <f>ObesityDataSet_raw_and_data_sin!Q577</f>
        <v>Insufficient_Weight</v>
      </c>
      <c r="E577" t="b">
        <f t="shared" si="33"/>
        <v>0</v>
      </c>
      <c r="F577">
        <f>C577/(B577*B577)</f>
        <v>16.44302203217087</v>
      </c>
      <c r="G577" t="str">
        <f t="shared" si="34"/>
        <v>Normal</v>
      </c>
      <c r="H577" t="str">
        <f t="shared" si="35"/>
        <v>OK</v>
      </c>
      <c r="I577" t="str">
        <f t="shared" si="32"/>
        <v>OK</v>
      </c>
    </row>
    <row r="578" spans="1:9" x14ac:dyDescent="0.2">
      <c r="A578" t="str">
        <f>ObesityDataSet_raw_and_data_sin!A578</f>
        <v>Female</v>
      </c>
      <c r="B578">
        <f>ObesityDataSet_raw_and_data_sin!C578</f>
        <v>1.590317</v>
      </c>
      <c r="C578">
        <f>ObesityDataSet_raw_and_data_sin!D578</f>
        <v>42.367615000000001</v>
      </c>
      <c r="D578" t="str">
        <f>ObesityDataSet_raw_and_data_sin!Q578</f>
        <v>Insufficient_Weight</v>
      </c>
      <c r="E578" t="b">
        <f t="shared" si="33"/>
        <v>0</v>
      </c>
      <c r="F578">
        <f>C578/(B578*B578)</f>
        <v>16.751998060774227</v>
      </c>
      <c r="G578" t="str">
        <f t="shared" si="34"/>
        <v>Normal</v>
      </c>
      <c r="H578" t="str">
        <f t="shared" si="35"/>
        <v>OK</v>
      </c>
      <c r="I578" t="str">
        <f t="shared" ref="I578:I641" si="36">IF(AND(LEFT(D578,10)="Overweight",G578&lt;&gt;"Overweight"),"ERROR","OK")</f>
        <v>OK</v>
      </c>
    </row>
    <row r="579" spans="1:9" x14ac:dyDescent="0.2">
      <c r="A579" t="str">
        <f>ObesityDataSet_raw_and_data_sin!A579</f>
        <v>Female</v>
      </c>
      <c r="B579">
        <f>ObesityDataSet_raw_and_data_sin!C579</f>
        <v>1.5271330000000001</v>
      </c>
      <c r="C579">
        <f>ObesityDataSet_raw_and_data_sin!D579</f>
        <v>42</v>
      </c>
      <c r="D579" t="str">
        <f>ObesityDataSet_raw_and_data_sin!Q579</f>
        <v>Insufficient_Weight</v>
      </c>
      <c r="E579" t="b">
        <f t="shared" ref="E579:E642" si="37">IF(AND(A579="Female", B579&lt;1.5), TRUE, IF(AND(A579="Male",B579&lt;1.6),TRUE, FALSE))</f>
        <v>0</v>
      </c>
      <c r="F579">
        <f>C579/(B579*B579)</f>
        <v>18.009247493713431</v>
      </c>
      <c r="G579" t="str">
        <f t="shared" ref="G579:G642" si="38">IF(E579=TRUE,IF(F579&lt;23,"Normal",IF(F579&lt;25,"Overweight","Obese")),IF(F579&lt;25,"Normal",IF(F579&lt;30,"Overweight","Obese")))</f>
        <v>Normal</v>
      </c>
      <c r="H579" t="str">
        <f t="shared" ref="H579:H642" si="39">IF(AND(D579="Normal_Weight",G579&lt;&gt;"Normal"),"ERROR","OK")</f>
        <v>OK</v>
      </c>
      <c r="I579" t="str">
        <f t="shared" si="36"/>
        <v>OK</v>
      </c>
    </row>
    <row r="580" spans="1:9" x14ac:dyDescent="0.2">
      <c r="A580" t="str">
        <f>ObesityDataSet_raw_and_data_sin!A580</f>
        <v>Female</v>
      </c>
      <c r="B580">
        <f>ObesityDataSet_raw_and_data_sin!C580</f>
        <v>1.530875</v>
      </c>
      <c r="C580">
        <f>ObesityDataSet_raw_and_data_sin!D580</f>
        <v>42</v>
      </c>
      <c r="D580" t="str">
        <f>ObesityDataSet_raw_and_data_sin!Q580</f>
        <v>Insufficient_Weight</v>
      </c>
      <c r="E580" t="b">
        <f t="shared" si="37"/>
        <v>0</v>
      </c>
      <c r="F580">
        <f>C580/(B580*B580)</f>
        <v>17.921313154352529</v>
      </c>
      <c r="G580" t="str">
        <f t="shared" si="38"/>
        <v>Normal</v>
      </c>
      <c r="H580" t="str">
        <f t="shared" si="39"/>
        <v>OK</v>
      </c>
      <c r="I580" t="str">
        <f t="shared" si="36"/>
        <v>OK</v>
      </c>
    </row>
    <row r="581" spans="1:9" x14ac:dyDescent="0.2">
      <c r="A581" t="str">
        <f>ObesityDataSet_raw_and_data_sin!A581</f>
        <v>Male</v>
      </c>
      <c r="B581">
        <f>ObesityDataSet_raw_and_data_sin!C581</f>
        <v>1.8482940000000001</v>
      </c>
      <c r="C581">
        <f>ObesityDataSet_raw_and_data_sin!D581</f>
        <v>59.409018000000003</v>
      </c>
      <c r="D581" t="str">
        <f>ObesityDataSet_raw_and_data_sin!Q581</f>
        <v>Insufficient_Weight</v>
      </c>
      <c r="E581" t="b">
        <f t="shared" si="37"/>
        <v>0</v>
      </c>
      <c r="F581">
        <f>C581/(B581*B581)</f>
        <v>17.390427829018297</v>
      </c>
      <c r="G581" t="str">
        <f t="shared" si="38"/>
        <v>Normal</v>
      </c>
      <c r="H581" t="str">
        <f t="shared" si="39"/>
        <v>OK</v>
      </c>
      <c r="I581" t="str">
        <f t="shared" si="36"/>
        <v>OK</v>
      </c>
    </row>
    <row r="582" spans="1:9" x14ac:dyDescent="0.2">
      <c r="A582" t="str">
        <f>ObesityDataSet_raw_and_data_sin!A582</f>
        <v>Male</v>
      </c>
      <c r="B582">
        <f>ObesityDataSet_raw_and_data_sin!C582</f>
        <v>1.824414</v>
      </c>
      <c r="C582">
        <f>ObesityDataSet_raw_and_data_sin!D582</f>
        <v>59.295172000000001</v>
      </c>
      <c r="D582" t="str">
        <f>ObesityDataSet_raw_and_data_sin!Q582</f>
        <v>Insufficient_Weight</v>
      </c>
      <c r="E582" t="b">
        <f t="shared" si="37"/>
        <v>0</v>
      </c>
      <c r="F582">
        <f>C582/(B582*B582)</f>
        <v>17.814455010819305</v>
      </c>
      <c r="G582" t="str">
        <f t="shared" si="38"/>
        <v>Normal</v>
      </c>
      <c r="H582" t="str">
        <f t="shared" si="39"/>
        <v>OK</v>
      </c>
      <c r="I582" t="str">
        <f t="shared" si="36"/>
        <v>OK</v>
      </c>
    </row>
    <row r="583" spans="1:9" x14ac:dyDescent="0.2">
      <c r="A583" t="str">
        <f>ObesityDataSet_raw_and_data_sin!A583</f>
        <v>Male</v>
      </c>
      <c r="B583">
        <f>ObesityDataSet_raw_and_data_sin!C583</f>
        <v>1.856633</v>
      </c>
      <c r="C583">
        <f>ObesityDataSet_raw_and_data_sin!D583</f>
        <v>59.258372000000001</v>
      </c>
      <c r="D583" t="str">
        <f>ObesityDataSet_raw_and_data_sin!Q583</f>
        <v>Insufficient_Weight</v>
      </c>
      <c r="E583" t="b">
        <f t="shared" si="37"/>
        <v>0</v>
      </c>
      <c r="F583">
        <f>C583/(B583*B583)</f>
        <v>17.190859275873304</v>
      </c>
      <c r="G583" t="str">
        <f t="shared" si="38"/>
        <v>Normal</v>
      </c>
      <c r="H583" t="str">
        <f t="shared" si="39"/>
        <v>OK</v>
      </c>
      <c r="I583" t="str">
        <f t="shared" si="36"/>
        <v>OK</v>
      </c>
    </row>
    <row r="584" spans="1:9" x14ac:dyDescent="0.2">
      <c r="A584" t="str">
        <f>ObesityDataSet_raw_and_data_sin!A584</f>
        <v>Female</v>
      </c>
      <c r="B584">
        <f>ObesityDataSet_raw_and_data_sin!C584</f>
        <v>1.715597</v>
      </c>
      <c r="C584">
        <f>ObesityDataSet_raw_and_data_sin!D584</f>
        <v>50</v>
      </c>
      <c r="D584" t="str">
        <f>ObesityDataSet_raw_and_data_sin!Q584</f>
        <v>Insufficient_Weight</v>
      </c>
      <c r="E584" t="b">
        <f t="shared" si="37"/>
        <v>0</v>
      </c>
      <c r="F584">
        <f>C584/(B584*B584)</f>
        <v>16.987890308459729</v>
      </c>
      <c r="G584" t="str">
        <f t="shared" si="38"/>
        <v>Normal</v>
      </c>
      <c r="H584" t="str">
        <f t="shared" si="39"/>
        <v>OK</v>
      </c>
      <c r="I584" t="str">
        <f t="shared" si="36"/>
        <v>OK</v>
      </c>
    </row>
    <row r="585" spans="1:9" x14ac:dyDescent="0.2">
      <c r="A585" t="str">
        <f>ObesityDataSet_raw_and_data_sin!A585</f>
        <v>Female</v>
      </c>
      <c r="B585">
        <f>ObesityDataSet_raw_and_data_sin!C585</f>
        <v>1.675054</v>
      </c>
      <c r="C585">
        <f>ObesityDataSet_raw_and_data_sin!D585</f>
        <v>49.945233000000002</v>
      </c>
      <c r="D585" t="str">
        <f>ObesityDataSet_raw_and_data_sin!Q585</f>
        <v>Insufficient_Weight</v>
      </c>
      <c r="E585" t="b">
        <f t="shared" si="37"/>
        <v>0</v>
      </c>
      <c r="F585">
        <f>C585/(B585*B585)</f>
        <v>17.800672864824055</v>
      </c>
      <c r="G585" t="str">
        <f t="shared" si="38"/>
        <v>Normal</v>
      </c>
      <c r="H585" t="str">
        <f t="shared" si="39"/>
        <v>OK</v>
      </c>
      <c r="I585" t="str">
        <f t="shared" si="36"/>
        <v>OK</v>
      </c>
    </row>
    <row r="586" spans="1:9" x14ac:dyDescent="0.2">
      <c r="A586" t="str">
        <f>ObesityDataSet_raw_and_data_sin!A586</f>
        <v>Female</v>
      </c>
      <c r="B586">
        <f>ObesityDataSet_raw_and_data_sin!C586</f>
        <v>1.7176009999999999</v>
      </c>
      <c r="C586">
        <f>ObesityDataSet_raw_and_data_sin!D586</f>
        <v>51.073917999999999</v>
      </c>
      <c r="D586" t="str">
        <f>ObesityDataSet_raw_and_data_sin!Q586</f>
        <v>Insufficient_Weight</v>
      </c>
      <c r="E586" t="b">
        <f t="shared" si="37"/>
        <v>0</v>
      </c>
      <c r="F586">
        <f>C586/(B586*B586)</f>
        <v>17.312293504988723</v>
      </c>
      <c r="G586" t="str">
        <f t="shared" si="38"/>
        <v>Normal</v>
      </c>
      <c r="H586" t="str">
        <f t="shared" si="39"/>
        <v>OK</v>
      </c>
      <c r="I586" t="str">
        <f t="shared" si="36"/>
        <v>OK</v>
      </c>
    </row>
    <row r="587" spans="1:9" x14ac:dyDescent="0.2">
      <c r="A587" t="str">
        <f>ObesityDataSet_raw_and_data_sin!A587</f>
        <v>Female</v>
      </c>
      <c r="B587">
        <f>ObesityDataSet_raw_and_data_sin!C587</f>
        <v>1.7107559999999999</v>
      </c>
      <c r="C587">
        <f>ObesityDataSet_raw_and_data_sin!D587</f>
        <v>50</v>
      </c>
      <c r="D587" t="str">
        <f>ObesityDataSet_raw_and_data_sin!Q587</f>
        <v>Insufficient_Weight</v>
      </c>
      <c r="E587" t="b">
        <f t="shared" si="37"/>
        <v>0</v>
      </c>
      <c r="F587">
        <f>C587/(B587*B587)</f>
        <v>17.084169069105297</v>
      </c>
      <c r="G587" t="str">
        <f t="shared" si="38"/>
        <v>Normal</v>
      </c>
      <c r="H587" t="str">
        <f t="shared" si="39"/>
        <v>OK</v>
      </c>
      <c r="I587" t="str">
        <f t="shared" si="36"/>
        <v>OK</v>
      </c>
    </row>
    <row r="588" spans="1:9" x14ac:dyDescent="0.2">
      <c r="A588" t="str">
        <f>ObesityDataSet_raw_and_data_sin!A588</f>
        <v>Female</v>
      </c>
      <c r="B588">
        <f>ObesityDataSet_raw_and_data_sin!C588</f>
        <v>1.7</v>
      </c>
      <c r="C588">
        <f>ObesityDataSet_raw_and_data_sin!D588</f>
        <v>50</v>
      </c>
      <c r="D588" t="str">
        <f>ObesityDataSet_raw_and_data_sin!Q588</f>
        <v>Insufficient_Weight</v>
      </c>
      <c r="E588" t="b">
        <f t="shared" si="37"/>
        <v>0</v>
      </c>
      <c r="F588">
        <f>C588/(B588*B588)</f>
        <v>17.301038062283737</v>
      </c>
      <c r="G588" t="str">
        <f t="shared" si="38"/>
        <v>Normal</v>
      </c>
      <c r="H588" t="str">
        <f t="shared" si="39"/>
        <v>OK</v>
      </c>
      <c r="I588" t="str">
        <f t="shared" si="36"/>
        <v>OK</v>
      </c>
    </row>
    <row r="589" spans="1:9" x14ac:dyDescent="0.2">
      <c r="A589" t="str">
        <f>ObesityDataSet_raw_and_data_sin!A589</f>
        <v>Female</v>
      </c>
      <c r="B589">
        <f>ObesityDataSet_raw_and_data_sin!C589</f>
        <v>1.7</v>
      </c>
      <c r="C589">
        <f>ObesityDataSet_raw_and_data_sin!D589</f>
        <v>50</v>
      </c>
      <c r="D589" t="str">
        <f>ObesityDataSet_raw_and_data_sin!Q589</f>
        <v>Insufficient_Weight</v>
      </c>
      <c r="E589" t="b">
        <f t="shared" si="37"/>
        <v>0</v>
      </c>
      <c r="F589">
        <f>C589/(B589*B589)</f>
        <v>17.301038062283737</v>
      </c>
      <c r="G589" t="str">
        <f t="shared" si="38"/>
        <v>Normal</v>
      </c>
      <c r="H589" t="str">
        <f t="shared" si="39"/>
        <v>OK</v>
      </c>
      <c r="I589" t="str">
        <f t="shared" si="36"/>
        <v>OK</v>
      </c>
    </row>
    <row r="590" spans="1:9" x14ac:dyDescent="0.2">
      <c r="A590" t="str">
        <f>ObesityDataSet_raw_and_data_sin!A590</f>
        <v>Female</v>
      </c>
      <c r="B590">
        <f>ObesityDataSet_raw_and_data_sin!C590</f>
        <v>1.5738160000000001</v>
      </c>
      <c r="C590">
        <f>ObesityDataSet_raw_and_data_sin!D590</f>
        <v>39.850136999999997</v>
      </c>
      <c r="D590" t="str">
        <f>ObesityDataSet_raw_and_data_sin!Q590</f>
        <v>Insufficient_Weight</v>
      </c>
      <c r="E590" t="b">
        <f t="shared" si="37"/>
        <v>0</v>
      </c>
      <c r="F590">
        <f>C590/(B590*B590)</f>
        <v>16.088735295769812</v>
      </c>
      <c r="G590" t="str">
        <f t="shared" si="38"/>
        <v>Normal</v>
      </c>
      <c r="H590" t="str">
        <f t="shared" si="39"/>
        <v>OK</v>
      </c>
      <c r="I590" t="str">
        <f t="shared" si="36"/>
        <v>OK</v>
      </c>
    </row>
    <row r="591" spans="1:9" x14ac:dyDescent="0.2">
      <c r="A591" t="str">
        <f>ObesityDataSet_raw_and_data_sin!A591</f>
        <v>Female</v>
      </c>
      <c r="B591">
        <f>ObesityDataSet_raw_and_data_sin!C591</f>
        <v>1.5308839999999999</v>
      </c>
      <c r="C591">
        <f>ObesityDataSet_raw_and_data_sin!D591</f>
        <v>39.371523000000003</v>
      </c>
      <c r="D591" t="str">
        <f>ObesityDataSet_raw_and_data_sin!Q591</f>
        <v>Insufficient_Weight</v>
      </c>
      <c r="E591" t="b">
        <f t="shared" si="37"/>
        <v>0</v>
      </c>
      <c r="F591">
        <f>C591/(B591*B591)</f>
        <v>16.799549924116445</v>
      </c>
      <c r="G591" t="str">
        <f t="shared" si="38"/>
        <v>Normal</v>
      </c>
      <c r="H591" t="str">
        <f t="shared" si="39"/>
        <v>OK</v>
      </c>
      <c r="I591" t="str">
        <f t="shared" si="36"/>
        <v>OK</v>
      </c>
    </row>
    <row r="592" spans="1:9" x14ac:dyDescent="0.2">
      <c r="A592" t="str">
        <f>ObesityDataSet_raw_and_data_sin!A592</f>
        <v>Female</v>
      </c>
      <c r="B592">
        <f>ObesityDataSet_raw_and_data_sin!C592</f>
        <v>1.5297240000000001</v>
      </c>
      <c r="C592">
        <f>ObesityDataSet_raw_and_data_sin!D592</f>
        <v>40.343463</v>
      </c>
      <c r="D592" t="str">
        <f>ObesityDataSet_raw_and_data_sin!Q592</f>
        <v>Insufficient_Weight</v>
      </c>
      <c r="E592" t="b">
        <f t="shared" si="37"/>
        <v>0</v>
      </c>
      <c r="F592">
        <f>C592/(B592*B592)</f>
        <v>17.24038712804867</v>
      </c>
      <c r="G592" t="str">
        <f t="shared" si="38"/>
        <v>Normal</v>
      </c>
      <c r="H592" t="str">
        <f t="shared" si="39"/>
        <v>OK</v>
      </c>
      <c r="I592" t="str">
        <f t="shared" si="36"/>
        <v>OK</v>
      </c>
    </row>
    <row r="593" spans="1:9" x14ac:dyDescent="0.2">
      <c r="A593" t="str">
        <f>ObesityDataSet_raw_and_data_sin!A593</f>
        <v>Male</v>
      </c>
      <c r="B593">
        <f>ObesityDataSet_raw_and_data_sin!C593</f>
        <v>1.767563</v>
      </c>
      <c r="C593">
        <f>ObesityDataSet_raw_and_data_sin!D593</f>
        <v>56.307018999999997</v>
      </c>
      <c r="D593" t="str">
        <f>ObesityDataSet_raw_and_data_sin!Q593</f>
        <v>Insufficient_Weight</v>
      </c>
      <c r="E593" t="b">
        <f t="shared" si="37"/>
        <v>0</v>
      </c>
      <c r="F593">
        <f>C593/(B593*B593)</f>
        <v>18.02240444578646</v>
      </c>
      <c r="G593" t="str">
        <f t="shared" si="38"/>
        <v>Normal</v>
      </c>
      <c r="H593" t="str">
        <f t="shared" si="39"/>
        <v>OK</v>
      </c>
      <c r="I593" t="str">
        <f t="shared" si="36"/>
        <v>OK</v>
      </c>
    </row>
    <row r="594" spans="1:9" x14ac:dyDescent="0.2">
      <c r="A594" t="str">
        <f>ObesityDataSet_raw_and_data_sin!A594</f>
        <v>Male</v>
      </c>
      <c r="B594">
        <f>ObesityDataSet_raw_and_data_sin!C594</f>
        <v>1.883364</v>
      </c>
      <c r="C594">
        <f>ObesityDataSet_raw_and_data_sin!D594</f>
        <v>60</v>
      </c>
      <c r="D594" t="str">
        <f>ObesityDataSet_raw_and_data_sin!Q594</f>
        <v>Insufficient_Weight</v>
      </c>
      <c r="E594" t="b">
        <f t="shared" si="37"/>
        <v>0</v>
      </c>
      <c r="F594">
        <f>C594/(B594*B594)</f>
        <v>16.915417482616117</v>
      </c>
      <c r="G594" t="str">
        <f t="shared" si="38"/>
        <v>Normal</v>
      </c>
      <c r="H594" t="str">
        <f t="shared" si="39"/>
        <v>OK</v>
      </c>
      <c r="I594" t="str">
        <f t="shared" si="36"/>
        <v>OK</v>
      </c>
    </row>
    <row r="595" spans="1:9" x14ac:dyDescent="0.2">
      <c r="A595" t="str">
        <f>ObesityDataSet_raw_and_data_sin!A595</f>
        <v>Male</v>
      </c>
      <c r="B595">
        <f>ObesityDataSet_raw_and_data_sin!C595</f>
        <v>1.8246549999999999</v>
      </c>
      <c r="C595">
        <f>ObesityDataSet_raw_and_data_sin!D595</f>
        <v>58.621349000000002</v>
      </c>
      <c r="D595" t="str">
        <f>ObesityDataSet_raw_and_data_sin!Q595</f>
        <v>Insufficient_Weight</v>
      </c>
      <c r="E595" t="b">
        <f t="shared" si="37"/>
        <v>0</v>
      </c>
      <c r="F595">
        <f>C595/(B595*B595)</f>
        <v>17.607361673701302</v>
      </c>
      <c r="G595" t="str">
        <f t="shared" si="38"/>
        <v>Normal</v>
      </c>
      <c r="H595" t="str">
        <f t="shared" si="39"/>
        <v>OK</v>
      </c>
      <c r="I595" t="str">
        <f t="shared" si="36"/>
        <v>OK</v>
      </c>
    </row>
    <row r="596" spans="1:9" x14ac:dyDescent="0.2">
      <c r="A596" t="str">
        <f>ObesityDataSet_raw_and_data_sin!A596</f>
        <v>Male</v>
      </c>
      <c r="B596">
        <f>ObesityDataSet_raw_and_data_sin!C596</f>
        <v>1.8401380000000001</v>
      </c>
      <c r="C596">
        <f>ObesityDataSet_raw_and_data_sin!D596</f>
        <v>60</v>
      </c>
      <c r="D596" t="str">
        <f>ObesityDataSet_raw_and_data_sin!Q596</f>
        <v>Insufficient_Weight</v>
      </c>
      <c r="E596" t="b">
        <f t="shared" si="37"/>
        <v>0</v>
      </c>
      <c r="F596">
        <f>C596/(B596*B596)</f>
        <v>17.719459183718914</v>
      </c>
      <c r="G596" t="str">
        <f t="shared" si="38"/>
        <v>Normal</v>
      </c>
      <c r="H596" t="str">
        <f t="shared" si="39"/>
        <v>OK</v>
      </c>
      <c r="I596" t="str">
        <f t="shared" si="36"/>
        <v>OK</v>
      </c>
    </row>
    <row r="597" spans="1:9" x14ac:dyDescent="0.2">
      <c r="A597" t="str">
        <f>ObesityDataSet_raw_and_data_sin!A597</f>
        <v>Male</v>
      </c>
      <c r="B597">
        <f>ObesityDataSet_raw_and_data_sin!C597</f>
        <v>1.8195570000000001</v>
      </c>
      <c r="C597">
        <f>ObesityDataSet_raw_and_data_sin!D597</f>
        <v>58.325122</v>
      </c>
      <c r="D597" t="str">
        <f>ObesityDataSet_raw_and_data_sin!Q597</f>
        <v>Insufficient_Weight</v>
      </c>
      <c r="E597" t="b">
        <f t="shared" si="37"/>
        <v>0</v>
      </c>
      <c r="F597">
        <f>C597/(B597*B597)</f>
        <v>17.61669055929319</v>
      </c>
      <c r="G597" t="str">
        <f t="shared" si="38"/>
        <v>Normal</v>
      </c>
      <c r="H597" t="str">
        <f t="shared" si="39"/>
        <v>OK</v>
      </c>
      <c r="I597" t="str">
        <f t="shared" si="36"/>
        <v>OK</v>
      </c>
    </row>
    <row r="598" spans="1:9" x14ac:dyDescent="0.2">
      <c r="A598" t="str">
        <f>ObesityDataSet_raw_and_data_sin!A598</f>
        <v>Male</v>
      </c>
      <c r="B598">
        <f>ObesityDataSet_raw_and_data_sin!C598</f>
        <v>1.798645</v>
      </c>
      <c r="C598">
        <f>ObesityDataSet_raw_and_data_sin!D598</f>
        <v>59.612717000000004</v>
      </c>
      <c r="D598" t="str">
        <f>ObesityDataSet_raw_and_data_sin!Q598</f>
        <v>Insufficient_Weight</v>
      </c>
      <c r="E598" t="b">
        <f t="shared" si="37"/>
        <v>0</v>
      </c>
      <c r="F598">
        <f>C598/(B598*B598)</f>
        <v>18.426718735208048</v>
      </c>
      <c r="G598" t="str">
        <f t="shared" si="38"/>
        <v>Normal</v>
      </c>
      <c r="H598" t="str">
        <f t="shared" si="39"/>
        <v>OK</v>
      </c>
      <c r="I598" t="str">
        <f t="shared" si="36"/>
        <v>OK</v>
      </c>
    </row>
    <row r="599" spans="1:9" x14ac:dyDescent="0.2">
      <c r="A599" t="str">
        <f>ObesityDataSet_raw_and_data_sin!A599</f>
        <v>Male</v>
      </c>
      <c r="B599">
        <f>ObesityDataSet_raw_and_data_sin!C599</f>
        <v>1.7108000000000001</v>
      </c>
      <c r="C599">
        <f>ObesityDataSet_raw_and_data_sin!D599</f>
        <v>50.925379999999997</v>
      </c>
      <c r="D599" t="str">
        <f>ObesityDataSet_raw_and_data_sin!Q599</f>
        <v>Insufficient_Weight</v>
      </c>
      <c r="E599" t="b">
        <f t="shared" si="37"/>
        <v>0</v>
      </c>
      <c r="F599">
        <f>C599/(B599*B599)</f>
        <v>17.399461009890867</v>
      </c>
      <c r="G599" t="str">
        <f t="shared" si="38"/>
        <v>Normal</v>
      </c>
      <c r="H599" t="str">
        <f t="shared" si="39"/>
        <v>OK</v>
      </c>
      <c r="I599" t="str">
        <f t="shared" si="36"/>
        <v>OK</v>
      </c>
    </row>
    <row r="600" spans="1:9" x14ac:dyDescent="0.2">
      <c r="A600" t="str">
        <f>ObesityDataSet_raw_and_data_sin!A600</f>
        <v>Male</v>
      </c>
      <c r="B600">
        <f>ObesityDataSet_raw_and_data_sin!C600</f>
        <v>1.7065300000000001</v>
      </c>
      <c r="C600">
        <f>ObesityDataSet_raw_and_data_sin!D600</f>
        <v>51.121749000000001</v>
      </c>
      <c r="D600" t="str">
        <f>ObesityDataSet_raw_and_data_sin!Q600</f>
        <v>Insufficient_Weight</v>
      </c>
      <c r="E600" t="b">
        <f t="shared" si="37"/>
        <v>0</v>
      </c>
      <c r="F600">
        <f>C600/(B600*B600)</f>
        <v>17.554070932791323</v>
      </c>
      <c r="G600" t="str">
        <f t="shared" si="38"/>
        <v>Normal</v>
      </c>
      <c r="H600" t="str">
        <f t="shared" si="39"/>
        <v>OK</v>
      </c>
      <c r="I600" t="str">
        <f t="shared" si="36"/>
        <v>OK</v>
      </c>
    </row>
    <row r="601" spans="1:9" x14ac:dyDescent="0.2">
      <c r="A601" t="str">
        <f>ObesityDataSet_raw_and_data_sin!A601</f>
        <v>Male</v>
      </c>
      <c r="B601">
        <f>ObesityDataSet_raw_and_data_sin!C601</f>
        <v>1.716691</v>
      </c>
      <c r="C601">
        <f>ObesityDataSet_raw_and_data_sin!D601</f>
        <v>51.149282999999997</v>
      </c>
      <c r="D601" t="str">
        <f>ObesityDataSet_raw_and_data_sin!Q601</f>
        <v>Insufficient_Weight</v>
      </c>
      <c r="E601" t="b">
        <f t="shared" si="37"/>
        <v>0</v>
      </c>
      <c r="F601">
        <f>C601/(B601*B601)</f>
        <v>17.356225723871688</v>
      </c>
      <c r="G601" t="str">
        <f t="shared" si="38"/>
        <v>Normal</v>
      </c>
      <c r="H601" t="str">
        <f t="shared" si="39"/>
        <v>OK</v>
      </c>
      <c r="I601" t="str">
        <f t="shared" si="36"/>
        <v>OK</v>
      </c>
    </row>
    <row r="602" spans="1:9" x14ac:dyDescent="0.2">
      <c r="A602" t="str">
        <f>ObesityDataSet_raw_and_data_sin!A602</f>
        <v>Female</v>
      </c>
      <c r="B602">
        <f>ObesityDataSet_raw_and_data_sin!C602</f>
        <v>1.555431</v>
      </c>
      <c r="C602">
        <f>ObesityDataSet_raw_and_data_sin!D602</f>
        <v>44.188766999999999</v>
      </c>
      <c r="D602" t="str">
        <f>ObesityDataSet_raw_and_data_sin!Q602</f>
        <v>Insufficient_Weight</v>
      </c>
      <c r="E602" t="b">
        <f t="shared" si="37"/>
        <v>0</v>
      </c>
      <c r="F602">
        <f>C602/(B602*B602)</f>
        <v>18.264609151020281</v>
      </c>
      <c r="G602" t="str">
        <f t="shared" si="38"/>
        <v>Normal</v>
      </c>
      <c r="H602" t="str">
        <f t="shared" si="39"/>
        <v>OK</v>
      </c>
      <c r="I602" t="str">
        <f t="shared" si="36"/>
        <v>OK</v>
      </c>
    </row>
    <row r="603" spans="1:9" x14ac:dyDescent="0.2">
      <c r="A603" t="str">
        <f>ObesityDataSet_raw_and_data_sin!A603</f>
        <v>Female</v>
      </c>
      <c r="B603">
        <f>ObesityDataSet_raw_and_data_sin!C603</f>
        <v>1.603923</v>
      </c>
      <c r="C603">
        <f>ObesityDataSet_raw_and_data_sin!D603</f>
        <v>45</v>
      </c>
      <c r="D603" t="str">
        <f>ObesityDataSet_raw_and_data_sin!Q603</f>
        <v>Insufficient_Weight</v>
      </c>
      <c r="E603" t="b">
        <f t="shared" si="37"/>
        <v>0</v>
      </c>
      <c r="F603">
        <f>C603/(B603*B603)</f>
        <v>17.492242259066469</v>
      </c>
      <c r="G603" t="str">
        <f t="shared" si="38"/>
        <v>Normal</v>
      </c>
      <c r="H603" t="str">
        <f t="shared" si="39"/>
        <v>OK</v>
      </c>
      <c r="I603" t="str">
        <f t="shared" si="36"/>
        <v>OK</v>
      </c>
    </row>
    <row r="604" spans="1:9" x14ac:dyDescent="0.2">
      <c r="A604" t="str">
        <f>ObesityDataSet_raw_and_data_sin!A604</f>
        <v>Female</v>
      </c>
      <c r="B604">
        <f>ObesityDataSet_raw_and_data_sin!C604</f>
        <v>1.602082</v>
      </c>
      <c r="C604">
        <f>ObesityDataSet_raw_and_data_sin!D604</f>
        <v>45</v>
      </c>
      <c r="D604" t="str">
        <f>ObesityDataSet_raw_and_data_sin!Q604</f>
        <v>Insufficient_Weight</v>
      </c>
      <c r="E604" t="b">
        <f t="shared" si="37"/>
        <v>0</v>
      </c>
      <c r="F604">
        <f>C604/(B604*B604)</f>
        <v>17.532467067579368</v>
      </c>
      <c r="G604" t="str">
        <f t="shared" si="38"/>
        <v>Normal</v>
      </c>
      <c r="H604" t="str">
        <f t="shared" si="39"/>
        <v>OK</v>
      </c>
      <c r="I604" t="str">
        <f t="shared" si="36"/>
        <v>OK</v>
      </c>
    </row>
    <row r="605" spans="1:9" x14ac:dyDescent="0.2">
      <c r="A605" t="str">
        <f>ObesityDataSet_raw_and_data_sin!A605</f>
        <v>Female</v>
      </c>
      <c r="B605">
        <f>ObesityDataSet_raw_and_data_sin!C605</f>
        <v>1.5377700000000001</v>
      </c>
      <c r="C605">
        <f>ObesityDataSet_raw_and_data_sin!D605</f>
        <v>42</v>
      </c>
      <c r="D605" t="str">
        <f>ObesityDataSet_raw_and_data_sin!Q605</f>
        <v>Insufficient_Weight</v>
      </c>
      <c r="E605" t="b">
        <f t="shared" si="37"/>
        <v>0</v>
      </c>
      <c r="F605">
        <f>C605/(B605*B605)</f>
        <v>17.760963517595197</v>
      </c>
      <c r="G605" t="str">
        <f t="shared" si="38"/>
        <v>Normal</v>
      </c>
      <c r="H605" t="str">
        <f t="shared" si="39"/>
        <v>OK</v>
      </c>
      <c r="I605" t="str">
        <f t="shared" si="36"/>
        <v>OK</v>
      </c>
    </row>
    <row r="606" spans="1:9" x14ac:dyDescent="0.2">
      <c r="A606" t="str">
        <f>ObesityDataSet_raw_and_data_sin!A606</f>
        <v>Female</v>
      </c>
      <c r="B606">
        <f>ObesityDataSet_raw_and_data_sin!C606</f>
        <v>1.5383979999999999</v>
      </c>
      <c r="C606">
        <f>ObesityDataSet_raw_and_data_sin!D606</f>
        <v>42</v>
      </c>
      <c r="D606" t="str">
        <f>ObesityDataSet_raw_and_data_sin!Q606</f>
        <v>Insufficient_Weight</v>
      </c>
      <c r="E606" t="b">
        <f t="shared" si="37"/>
        <v>0</v>
      </c>
      <c r="F606">
        <f>C606/(B606*B606)</f>
        <v>17.746465827807409</v>
      </c>
      <c r="G606" t="str">
        <f t="shared" si="38"/>
        <v>Normal</v>
      </c>
      <c r="H606" t="str">
        <f t="shared" si="39"/>
        <v>OK</v>
      </c>
      <c r="I606" t="str">
        <f t="shared" si="36"/>
        <v>OK</v>
      </c>
    </row>
    <row r="607" spans="1:9" x14ac:dyDescent="0.2">
      <c r="A607" t="str">
        <f>ObesityDataSet_raw_and_data_sin!A607</f>
        <v>Female</v>
      </c>
      <c r="B607">
        <f>ObesityDataSet_raw_and_data_sin!C607</f>
        <v>1.5208619999999999</v>
      </c>
      <c r="C607">
        <f>ObesityDataSet_raw_and_data_sin!D607</f>
        <v>42</v>
      </c>
      <c r="D607" t="str">
        <f>ObesityDataSet_raw_and_data_sin!Q607</f>
        <v>Insufficient_Weight</v>
      </c>
      <c r="E607" t="b">
        <f t="shared" si="37"/>
        <v>0</v>
      </c>
      <c r="F607">
        <f>C607/(B607*B607)</f>
        <v>18.158069446819361</v>
      </c>
      <c r="G607" t="str">
        <f t="shared" si="38"/>
        <v>Normal</v>
      </c>
      <c r="H607" t="str">
        <f t="shared" si="39"/>
        <v>OK</v>
      </c>
      <c r="I607" t="str">
        <f t="shared" si="36"/>
        <v>OK</v>
      </c>
    </row>
    <row r="608" spans="1:9" x14ac:dyDescent="0.2">
      <c r="A608" t="str">
        <f>ObesityDataSet_raw_and_data_sin!A608</f>
        <v>Male</v>
      </c>
      <c r="B608">
        <f>ObesityDataSet_raw_and_data_sin!C608</f>
        <v>1.7178260000000001</v>
      </c>
      <c r="C608">
        <f>ObesityDataSet_raw_and_data_sin!D608</f>
        <v>51.732500000000002</v>
      </c>
      <c r="D608" t="str">
        <f>ObesityDataSet_raw_and_data_sin!Q608</f>
        <v>Insufficient_Weight</v>
      </c>
      <c r="E608" t="b">
        <f t="shared" si="37"/>
        <v>0</v>
      </c>
      <c r="F608">
        <f>C608/(B608*B608)</f>
        <v>17.530936758504264</v>
      </c>
      <c r="G608" t="str">
        <f t="shared" si="38"/>
        <v>Normal</v>
      </c>
      <c r="H608" t="str">
        <f t="shared" si="39"/>
        <v>OK</v>
      </c>
      <c r="I608" t="str">
        <f t="shared" si="36"/>
        <v>OK</v>
      </c>
    </row>
    <row r="609" spans="1:9" x14ac:dyDescent="0.2">
      <c r="A609" t="str">
        <f>ObesityDataSet_raw_and_data_sin!A609</f>
        <v>Male</v>
      </c>
      <c r="B609">
        <f>ObesityDataSet_raw_and_data_sin!C609</f>
        <v>1.7533890000000001</v>
      </c>
      <c r="C609">
        <f>ObesityDataSet_raw_and_data_sin!D609</f>
        <v>54.121924999999997</v>
      </c>
      <c r="D609" t="str">
        <f>ObesityDataSet_raw_and_data_sin!Q609</f>
        <v>Insufficient_Weight</v>
      </c>
      <c r="E609" t="b">
        <f t="shared" si="37"/>
        <v>0</v>
      </c>
      <c r="F609">
        <f>C609/(B609*B609)</f>
        <v>17.604215642803354</v>
      </c>
      <c r="G609" t="str">
        <f t="shared" si="38"/>
        <v>Normal</v>
      </c>
      <c r="H609" t="str">
        <f t="shared" si="39"/>
        <v>OK</v>
      </c>
      <c r="I609" t="str">
        <f t="shared" si="36"/>
        <v>OK</v>
      </c>
    </row>
    <row r="610" spans="1:9" x14ac:dyDescent="0.2">
      <c r="A610" t="str">
        <f>ObesityDataSet_raw_and_data_sin!A610</f>
        <v>Male</v>
      </c>
      <c r="B610">
        <f>ObesityDataSet_raw_and_data_sin!C610</f>
        <v>1.7016500000000001</v>
      </c>
      <c r="C610">
        <f>ObesityDataSet_raw_and_data_sin!D610</f>
        <v>50.157707000000002</v>
      </c>
      <c r="D610" t="str">
        <f>ObesityDataSet_raw_and_data_sin!Q610</f>
        <v>Insufficient_Weight</v>
      </c>
      <c r="E610" t="b">
        <f t="shared" si="37"/>
        <v>0</v>
      </c>
      <c r="F610">
        <f>C610/(B610*B610)</f>
        <v>17.321966646387391</v>
      </c>
      <c r="G610" t="str">
        <f t="shared" si="38"/>
        <v>Normal</v>
      </c>
      <c r="H610" t="str">
        <f t="shared" si="39"/>
        <v>OK</v>
      </c>
      <c r="I610" t="str">
        <f t="shared" si="36"/>
        <v>OK</v>
      </c>
    </row>
    <row r="611" spans="1:9" x14ac:dyDescent="0.2">
      <c r="A611" t="str">
        <f>ObesityDataSet_raw_and_data_sin!A611</f>
        <v>Male</v>
      </c>
      <c r="B611">
        <f>ObesityDataSet_raw_and_data_sin!C611</f>
        <v>1.75336</v>
      </c>
      <c r="C611">
        <f>ObesityDataSet_raw_and_data_sin!D611</f>
        <v>54.997374000000001</v>
      </c>
      <c r="D611" t="str">
        <f>ObesityDataSet_raw_and_data_sin!Q611</f>
        <v>Insufficient_Weight</v>
      </c>
      <c r="E611" t="b">
        <f t="shared" si="37"/>
        <v>0</v>
      </c>
      <c r="F611">
        <f>C611/(B611*B611)</f>
        <v>17.889564328968451</v>
      </c>
      <c r="G611" t="str">
        <f t="shared" si="38"/>
        <v>Normal</v>
      </c>
      <c r="H611" t="str">
        <f t="shared" si="39"/>
        <v>OK</v>
      </c>
      <c r="I611" t="str">
        <f t="shared" si="36"/>
        <v>OK</v>
      </c>
    </row>
    <row r="612" spans="1:9" x14ac:dyDescent="0.2">
      <c r="A612" t="str">
        <f>ObesityDataSet_raw_and_data_sin!A612</f>
        <v>Female</v>
      </c>
      <c r="B612">
        <f>ObesityDataSet_raw_and_data_sin!C612</f>
        <v>1.672007</v>
      </c>
      <c r="C612">
        <f>ObesityDataSet_raw_and_data_sin!D612</f>
        <v>49.980967999999997</v>
      </c>
      <c r="D612" t="str">
        <f>ObesityDataSet_raw_and_data_sin!Q612</f>
        <v>Insufficient_Weight</v>
      </c>
      <c r="E612" t="b">
        <f t="shared" si="37"/>
        <v>0</v>
      </c>
      <c r="F612">
        <f>C612/(B612*B612)</f>
        <v>17.87839303047231</v>
      </c>
      <c r="G612" t="str">
        <f t="shared" si="38"/>
        <v>Normal</v>
      </c>
      <c r="H612" t="str">
        <f t="shared" si="39"/>
        <v>OK</v>
      </c>
      <c r="I612" t="str">
        <f t="shared" si="36"/>
        <v>OK</v>
      </c>
    </row>
    <row r="613" spans="1:9" x14ac:dyDescent="0.2">
      <c r="A613" t="str">
        <f>ObesityDataSet_raw_and_data_sin!A613</f>
        <v>Female</v>
      </c>
      <c r="B613">
        <f>ObesityDataSet_raw_and_data_sin!C613</f>
        <v>1.593847</v>
      </c>
      <c r="C613">
        <f>ObesityDataSet_raw_and_data_sin!D613</f>
        <v>44.050251000000003</v>
      </c>
      <c r="D613" t="str">
        <f>ObesityDataSet_raw_and_data_sin!Q613</f>
        <v>Insufficient_Weight</v>
      </c>
      <c r="E613" t="b">
        <f t="shared" si="37"/>
        <v>0</v>
      </c>
      <c r="F613">
        <f>C613/(B613*B613)</f>
        <v>17.340240983434331</v>
      </c>
      <c r="G613" t="str">
        <f t="shared" si="38"/>
        <v>Normal</v>
      </c>
      <c r="H613" t="str">
        <f t="shared" si="39"/>
        <v>OK</v>
      </c>
      <c r="I613" t="str">
        <f t="shared" si="36"/>
        <v>OK</v>
      </c>
    </row>
    <row r="614" spans="1:9" x14ac:dyDescent="0.2">
      <c r="A614" t="str">
        <f>ObesityDataSet_raw_and_data_sin!A614</f>
        <v>Female</v>
      </c>
      <c r="B614">
        <f>ObesityDataSet_raw_and_data_sin!C614</f>
        <v>1.5847850000000001</v>
      </c>
      <c r="C614">
        <f>ObesityDataSet_raw_and_data_sin!D614</f>
        <v>44.376637000000002</v>
      </c>
      <c r="D614" t="str">
        <f>ObesityDataSet_raw_and_data_sin!Q614</f>
        <v>Insufficient_Weight</v>
      </c>
      <c r="E614" t="b">
        <f t="shared" si="37"/>
        <v>0</v>
      </c>
      <c r="F614">
        <f>C614/(B614*B614)</f>
        <v>17.66906966441184</v>
      </c>
      <c r="G614" t="str">
        <f t="shared" si="38"/>
        <v>Normal</v>
      </c>
      <c r="H614" t="str">
        <f t="shared" si="39"/>
        <v>OK</v>
      </c>
      <c r="I614" t="str">
        <f t="shared" si="36"/>
        <v>OK</v>
      </c>
    </row>
    <row r="615" spans="1:9" x14ac:dyDescent="0.2">
      <c r="A615" t="str">
        <f>ObesityDataSet_raw_and_data_sin!A615</f>
        <v>Female</v>
      </c>
      <c r="B615">
        <f>ObesityDataSet_raw_and_data_sin!C615</f>
        <v>1.6002639999999999</v>
      </c>
      <c r="C615">
        <f>ObesityDataSet_raw_and_data_sin!D615</f>
        <v>45</v>
      </c>
      <c r="D615" t="str">
        <f>ObesityDataSet_raw_and_data_sin!Q615</f>
        <v>Insufficient_Weight</v>
      </c>
      <c r="E615" t="b">
        <f t="shared" si="37"/>
        <v>0</v>
      </c>
      <c r="F615">
        <f>C615/(B615*B615)</f>
        <v>17.572325654127575</v>
      </c>
      <c r="G615" t="str">
        <f t="shared" si="38"/>
        <v>Normal</v>
      </c>
      <c r="H615" t="str">
        <f t="shared" si="39"/>
        <v>OK</v>
      </c>
      <c r="I615" t="str">
        <f t="shared" si="36"/>
        <v>OK</v>
      </c>
    </row>
    <row r="616" spans="1:9" x14ac:dyDescent="0.2">
      <c r="A616" t="str">
        <f>ObesityDataSet_raw_and_data_sin!A616</f>
        <v>Female</v>
      </c>
      <c r="B616">
        <f>ObesityDataSet_raw_and_data_sin!C616</f>
        <v>1.5493110000000001</v>
      </c>
      <c r="C616">
        <f>ObesityDataSet_raw_and_data_sin!D616</f>
        <v>41.557468</v>
      </c>
      <c r="D616" t="str">
        <f>ObesityDataSet_raw_and_data_sin!Q616</f>
        <v>Insufficient_Weight</v>
      </c>
      <c r="E616" t="b">
        <f t="shared" si="37"/>
        <v>0</v>
      </c>
      <c r="F616">
        <f>C616/(B616*B616)</f>
        <v>17.312981718550116</v>
      </c>
      <c r="G616" t="str">
        <f t="shared" si="38"/>
        <v>Normal</v>
      </c>
      <c r="H616" t="str">
        <f t="shared" si="39"/>
        <v>OK</v>
      </c>
      <c r="I616" t="str">
        <f t="shared" si="36"/>
        <v>OK</v>
      </c>
    </row>
    <row r="617" spans="1:9" x14ac:dyDescent="0.2">
      <c r="A617" t="str">
        <f>ObesityDataSet_raw_and_data_sin!A617</f>
        <v>Female</v>
      </c>
      <c r="B617">
        <f>ObesityDataSet_raw_and_data_sin!C617</f>
        <v>1.5343850000000001</v>
      </c>
      <c r="C617">
        <f>ObesityDataSet_raw_and_data_sin!D617</f>
        <v>41.965249999999997</v>
      </c>
      <c r="D617" t="str">
        <f>ObesityDataSet_raw_and_data_sin!Q617</f>
        <v>Insufficient_Weight</v>
      </c>
      <c r="E617" t="b">
        <f t="shared" si="37"/>
        <v>0</v>
      </c>
      <c r="F617">
        <f>C617/(B617*B617)</f>
        <v>17.824654732734817</v>
      </c>
      <c r="G617" t="str">
        <f t="shared" si="38"/>
        <v>Normal</v>
      </c>
      <c r="H617" t="str">
        <f t="shared" si="39"/>
        <v>OK</v>
      </c>
      <c r="I617" t="str">
        <f t="shared" si="36"/>
        <v>OK</v>
      </c>
    </row>
    <row r="618" spans="1:9" x14ac:dyDescent="0.2">
      <c r="A618" t="str">
        <f>ObesityDataSet_raw_and_data_sin!A618</f>
        <v>Female</v>
      </c>
      <c r="B618">
        <f>ObesityDataSet_raw_and_data_sin!C618</f>
        <v>1.7255480000000001</v>
      </c>
      <c r="C618">
        <f>ObesityDataSet_raw_and_data_sin!D618</f>
        <v>49.815598999999999</v>
      </c>
      <c r="D618" t="str">
        <f>ObesityDataSet_raw_and_data_sin!Q618</f>
        <v>Insufficient_Weight</v>
      </c>
      <c r="E618" t="b">
        <f t="shared" si="37"/>
        <v>0</v>
      </c>
      <c r="F618">
        <f>C618/(B618*B618)</f>
        <v>16.730590420999565</v>
      </c>
      <c r="G618" t="str">
        <f t="shared" si="38"/>
        <v>Normal</v>
      </c>
      <c r="H618" t="str">
        <f t="shared" si="39"/>
        <v>OK</v>
      </c>
      <c r="I618" t="str">
        <f t="shared" si="36"/>
        <v>OK</v>
      </c>
    </row>
    <row r="619" spans="1:9" x14ac:dyDescent="0.2">
      <c r="A619" t="str">
        <f>ObesityDataSet_raw_and_data_sin!A619</f>
        <v>Male</v>
      </c>
      <c r="B619">
        <f>ObesityDataSet_raw_and_data_sin!C619</f>
        <v>1.8689309999999999</v>
      </c>
      <c r="C619">
        <f>ObesityDataSet_raw_and_data_sin!D619</f>
        <v>63.199725999999998</v>
      </c>
      <c r="D619" t="str">
        <f>ObesityDataSet_raw_and_data_sin!Q619</f>
        <v>Insufficient_Weight</v>
      </c>
      <c r="E619" t="b">
        <f t="shared" si="37"/>
        <v>0</v>
      </c>
      <c r="F619">
        <f>C619/(B619*B619)</f>
        <v>18.093753105237365</v>
      </c>
      <c r="G619" t="str">
        <f t="shared" si="38"/>
        <v>Normal</v>
      </c>
      <c r="H619" t="str">
        <f t="shared" si="39"/>
        <v>OK</v>
      </c>
      <c r="I619" t="str">
        <f t="shared" si="36"/>
        <v>OK</v>
      </c>
    </row>
    <row r="620" spans="1:9" x14ac:dyDescent="0.2">
      <c r="A620" t="str">
        <f>ObesityDataSet_raw_and_data_sin!A620</f>
        <v>Female</v>
      </c>
      <c r="B620">
        <f>ObesityDataSet_raw_and_data_sin!C620</f>
        <v>1.686936</v>
      </c>
      <c r="C620">
        <f>ObesityDataSet_raw_and_data_sin!D620</f>
        <v>51.256059</v>
      </c>
      <c r="D620" t="str">
        <f>ObesityDataSet_raw_and_data_sin!Q620</f>
        <v>Insufficient_Weight</v>
      </c>
      <c r="E620" t="b">
        <f t="shared" si="37"/>
        <v>0</v>
      </c>
      <c r="F620">
        <f>C620/(B620*B620)</f>
        <v>18.011421853370344</v>
      </c>
      <c r="G620" t="str">
        <f t="shared" si="38"/>
        <v>Normal</v>
      </c>
      <c r="H620" t="str">
        <f t="shared" si="39"/>
        <v>OK</v>
      </c>
      <c r="I620" t="str">
        <f t="shared" si="36"/>
        <v>OK</v>
      </c>
    </row>
    <row r="621" spans="1:9" x14ac:dyDescent="0.2">
      <c r="A621" t="str">
        <f>ObesityDataSet_raw_and_data_sin!A621</f>
        <v>Female</v>
      </c>
      <c r="B621">
        <f>ObesityDataSet_raw_and_data_sin!C621</f>
        <v>1.5898289999999999</v>
      </c>
      <c r="C621">
        <f>ObesityDataSet_raw_and_data_sin!D621</f>
        <v>40.202773000000001</v>
      </c>
      <c r="D621" t="str">
        <f>ObesityDataSet_raw_and_data_sin!Q621</f>
        <v>Insufficient_Weight</v>
      </c>
      <c r="E621" t="b">
        <f t="shared" si="37"/>
        <v>0</v>
      </c>
      <c r="F621">
        <f>C621/(B621*B621)</f>
        <v>15.905787660342869</v>
      </c>
      <c r="G621" t="str">
        <f t="shared" si="38"/>
        <v>Normal</v>
      </c>
      <c r="H621" t="str">
        <f t="shared" si="39"/>
        <v>OK</v>
      </c>
      <c r="I621" t="str">
        <f t="shared" si="36"/>
        <v>OK</v>
      </c>
    </row>
    <row r="622" spans="1:9" x14ac:dyDescent="0.2">
      <c r="A622" t="str">
        <f>ObesityDataSet_raw_and_data_sin!A622</f>
        <v>Female</v>
      </c>
      <c r="B622">
        <f>ObesityDataSet_raw_and_data_sin!C622</f>
        <v>1.6532089999999999</v>
      </c>
      <c r="C622">
        <f>ObesityDataSet_raw_and_data_sin!D622</f>
        <v>49.026214000000003</v>
      </c>
      <c r="D622" t="str">
        <f>ObesityDataSet_raw_and_data_sin!Q622</f>
        <v>Insufficient_Weight</v>
      </c>
      <c r="E622" t="b">
        <f t="shared" si="37"/>
        <v>0</v>
      </c>
      <c r="F622">
        <f>C622/(B622*B622)</f>
        <v>17.93795105982149</v>
      </c>
      <c r="G622" t="str">
        <f t="shared" si="38"/>
        <v>Normal</v>
      </c>
      <c r="H622" t="str">
        <f t="shared" si="39"/>
        <v>OK</v>
      </c>
      <c r="I622" t="str">
        <f t="shared" si="36"/>
        <v>OK</v>
      </c>
    </row>
    <row r="623" spans="1:9" x14ac:dyDescent="0.2">
      <c r="A623" t="str">
        <f>ObesityDataSet_raw_and_data_sin!A623</f>
        <v>Female</v>
      </c>
      <c r="B623">
        <f>ObesityDataSet_raw_and_data_sin!C623</f>
        <v>1.740108</v>
      </c>
      <c r="C623">
        <f>ObesityDataSet_raw_and_data_sin!D623</f>
        <v>53.657269999999997</v>
      </c>
      <c r="D623" t="str">
        <f>ObesityDataSet_raw_and_data_sin!Q623</f>
        <v>Insufficient_Weight</v>
      </c>
      <c r="E623" t="b">
        <f t="shared" si="37"/>
        <v>0</v>
      </c>
      <c r="F623">
        <f>C623/(B623*B623)</f>
        <v>17.720507899860916</v>
      </c>
      <c r="G623" t="str">
        <f t="shared" si="38"/>
        <v>Normal</v>
      </c>
      <c r="H623" t="str">
        <f t="shared" si="39"/>
        <v>OK</v>
      </c>
      <c r="I623" t="str">
        <f t="shared" si="36"/>
        <v>OK</v>
      </c>
    </row>
    <row r="624" spans="1:9" x14ac:dyDescent="0.2">
      <c r="A624" t="str">
        <f>ObesityDataSet_raw_and_data_sin!A624</f>
        <v>Female</v>
      </c>
      <c r="B624">
        <f>ObesityDataSet_raw_and_data_sin!C624</f>
        <v>1.7</v>
      </c>
      <c r="C624">
        <f>ObesityDataSet_raw_and_data_sin!D624</f>
        <v>50</v>
      </c>
      <c r="D624" t="str">
        <f>ObesityDataSet_raw_and_data_sin!Q624</f>
        <v>Insufficient_Weight</v>
      </c>
      <c r="E624" t="b">
        <f t="shared" si="37"/>
        <v>0</v>
      </c>
      <c r="F624">
        <f>C624/(B624*B624)</f>
        <v>17.301038062283737</v>
      </c>
      <c r="G624" t="str">
        <f t="shared" si="38"/>
        <v>Normal</v>
      </c>
      <c r="H624" t="str">
        <f t="shared" si="39"/>
        <v>OK</v>
      </c>
      <c r="I624" t="str">
        <f t="shared" si="36"/>
        <v>OK</v>
      </c>
    </row>
    <row r="625" spans="1:9" x14ac:dyDescent="0.2">
      <c r="A625" t="str">
        <f>ObesityDataSet_raw_and_data_sin!A625</f>
        <v>Female</v>
      </c>
      <c r="B625">
        <f>ObesityDataSet_raw_and_data_sin!C625</f>
        <v>1.689141</v>
      </c>
      <c r="C625">
        <f>ObesityDataSet_raw_and_data_sin!D625</f>
        <v>50</v>
      </c>
      <c r="D625" t="str">
        <f>ObesityDataSet_raw_and_data_sin!Q625</f>
        <v>Insufficient_Weight</v>
      </c>
      <c r="E625" t="b">
        <f t="shared" si="37"/>
        <v>0</v>
      </c>
      <c r="F625">
        <f>C625/(B625*B625)</f>
        <v>17.524199846484429</v>
      </c>
      <c r="G625" t="str">
        <f t="shared" si="38"/>
        <v>Normal</v>
      </c>
      <c r="H625" t="str">
        <f t="shared" si="39"/>
        <v>OK</v>
      </c>
      <c r="I625" t="str">
        <f t="shared" si="36"/>
        <v>OK</v>
      </c>
    </row>
    <row r="626" spans="1:9" x14ac:dyDescent="0.2">
      <c r="A626" t="str">
        <f>ObesityDataSet_raw_and_data_sin!A626</f>
        <v>Male</v>
      </c>
      <c r="B626">
        <f>ObesityDataSet_raw_and_data_sin!C626</f>
        <v>1.691206</v>
      </c>
      <c r="C626">
        <f>ObesityDataSet_raw_and_data_sin!D626</f>
        <v>50</v>
      </c>
      <c r="D626" t="str">
        <f>ObesityDataSet_raw_and_data_sin!Q626</f>
        <v>Insufficient_Weight</v>
      </c>
      <c r="E626" t="b">
        <f t="shared" si="37"/>
        <v>0</v>
      </c>
      <c r="F626">
        <f>C626/(B626*B626)</f>
        <v>17.481431100595408</v>
      </c>
      <c r="G626" t="str">
        <f t="shared" si="38"/>
        <v>Normal</v>
      </c>
      <c r="H626" t="str">
        <f t="shared" si="39"/>
        <v>OK</v>
      </c>
      <c r="I626" t="str">
        <f t="shared" si="36"/>
        <v>OK</v>
      </c>
    </row>
    <row r="627" spans="1:9" x14ac:dyDescent="0.2">
      <c r="A627" t="str">
        <f>ObesityDataSet_raw_and_data_sin!A627</f>
        <v>Male</v>
      </c>
      <c r="B627">
        <f>ObesityDataSet_raw_and_data_sin!C627</f>
        <v>1.788459</v>
      </c>
      <c r="C627">
        <f>ObesityDataSet_raw_and_data_sin!D627</f>
        <v>51.552594999999997</v>
      </c>
      <c r="D627" t="str">
        <f>ObesityDataSet_raw_and_data_sin!Q627</f>
        <v>Insufficient_Weight</v>
      </c>
      <c r="E627" t="b">
        <f t="shared" si="37"/>
        <v>0</v>
      </c>
      <c r="F627">
        <f>C627/(B627*B627)</f>
        <v>16.117309815228321</v>
      </c>
      <c r="G627" t="str">
        <f t="shared" si="38"/>
        <v>Normal</v>
      </c>
      <c r="H627" t="str">
        <f t="shared" si="39"/>
        <v>OK</v>
      </c>
      <c r="I627" t="str">
        <f t="shared" si="36"/>
        <v>OK</v>
      </c>
    </row>
    <row r="628" spans="1:9" x14ac:dyDescent="0.2">
      <c r="A628" t="str">
        <f>ObesityDataSet_raw_and_data_sin!A628</f>
        <v>Male</v>
      </c>
      <c r="B628">
        <f>ObesityDataSet_raw_and_data_sin!C628</f>
        <v>1.8112379999999999</v>
      </c>
      <c r="C628">
        <f>ObesityDataSet_raw_and_data_sin!D628</f>
        <v>58.830710000000003</v>
      </c>
      <c r="D628" t="str">
        <f>ObesityDataSet_raw_and_data_sin!Q628</f>
        <v>Insufficient_Weight</v>
      </c>
      <c r="E628" t="b">
        <f t="shared" si="37"/>
        <v>0</v>
      </c>
      <c r="F628">
        <f>C628/(B628*B628)</f>
        <v>17.933004084522409</v>
      </c>
      <c r="G628" t="str">
        <f t="shared" si="38"/>
        <v>Normal</v>
      </c>
      <c r="H628" t="str">
        <f t="shared" si="39"/>
        <v>OK</v>
      </c>
      <c r="I628" t="str">
        <f t="shared" si="36"/>
        <v>OK</v>
      </c>
    </row>
    <row r="629" spans="1:9" x14ac:dyDescent="0.2">
      <c r="A629" t="str">
        <f>ObesityDataSet_raw_and_data_sin!A629</f>
        <v>Female</v>
      </c>
      <c r="B629">
        <f>ObesityDataSet_raw_and_data_sin!C629</f>
        <v>1.830068</v>
      </c>
      <c r="C629">
        <f>ObesityDataSet_raw_and_data_sin!D629</f>
        <v>43.534531000000001</v>
      </c>
      <c r="D629" t="str">
        <f>ObesityDataSet_raw_and_data_sin!Q629</f>
        <v>Insufficient_Weight</v>
      </c>
      <c r="E629" t="b">
        <f t="shared" si="37"/>
        <v>0</v>
      </c>
      <c r="F629">
        <f>C629/(B629*B629)</f>
        <v>12.998684889724604</v>
      </c>
      <c r="G629" t="str">
        <f t="shared" si="38"/>
        <v>Normal</v>
      </c>
      <c r="H629" t="str">
        <f t="shared" si="39"/>
        <v>OK</v>
      </c>
      <c r="I629" t="str">
        <f t="shared" si="36"/>
        <v>OK</v>
      </c>
    </row>
    <row r="630" spans="1:9" x14ac:dyDescent="0.2">
      <c r="A630" t="str">
        <f>ObesityDataSet_raw_and_data_sin!A630</f>
        <v>Male</v>
      </c>
      <c r="B630">
        <f>ObesityDataSet_raw_and_data_sin!C630</f>
        <v>1.782756</v>
      </c>
      <c r="C630">
        <f>ObesityDataSet_raw_and_data_sin!D630</f>
        <v>56.029418</v>
      </c>
      <c r="D630" t="str">
        <f>ObesityDataSet_raw_and_data_sin!Q630</f>
        <v>Insufficient_Weight</v>
      </c>
      <c r="E630" t="b">
        <f t="shared" si="37"/>
        <v>0</v>
      </c>
      <c r="F630">
        <f>C630/(B630*B630)</f>
        <v>17.629187536750678</v>
      </c>
      <c r="G630" t="str">
        <f t="shared" si="38"/>
        <v>Normal</v>
      </c>
      <c r="H630" t="str">
        <f t="shared" si="39"/>
        <v>OK</v>
      </c>
      <c r="I630" t="str">
        <f t="shared" si="36"/>
        <v>OK</v>
      </c>
    </row>
    <row r="631" spans="1:9" x14ac:dyDescent="0.2">
      <c r="A631" t="str">
        <f>ObesityDataSet_raw_and_data_sin!A631</f>
        <v>Female</v>
      </c>
      <c r="B631">
        <f>ObesityDataSet_raw_and_data_sin!C631</f>
        <v>1.7516910000000001</v>
      </c>
      <c r="C631">
        <f>ObesityDataSet_raw_and_data_sin!D631</f>
        <v>55.967655000000001</v>
      </c>
      <c r="D631" t="str">
        <f>ObesityDataSet_raw_and_data_sin!Q631</f>
        <v>Insufficient_Weight</v>
      </c>
      <c r="E631" t="b">
        <f t="shared" si="37"/>
        <v>0</v>
      </c>
      <c r="F631">
        <f>C631/(B631*B631)</f>
        <v>18.239885740290408</v>
      </c>
      <c r="G631" t="str">
        <f t="shared" si="38"/>
        <v>Normal</v>
      </c>
      <c r="H631" t="str">
        <f t="shared" si="39"/>
        <v>OK</v>
      </c>
      <c r="I631" t="str">
        <f t="shared" si="36"/>
        <v>OK</v>
      </c>
    </row>
    <row r="632" spans="1:9" x14ac:dyDescent="0.2">
      <c r="A632" t="str">
        <f>ObesityDataSet_raw_and_data_sin!A632</f>
        <v>Female</v>
      </c>
      <c r="B632">
        <f>ObesityDataSet_raw_and_data_sin!C632</f>
        <v>1.7865599999999999</v>
      </c>
      <c r="C632">
        <f>ObesityDataSet_raw_and_data_sin!D632</f>
        <v>50</v>
      </c>
      <c r="D632" t="str">
        <f>ObesityDataSet_raw_and_data_sin!Q632</f>
        <v>Insufficient_Weight</v>
      </c>
      <c r="E632" t="b">
        <f t="shared" si="37"/>
        <v>0</v>
      </c>
      <c r="F632">
        <f>C632/(B632*B632)</f>
        <v>15.665158448270383</v>
      </c>
      <c r="G632" t="str">
        <f t="shared" si="38"/>
        <v>Normal</v>
      </c>
      <c r="H632" t="str">
        <f t="shared" si="39"/>
        <v>OK</v>
      </c>
      <c r="I632" t="str">
        <f t="shared" si="36"/>
        <v>OK</v>
      </c>
    </row>
    <row r="633" spans="1:9" x14ac:dyDescent="0.2">
      <c r="A633" t="str">
        <f>ObesityDataSet_raw_and_data_sin!A633</f>
        <v>Female</v>
      </c>
      <c r="B633">
        <f>ObesityDataSet_raw_and_data_sin!C633</f>
        <v>1.71367</v>
      </c>
      <c r="C633">
        <f>ObesityDataSet_raw_and_data_sin!D633</f>
        <v>50</v>
      </c>
      <c r="D633" t="str">
        <f>ObesityDataSet_raw_and_data_sin!Q633</f>
        <v>Insufficient_Weight</v>
      </c>
      <c r="E633" t="b">
        <f t="shared" si="37"/>
        <v>0</v>
      </c>
      <c r="F633">
        <f>C633/(B633*B633)</f>
        <v>17.026117119972472</v>
      </c>
      <c r="G633" t="str">
        <f t="shared" si="38"/>
        <v>Normal</v>
      </c>
      <c r="H633" t="str">
        <f t="shared" si="39"/>
        <v>OK</v>
      </c>
      <c r="I633" t="str">
        <f t="shared" si="36"/>
        <v>OK</v>
      </c>
    </row>
    <row r="634" spans="1:9" x14ac:dyDescent="0.2">
      <c r="A634" t="str">
        <f>ObesityDataSet_raw_and_data_sin!A634</f>
        <v>Female</v>
      </c>
      <c r="B634">
        <f>ObesityDataSet_raw_and_data_sin!C634</f>
        <v>1.540375</v>
      </c>
      <c r="C634">
        <f>ObesityDataSet_raw_and_data_sin!D634</f>
        <v>42.006281999999999</v>
      </c>
      <c r="D634" t="str">
        <f>ObesityDataSet_raw_and_data_sin!Q634</f>
        <v>Insufficient_Weight</v>
      </c>
      <c r="E634" t="b">
        <f t="shared" si="37"/>
        <v>0</v>
      </c>
      <c r="F634">
        <f>C634/(B634*B634)</f>
        <v>17.703589081229534</v>
      </c>
      <c r="G634" t="str">
        <f t="shared" si="38"/>
        <v>Normal</v>
      </c>
      <c r="H634" t="str">
        <f t="shared" si="39"/>
        <v>OK</v>
      </c>
      <c r="I634" t="str">
        <f t="shared" si="36"/>
        <v>OK</v>
      </c>
    </row>
    <row r="635" spans="1:9" x14ac:dyDescent="0.2">
      <c r="A635" t="str">
        <f>ObesityDataSet_raw_and_data_sin!A635</f>
        <v>Male</v>
      </c>
      <c r="B635">
        <f>ObesityDataSet_raw_and_data_sin!C635</f>
        <v>1.8967339999999999</v>
      </c>
      <c r="C635">
        <f>ObesityDataSet_raw_and_data_sin!D635</f>
        <v>59.895052</v>
      </c>
      <c r="D635" t="str">
        <f>ObesityDataSet_raw_and_data_sin!Q635</f>
        <v>Insufficient_Weight</v>
      </c>
      <c r="E635" t="b">
        <f t="shared" si="37"/>
        <v>0</v>
      </c>
      <c r="F635">
        <f>C635/(B635*B635)</f>
        <v>16.648614136737812</v>
      </c>
      <c r="G635" t="str">
        <f t="shared" si="38"/>
        <v>Normal</v>
      </c>
      <c r="H635" t="str">
        <f t="shared" si="39"/>
        <v>OK</v>
      </c>
      <c r="I635" t="str">
        <f t="shared" si="36"/>
        <v>OK</v>
      </c>
    </row>
    <row r="636" spans="1:9" x14ac:dyDescent="0.2">
      <c r="A636" t="str">
        <f>ObesityDataSet_raw_and_data_sin!A636</f>
        <v>Female</v>
      </c>
      <c r="B636">
        <f>ObesityDataSet_raw_and_data_sin!C636</f>
        <v>1.710129</v>
      </c>
      <c r="C636">
        <f>ObesityDataSet_raw_and_data_sin!D636</f>
        <v>50.079991</v>
      </c>
      <c r="D636" t="str">
        <f>ObesityDataSet_raw_and_data_sin!Q636</f>
        <v>Insufficient_Weight</v>
      </c>
      <c r="E636" t="b">
        <f t="shared" si="37"/>
        <v>0</v>
      </c>
      <c r="F636">
        <f>C636/(B636*B636)</f>
        <v>17.12405045192035</v>
      </c>
      <c r="G636" t="str">
        <f t="shared" si="38"/>
        <v>Normal</v>
      </c>
      <c r="H636" t="str">
        <f t="shared" si="39"/>
        <v>OK</v>
      </c>
      <c r="I636" t="str">
        <f t="shared" si="36"/>
        <v>OK</v>
      </c>
    </row>
    <row r="637" spans="1:9" x14ac:dyDescent="0.2">
      <c r="A637" t="str">
        <f>ObesityDataSet_raw_and_data_sin!A637</f>
        <v>Female</v>
      </c>
      <c r="B637">
        <f>ObesityDataSet_raw_and_data_sin!C637</f>
        <v>1.7041930000000001</v>
      </c>
      <c r="C637">
        <f>ObesityDataSet_raw_and_data_sin!D637</f>
        <v>50.631889000000001</v>
      </c>
      <c r="D637" t="str">
        <f>ObesityDataSet_raw_and_data_sin!Q637</f>
        <v>Insufficient_Weight</v>
      </c>
      <c r="E637" t="b">
        <f t="shared" si="37"/>
        <v>0</v>
      </c>
      <c r="F637">
        <f>C637/(B637*B637)</f>
        <v>17.433579894188025</v>
      </c>
      <c r="G637" t="str">
        <f t="shared" si="38"/>
        <v>Normal</v>
      </c>
      <c r="H637" t="str">
        <f t="shared" si="39"/>
        <v>OK</v>
      </c>
      <c r="I637" t="str">
        <f t="shared" si="36"/>
        <v>OK</v>
      </c>
    </row>
    <row r="638" spans="1:9" x14ac:dyDescent="0.2">
      <c r="A638" t="str">
        <f>ObesityDataSet_raw_and_data_sin!A638</f>
        <v>Female</v>
      </c>
      <c r="B638">
        <f>ObesityDataSet_raw_and_data_sin!C638</f>
        <v>1.556611</v>
      </c>
      <c r="C638">
        <f>ObesityDataSet_raw_and_data_sin!D638</f>
        <v>39.695295000000002</v>
      </c>
      <c r="D638" t="str">
        <f>ObesityDataSet_raw_and_data_sin!Q638</f>
        <v>Insufficient_Weight</v>
      </c>
      <c r="E638" t="b">
        <f t="shared" si="37"/>
        <v>0</v>
      </c>
      <c r="F638">
        <f>C638/(B638*B638)</f>
        <v>16.382449713673054</v>
      </c>
      <c r="G638" t="str">
        <f t="shared" si="38"/>
        <v>Normal</v>
      </c>
      <c r="H638" t="str">
        <f t="shared" si="39"/>
        <v>OK</v>
      </c>
      <c r="I638" t="str">
        <f t="shared" si="36"/>
        <v>OK</v>
      </c>
    </row>
    <row r="639" spans="1:9" x14ac:dyDescent="0.2">
      <c r="A639" t="str">
        <f>ObesityDataSet_raw_and_data_sin!A639</f>
        <v>Male</v>
      </c>
      <c r="B639">
        <f>ObesityDataSet_raw_and_data_sin!C639</f>
        <v>1.845399</v>
      </c>
      <c r="C639">
        <f>ObesityDataSet_raw_and_data_sin!D639</f>
        <v>60</v>
      </c>
      <c r="D639" t="str">
        <f>ObesityDataSet_raw_and_data_sin!Q639</f>
        <v>Insufficient_Weight</v>
      </c>
      <c r="E639" t="b">
        <f t="shared" si="37"/>
        <v>0</v>
      </c>
      <c r="F639">
        <f>C639/(B639*B639)</f>
        <v>17.618571307902702</v>
      </c>
      <c r="G639" t="str">
        <f t="shared" si="38"/>
        <v>Normal</v>
      </c>
      <c r="H639" t="str">
        <f t="shared" si="39"/>
        <v>OK</v>
      </c>
      <c r="I639" t="str">
        <f t="shared" si="36"/>
        <v>OK</v>
      </c>
    </row>
    <row r="640" spans="1:9" x14ac:dyDescent="0.2">
      <c r="A640" t="str">
        <f>ObesityDataSet_raw_and_data_sin!A640</f>
        <v>Male</v>
      </c>
      <c r="B640">
        <f>ObesityDataSet_raw_and_data_sin!C640</f>
        <v>1.8346370000000001</v>
      </c>
      <c r="C640">
        <f>ObesityDataSet_raw_and_data_sin!D640</f>
        <v>59.990861000000002</v>
      </c>
      <c r="D640" t="str">
        <f>ObesityDataSet_raw_and_data_sin!Q640</f>
        <v>Insufficient_Weight</v>
      </c>
      <c r="E640" t="b">
        <f t="shared" si="37"/>
        <v>0</v>
      </c>
      <c r="F640">
        <f>C640/(B640*B640)</f>
        <v>17.823163836260964</v>
      </c>
      <c r="G640" t="str">
        <f t="shared" si="38"/>
        <v>Normal</v>
      </c>
      <c r="H640" t="str">
        <f t="shared" si="39"/>
        <v>OK</v>
      </c>
      <c r="I640" t="str">
        <f t="shared" si="36"/>
        <v>OK</v>
      </c>
    </row>
    <row r="641" spans="1:9" x14ac:dyDescent="0.2">
      <c r="A641" t="str">
        <f>ObesityDataSet_raw_and_data_sin!A641</f>
        <v>Male</v>
      </c>
      <c r="B641">
        <f>ObesityDataSet_raw_and_data_sin!C641</f>
        <v>1.721854</v>
      </c>
      <c r="C641">
        <f>ObesityDataSet_raw_and_data_sin!D641</f>
        <v>52.514302000000001</v>
      </c>
      <c r="D641" t="str">
        <f>ObesityDataSet_raw_and_data_sin!Q641</f>
        <v>Insufficient_Weight</v>
      </c>
      <c r="E641" t="b">
        <f t="shared" si="37"/>
        <v>0</v>
      </c>
      <c r="F641">
        <f>C641/(B641*B641)</f>
        <v>17.712707449555101</v>
      </c>
      <c r="G641" t="str">
        <f t="shared" si="38"/>
        <v>Normal</v>
      </c>
      <c r="H641" t="str">
        <f t="shared" si="39"/>
        <v>OK</v>
      </c>
      <c r="I641" t="str">
        <f t="shared" si="36"/>
        <v>OK</v>
      </c>
    </row>
    <row r="642" spans="1:9" x14ac:dyDescent="0.2">
      <c r="A642" t="str">
        <f>ObesityDataSet_raw_and_data_sin!A642</f>
        <v>Female</v>
      </c>
      <c r="B642">
        <f>ObesityDataSet_raw_and_data_sin!C642</f>
        <v>1.605521</v>
      </c>
      <c r="C642">
        <f>ObesityDataSet_raw_and_data_sin!D642</f>
        <v>44.661461000000003</v>
      </c>
      <c r="D642" t="str">
        <f>ObesityDataSet_raw_and_data_sin!Q642</f>
        <v>Insufficient_Weight</v>
      </c>
      <c r="E642" t="b">
        <f t="shared" si="37"/>
        <v>0</v>
      </c>
      <c r="F642">
        <f>C642/(B642*B642)</f>
        <v>17.326105121463698</v>
      </c>
      <c r="G642" t="str">
        <f t="shared" si="38"/>
        <v>Normal</v>
      </c>
      <c r="H642" t="str">
        <f t="shared" si="39"/>
        <v>OK</v>
      </c>
      <c r="I642" t="str">
        <f t="shared" ref="I642:I705" si="40">IF(AND(LEFT(D642,10)="Overweight",G642&lt;&gt;"Overweight"),"ERROR","OK")</f>
        <v>OK</v>
      </c>
    </row>
    <row r="643" spans="1:9" x14ac:dyDescent="0.2">
      <c r="A643" t="str">
        <f>ObesityDataSet_raw_and_data_sin!A643</f>
        <v>Female</v>
      </c>
      <c r="B643">
        <f>ObesityDataSet_raw_and_data_sin!C643</f>
        <v>1.5302659999999999</v>
      </c>
      <c r="C643">
        <f>ObesityDataSet_raw_and_data_sin!D643</f>
        <v>42</v>
      </c>
      <c r="D643" t="str">
        <f>ObesityDataSet_raw_and_data_sin!Q643</f>
        <v>Insufficient_Weight</v>
      </c>
      <c r="E643" t="b">
        <f t="shared" ref="E643:E706" si="41">IF(AND(A643="Female", B643&lt;1.5), TRUE, IF(AND(A643="Male",B643&lt;1.6),TRUE, FALSE))</f>
        <v>0</v>
      </c>
      <c r="F643">
        <f>C643/(B643*B643)</f>
        <v>17.935580283661157</v>
      </c>
      <c r="G643" t="str">
        <f t="shared" ref="G643:G706" si="42">IF(E643=TRUE,IF(F643&lt;23,"Normal",IF(F643&lt;25,"Overweight","Obese")),IF(F643&lt;25,"Normal",IF(F643&lt;30,"Overweight","Obese")))</f>
        <v>Normal</v>
      </c>
      <c r="H643" t="str">
        <f t="shared" ref="H643:H706" si="43">IF(AND(D643="Normal_Weight",G643&lt;&gt;"Normal"),"ERROR","OK")</f>
        <v>OK</v>
      </c>
      <c r="I643" t="str">
        <f t="shared" si="40"/>
        <v>OK</v>
      </c>
    </row>
    <row r="644" spans="1:9" x14ac:dyDescent="0.2">
      <c r="A644" t="str">
        <f>ObesityDataSet_raw_and_data_sin!A644</f>
        <v>Male</v>
      </c>
      <c r="B644">
        <f>ObesityDataSet_raw_and_data_sin!C644</f>
        <v>1.71889</v>
      </c>
      <c r="C644">
        <f>ObesityDataSet_raw_and_data_sin!D644</f>
        <v>52.058335</v>
      </c>
      <c r="D644" t="str">
        <f>ObesityDataSet_raw_and_data_sin!Q644</f>
        <v>Insufficient_Weight</v>
      </c>
      <c r="E644" t="b">
        <f t="shared" si="41"/>
        <v>0</v>
      </c>
      <c r="F644">
        <f>C644/(B644*B644)</f>
        <v>17.61952125166821</v>
      </c>
      <c r="G644" t="str">
        <f t="shared" si="42"/>
        <v>Normal</v>
      </c>
      <c r="H644" t="str">
        <f t="shared" si="43"/>
        <v>OK</v>
      </c>
      <c r="I644" t="str">
        <f t="shared" si="40"/>
        <v>OK</v>
      </c>
    </row>
    <row r="645" spans="1:9" x14ac:dyDescent="0.2">
      <c r="A645" t="str">
        <f>ObesityDataSet_raw_and_data_sin!A645</f>
        <v>Male</v>
      </c>
      <c r="B645">
        <f>ObesityDataSet_raw_and_data_sin!C645</f>
        <v>1.756338</v>
      </c>
      <c r="C645">
        <f>ObesityDataSet_raw_and_data_sin!D645</f>
        <v>54.982340000000001</v>
      </c>
      <c r="D645" t="str">
        <f>ObesityDataSet_raw_and_data_sin!Q645</f>
        <v>Insufficient_Weight</v>
      </c>
      <c r="E645" t="b">
        <f t="shared" si="41"/>
        <v>0</v>
      </c>
      <c r="F645">
        <f>C645/(B645*B645)</f>
        <v>17.824075926933478</v>
      </c>
      <c r="G645" t="str">
        <f t="shared" si="42"/>
        <v>Normal</v>
      </c>
      <c r="H645" t="str">
        <f t="shared" si="43"/>
        <v>OK</v>
      </c>
      <c r="I645" t="str">
        <f t="shared" si="40"/>
        <v>OK</v>
      </c>
    </row>
    <row r="646" spans="1:9" x14ac:dyDescent="0.2">
      <c r="A646" t="str">
        <f>ObesityDataSet_raw_and_data_sin!A646</f>
        <v>Male</v>
      </c>
      <c r="B646">
        <f>ObesityDataSet_raw_and_data_sin!C646</f>
        <v>1.770324</v>
      </c>
      <c r="C646">
        <f>ObesityDataSet_raw_and_data_sin!D646</f>
        <v>55.695253000000001</v>
      </c>
      <c r="D646" t="str">
        <f>ObesityDataSet_raw_and_data_sin!Q646</f>
        <v>Insufficient_Weight</v>
      </c>
      <c r="E646" t="b">
        <f t="shared" si="41"/>
        <v>0</v>
      </c>
      <c r="F646">
        <f>C646/(B646*B646)</f>
        <v>17.77103273987575</v>
      </c>
      <c r="G646" t="str">
        <f t="shared" si="42"/>
        <v>Normal</v>
      </c>
      <c r="H646" t="str">
        <f t="shared" si="43"/>
        <v>OK</v>
      </c>
      <c r="I646" t="str">
        <f t="shared" si="40"/>
        <v>OK</v>
      </c>
    </row>
    <row r="647" spans="1:9" x14ac:dyDescent="0.2">
      <c r="A647" t="str">
        <f>ObesityDataSet_raw_and_data_sin!A647</f>
        <v>Female</v>
      </c>
      <c r="B647">
        <f>ObesityDataSet_raw_and_data_sin!C647</f>
        <v>1.767479</v>
      </c>
      <c r="C647">
        <f>ObesityDataSet_raw_and_data_sin!D647</f>
        <v>56.265959000000002</v>
      </c>
      <c r="D647" t="str">
        <f>ObesityDataSet_raw_and_data_sin!Q647</f>
        <v>Insufficient_Weight</v>
      </c>
      <c r="E647" t="b">
        <f t="shared" si="41"/>
        <v>0</v>
      </c>
      <c r="F647">
        <f>C647/(B647*B647)</f>
        <v>18.01097404591081</v>
      </c>
      <c r="G647" t="str">
        <f t="shared" si="42"/>
        <v>Normal</v>
      </c>
      <c r="H647" t="str">
        <f t="shared" si="43"/>
        <v>OK</v>
      </c>
      <c r="I647" t="str">
        <f t="shared" si="40"/>
        <v>OK</v>
      </c>
    </row>
    <row r="648" spans="1:9" x14ac:dyDescent="0.2">
      <c r="A648" t="str">
        <f>ObesityDataSet_raw_and_data_sin!A648</f>
        <v>Female</v>
      </c>
      <c r="B648">
        <f>ObesityDataSet_raw_and_data_sin!C648</f>
        <v>1.704223</v>
      </c>
      <c r="C648">
        <f>ObesityDataSet_raw_and_data_sin!D648</f>
        <v>51.437984999999998</v>
      </c>
      <c r="D648" t="str">
        <f>ObesityDataSet_raw_and_data_sin!Q648</f>
        <v>Insufficient_Weight</v>
      </c>
      <c r="E648" t="b">
        <f t="shared" si="41"/>
        <v>0</v>
      </c>
      <c r="F648">
        <f>C648/(B648*B648)</f>
        <v>17.71051144984057</v>
      </c>
      <c r="G648" t="str">
        <f t="shared" si="42"/>
        <v>Normal</v>
      </c>
      <c r="H648" t="str">
        <f t="shared" si="43"/>
        <v>OK</v>
      </c>
      <c r="I648" t="str">
        <f t="shared" si="40"/>
        <v>OK</v>
      </c>
    </row>
    <row r="649" spans="1:9" x14ac:dyDescent="0.2">
      <c r="A649" t="str">
        <f>ObesityDataSet_raw_and_data_sin!A649</f>
        <v>Female</v>
      </c>
      <c r="B649">
        <f>ObesityDataSet_raw_and_data_sin!C649</f>
        <v>1.6678519999999999</v>
      </c>
      <c r="C649">
        <f>ObesityDataSet_raw_and_data_sin!D649</f>
        <v>49.803921000000003</v>
      </c>
      <c r="D649" t="str">
        <f>ObesityDataSet_raw_and_data_sin!Q649</f>
        <v>Insufficient_Weight</v>
      </c>
      <c r="E649" t="b">
        <f t="shared" si="41"/>
        <v>0</v>
      </c>
      <c r="F649">
        <f>C649/(B649*B649)</f>
        <v>17.903935945602779</v>
      </c>
      <c r="G649" t="str">
        <f t="shared" si="42"/>
        <v>Normal</v>
      </c>
      <c r="H649" t="str">
        <f t="shared" si="43"/>
        <v>OK</v>
      </c>
      <c r="I649" t="str">
        <f t="shared" si="40"/>
        <v>OK</v>
      </c>
    </row>
    <row r="650" spans="1:9" x14ac:dyDescent="0.2">
      <c r="A650" t="str">
        <f>ObesityDataSet_raw_and_data_sin!A650</f>
        <v>Female</v>
      </c>
      <c r="B650">
        <f>ObesityDataSet_raw_and_data_sin!C650</f>
        <v>1.722461</v>
      </c>
      <c r="C650">
        <f>ObesityDataSet_raw_and_data_sin!D650</f>
        <v>51.881262999999997</v>
      </c>
      <c r="D650" t="str">
        <f>ObesityDataSet_raw_and_data_sin!Q650</f>
        <v>Insufficient_Weight</v>
      </c>
      <c r="E650" t="b">
        <f t="shared" si="41"/>
        <v>0</v>
      </c>
      <c r="F650">
        <f>C650/(B650*B650)</f>
        <v>17.486856463481544</v>
      </c>
      <c r="G650" t="str">
        <f t="shared" si="42"/>
        <v>Normal</v>
      </c>
      <c r="H650" t="str">
        <f t="shared" si="43"/>
        <v>OK</v>
      </c>
      <c r="I650" t="str">
        <f t="shared" si="40"/>
        <v>OK</v>
      </c>
    </row>
    <row r="651" spans="1:9" x14ac:dyDescent="0.2">
      <c r="A651" t="str">
        <f>ObesityDataSet_raw_and_data_sin!A651</f>
        <v>Female</v>
      </c>
      <c r="B651">
        <f>ObesityDataSet_raw_and_data_sin!C651</f>
        <v>1.5880460000000001</v>
      </c>
      <c r="C651">
        <f>ObesityDataSet_raw_and_data_sin!D651</f>
        <v>44.236066999999998</v>
      </c>
      <c r="D651" t="str">
        <f>ObesityDataSet_raw_and_data_sin!Q651</f>
        <v>Insufficient_Weight</v>
      </c>
      <c r="E651" t="b">
        <f t="shared" si="41"/>
        <v>0</v>
      </c>
      <c r="F651">
        <f>C651/(B651*B651)</f>
        <v>17.540838529421617</v>
      </c>
      <c r="G651" t="str">
        <f t="shared" si="42"/>
        <v>Normal</v>
      </c>
      <c r="H651" t="str">
        <f t="shared" si="43"/>
        <v>OK</v>
      </c>
      <c r="I651" t="str">
        <f t="shared" si="40"/>
        <v>OK</v>
      </c>
    </row>
    <row r="652" spans="1:9" x14ac:dyDescent="0.2">
      <c r="A652" t="str">
        <f>ObesityDataSet_raw_and_data_sin!A652</f>
        <v>Female</v>
      </c>
      <c r="B652">
        <f>ObesityDataSet_raw_and_data_sin!C652</f>
        <v>1.5986119999999999</v>
      </c>
      <c r="C652">
        <f>ObesityDataSet_raw_and_data_sin!D652</f>
        <v>42.993937000000003</v>
      </c>
      <c r="D652" t="str">
        <f>ObesityDataSet_raw_and_data_sin!Q652</f>
        <v>Insufficient_Weight</v>
      </c>
      <c r="E652" t="b">
        <f t="shared" si="41"/>
        <v>0</v>
      </c>
      <c r="F652">
        <f>C652/(B652*B652)</f>
        <v>16.823683069983581</v>
      </c>
      <c r="G652" t="str">
        <f t="shared" si="42"/>
        <v>Normal</v>
      </c>
      <c r="H652" t="str">
        <f t="shared" si="43"/>
        <v>OK</v>
      </c>
      <c r="I652" t="str">
        <f t="shared" si="40"/>
        <v>OK</v>
      </c>
    </row>
    <row r="653" spans="1:9" x14ac:dyDescent="0.2">
      <c r="A653" t="str">
        <f>ObesityDataSet_raw_and_data_sin!A653</f>
        <v>Female</v>
      </c>
      <c r="B653">
        <f>ObesityDataSet_raw_and_data_sin!C653</f>
        <v>1.592379</v>
      </c>
      <c r="C653">
        <f>ObesityDataSet_raw_and_data_sin!D653</f>
        <v>44.009450000000001</v>
      </c>
      <c r="D653" t="str">
        <f>ObesityDataSet_raw_and_data_sin!Q653</f>
        <v>Insufficient_Weight</v>
      </c>
      <c r="E653" t="b">
        <f t="shared" si="41"/>
        <v>0</v>
      </c>
      <c r="F653">
        <f>C653/(B653*B653)</f>
        <v>17.356136537022049</v>
      </c>
      <c r="G653" t="str">
        <f t="shared" si="42"/>
        <v>Normal</v>
      </c>
      <c r="H653" t="str">
        <f t="shared" si="43"/>
        <v>OK</v>
      </c>
      <c r="I653" t="str">
        <f t="shared" si="40"/>
        <v>OK</v>
      </c>
    </row>
    <row r="654" spans="1:9" x14ac:dyDescent="0.2">
      <c r="A654" t="str">
        <f>ObesityDataSet_raw_and_data_sin!A654</f>
        <v>Female</v>
      </c>
      <c r="B654">
        <f>ObesityDataSet_raw_and_data_sin!C654</f>
        <v>1.5557780000000001</v>
      </c>
      <c r="C654">
        <f>ObesityDataSet_raw_and_data_sin!D654</f>
        <v>42.360100000000003</v>
      </c>
      <c r="D654" t="str">
        <f>ObesityDataSet_raw_and_data_sin!Q654</f>
        <v>Insufficient_Weight</v>
      </c>
      <c r="E654" t="b">
        <f t="shared" si="41"/>
        <v>0</v>
      </c>
      <c r="F654">
        <f>C654/(B654*B654)</f>
        <v>17.500954063138479</v>
      </c>
      <c r="G654" t="str">
        <f t="shared" si="42"/>
        <v>Normal</v>
      </c>
      <c r="H654" t="str">
        <f t="shared" si="43"/>
        <v>OK</v>
      </c>
      <c r="I654" t="str">
        <f t="shared" si="40"/>
        <v>OK</v>
      </c>
    </row>
    <row r="655" spans="1:9" x14ac:dyDescent="0.2">
      <c r="A655" t="str">
        <f>ObesityDataSet_raw_and_data_sin!A655</f>
        <v>Female</v>
      </c>
      <c r="B655">
        <f>ObesityDataSet_raw_and_data_sin!C655</f>
        <v>1.5964659999999999</v>
      </c>
      <c r="C655">
        <f>ObesityDataSet_raw_and_data_sin!D655</f>
        <v>44.594588000000002</v>
      </c>
      <c r="D655" t="str">
        <f>ObesityDataSet_raw_and_data_sin!Q655</f>
        <v>Insufficient_Weight</v>
      </c>
      <c r="E655" t="b">
        <f t="shared" si="41"/>
        <v>0</v>
      </c>
      <c r="F655">
        <f>C655/(B655*B655)</f>
        <v>17.496968435262652</v>
      </c>
      <c r="G655" t="str">
        <f t="shared" si="42"/>
        <v>Normal</v>
      </c>
      <c r="H655" t="str">
        <f t="shared" si="43"/>
        <v>OK</v>
      </c>
      <c r="I655" t="str">
        <f t="shared" si="40"/>
        <v>OK</v>
      </c>
    </row>
    <row r="656" spans="1:9" x14ac:dyDescent="0.2">
      <c r="A656" t="str">
        <f>ObesityDataSet_raw_and_data_sin!A656</f>
        <v>Female</v>
      </c>
      <c r="B656">
        <f>ObesityDataSet_raw_and_data_sin!C656</f>
        <v>1.598393</v>
      </c>
      <c r="C656">
        <f>ObesityDataSet_raw_and_data_sin!D656</f>
        <v>44.918255000000002</v>
      </c>
      <c r="D656" t="str">
        <f>ObesityDataSet_raw_and_data_sin!Q656</f>
        <v>Insufficient_Weight</v>
      </c>
      <c r="E656" t="b">
        <f t="shared" si="41"/>
        <v>0</v>
      </c>
      <c r="F656">
        <f>C656/(B656*B656)</f>
        <v>17.581492446660203</v>
      </c>
      <c r="G656" t="str">
        <f t="shared" si="42"/>
        <v>Normal</v>
      </c>
      <c r="H656" t="str">
        <f t="shared" si="43"/>
        <v>OK</v>
      </c>
      <c r="I656" t="str">
        <f t="shared" si="40"/>
        <v>OK</v>
      </c>
    </row>
    <row r="657" spans="1:9" x14ac:dyDescent="0.2">
      <c r="A657" t="str">
        <f>ObesityDataSet_raw_and_data_sin!A657</f>
        <v>Female</v>
      </c>
      <c r="B657">
        <f>ObesityDataSet_raw_and_data_sin!C657</f>
        <v>1.633316</v>
      </c>
      <c r="C657">
        <f>ObesityDataSet_raw_and_data_sin!D657</f>
        <v>45</v>
      </c>
      <c r="D657" t="str">
        <f>ObesityDataSet_raw_and_data_sin!Q657</f>
        <v>Insufficient_Weight</v>
      </c>
      <c r="E657" t="b">
        <f t="shared" si="41"/>
        <v>0</v>
      </c>
      <c r="F657">
        <f>C657/(B657*B657)</f>
        <v>16.868329698259153</v>
      </c>
      <c r="G657" t="str">
        <f t="shared" si="42"/>
        <v>Normal</v>
      </c>
      <c r="H657" t="str">
        <f t="shared" si="43"/>
        <v>OK</v>
      </c>
      <c r="I657" t="str">
        <f t="shared" si="40"/>
        <v>OK</v>
      </c>
    </row>
    <row r="658" spans="1:9" x14ac:dyDescent="0.2">
      <c r="A658" t="str">
        <f>ObesityDataSet_raw_and_data_sin!A658</f>
        <v>Female</v>
      </c>
      <c r="B658">
        <f>ObesityDataSet_raw_and_data_sin!C658</f>
        <v>1.5595669999999999</v>
      </c>
      <c r="C658">
        <f>ObesityDataSet_raw_and_data_sin!D658</f>
        <v>42.126170000000002</v>
      </c>
      <c r="D658" t="str">
        <f>ObesityDataSet_raw_and_data_sin!Q658</f>
        <v>Insufficient_Weight</v>
      </c>
      <c r="E658" t="b">
        <f t="shared" si="41"/>
        <v>0</v>
      </c>
      <c r="F658">
        <f>C658/(B658*B658)</f>
        <v>17.319841044205049</v>
      </c>
      <c r="G658" t="str">
        <f t="shared" si="42"/>
        <v>Normal</v>
      </c>
      <c r="H658" t="str">
        <f t="shared" si="43"/>
        <v>OK</v>
      </c>
      <c r="I658" t="str">
        <f t="shared" si="40"/>
        <v>OK</v>
      </c>
    </row>
    <row r="659" spans="1:9" x14ac:dyDescent="0.2">
      <c r="A659" t="str">
        <f>ObesityDataSet_raw_and_data_sin!A659</f>
        <v>Female</v>
      </c>
      <c r="B659">
        <f>ObesityDataSet_raw_and_data_sin!C659</f>
        <v>1.546551</v>
      </c>
      <c r="C659">
        <f>ObesityDataSet_raw_and_data_sin!D659</f>
        <v>42.069991999999999</v>
      </c>
      <c r="D659" t="str">
        <f>ObesityDataSet_raw_and_data_sin!Q659</f>
        <v>Insufficient_Weight</v>
      </c>
      <c r="E659" t="b">
        <f t="shared" si="41"/>
        <v>0</v>
      </c>
      <c r="F659">
        <f>C659/(B659*B659)</f>
        <v>17.58911292546032</v>
      </c>
      <c r="G659" t="str">
        <f t="shared" si="42"/>
        <v>Normal</v>
      </c>
      <c r="H659" t="str">
        <f t="shared" si="43"/>
        <v>OK</v>
      </c>
      <c r="I659" t="str">
        <f t="shared" si="40"/>
        <v>OK</v>
      </c>
    </row>
    <row r="660" spans="1:9" x14ac:dyDescent="0.2">
      <c r="A660" t="str">
        <f>ObesityDataSet_raw_and_data_sin!A660</f>
        <v>Female</v>
      </c>
      <c r="B660">
        <f>ObesityDataSet_raw_and_data_sin!C660</f>
        <v>1.5665009999999999</v>
      </c>
      <c r="C660">
        <f>ObesityDataSet_raw_and_data_sin!D660</f>
        <v>41.706282999999999</v>
      </c>
      <c r="D660" t="str">
        <f>ObesityDataSet_raw_and_data_sin!Q660</f>
        <v>Insufficient_Weight</v>
      </c>
      <c r="E660" t="b">
        <f t="shared" si="41"/>
        <v>0</v>
      </c>
      <c r="F660">
        <f>C660/(B660*B660)</f>
        <v>16.995742123583149</v>
      </c>
      <c r="G660" t="str">
        <f t="shared" si="42"/>
        <v>Normal</v>
      </c>
      <c r="H660" t="str">
        <f t="shared" si="43"/>
        <v>OK</v>
      </c>
      <c r="I660" t="str">
        <f t="shared" si="40"/>
        <v>OK</v>
      </c>
    </row>
    <row r="661" spans="1:9" x14ac:dyDescent="0.2">
      <c r="A661" t="str">
        <f>ObesityDataSet_raw_and_data_sin!A661</f>
        <v>Female</v>
      </c>
      <c r="B661">
        <f>ObesityDataSet_raw_and_data_sin!C661</f>
        <v>1.52</v>
      </c>
      <c r="C661">
        <f>ObesityDataSet_raw_and_data_sin!D661</f>
        <v>42</v>
      </c>
      <c r="D661" t="str">
        <f>ObesityDataSet_raw_and_data_sin!Q661</f>
        <v>Insufficient_Weight</v>
      </c>
      <c r="E661" t="b">
        <f t="shared" si="41"/>
        <v>0</v>
      </c>
      <c r="F661">
        <f>C661/(B661*B661)</f>
        <v>18.178670360110804</v>
      </c>
      <c r="G661" t="str">
        <f t="shared" si="42"/>
        <v>Normal</v>
      </c>
      <c r="H661" t="str">
        <f t="shared" si="43"/>
        <v>OK</v>
      </c>
      <c r="I661" t="str">
        <f t="shared" si="40"/>
        <v>OK</v>
      </c>
    </row>
    <row r="662" spans="1:9" x14ac:dyDescent="0.2">
      <c r="A662" t="str">
        <f>ObesityDataSet_raw_and_data_sin!A662</f>
        <v>Female</v>
      </c>
      <c r="B662">
        <f>ObesityDataSet_raw_and_data_sin!C662</f>
        <v>1.599486</v>
      </c>
      <c r="C662">
        <f>ObesityDataSet_raw_and_data_sin!D662</f>
        <v>44.810751000000003</v>
      </c>
      <c r="D662" t="str">
        <f>ObesityDataSet_raw_and_data_sin!Q662</f>
        <v>Insufficient_Weight</v>
      </c>
      <c r="E662" t="b">
        <f t="shared" si="41"/>
        <v>0</v>
      </c>
      <c r="F662">
        <f>C662/(B662*B662)</f>
        <v>17.515451479328508</v>
      </c>
      <c r="G662" t="str">
        <f t="shared" si="42"/>
        <v>Normal</v>
      </c>
      <c r="H662" t="str">
        <f t="shared" si="43"/>
        <v>OK</v>
      </c>
      <c r="I662" t="str">
        <f t="shared" si="40"/>
        <v>OK</v>
      </c>
    </row>
    <row r="663" spans="1:9" x14ac:dyDescent="0.2">
      <c r="A663" t="str">
        <f>ObesityDataSet_raw_and_data_sin!A663</f>
        <v>Female</v>
      </c>
      <c r="B663">
        <f>ObesityDataSet_raw_and_data_sin!C663</f>
        <v>1.559186</v>
      </c>
      <c r="C663">
        <f>ObesityDataSet_raw_and_data_sin!D663</f>
        <v>41.952804999999998</v>
      </c>
      <c r="D663" t="str">
        <f>ObesityDataSet_raw_and_data_sin!Q663</f>
        <v>Insufficient_Weight</v>
      </c>
      <c r="E663" t="b">
        <f t="shared" si="41"/>
        <v>0</v>
      </c>
      <c r="F663">
        <f>C663/(B663*B663)</f>
        <v>17.2569940862614</v>
      </c>
      <c r="G663" t="str">
        <f t="shared" si="42"/>
        <v>Normal</v>
      </c>
      <c r="H663" t="str">
        <f t="shared" si="43"/>
        <v>OK</v>
      </c>
      <c r="I663" t="str">
        <f t="shared" si="40"/>
        <v>OK</v>
      </c>
    </row>
    <row r="664" spans="1:9" x14ac:dyDescent="0.2">
      <c r="A664" t="str">
        <f>ObesityDataSet_raw_and_data_sin!A664</f>
        <v>Female</v>
      </c>
      <c r="B664">
        <f>ObesityDataSet_raw_and_data_sin!C664</f>
        <v>1.5234259999999999</v>
      </c>
      <c r="C664">
        <f>ObesityDataSet_raw_and_data_sin!D664</f>
        <v>42</v>
      </c>
      <c r="D664" t="str">
        <f>ObesityDataSet_raw_and_data_sin!Q664</f>
        <v>Insufficient_Weight</v>
      </c>
      <c r="E664" t="b">
        <f t="shared" si="41"/>
        <v>0</v>
      </c>
      <c r="F664">
        <f>C664/(B664*B664)</f>
        <v>18.096999055516253</v>
      </c>
      <c r="G664" t="str">
        <f t="shared" si="42"/>
        <v>Normal</v>
      </c>
      <c r="H664" t="str">
        <f t="shared" si="43"/>
        <v>OK</v>
      </c>
      <c r="I664" t="str">
        <f t="shared" si="40"/>
        <v>OK</v>
      </c>
    </row>
    <row r="665" spans="1:9" x14ac:dyDescent="0.2">
      <c r="A665" t="str">
        <f>ObesityDataSet_raw_and_data_sin!A665</f>
        <v>Female</v>
      </c>
      <c r="B665">
        <f>ObesityDataSet_raw_and_data_sin!C665</f>
        <v>1.52</v>
      </c>
      <c r="C665">
        <f>ObesityDataSet_raw_and_data_sin!D665</f>
        <v>42</v>
      </c>
      <c r="D665" t="str">
        <f>ObesityDataSet_raw_and_data_sin!Q665</f>
        <v>Insufficient_Weight</v>
      </c>
      <c r="E665" t="b">
        <f t="shared" si="41"/>
        <v>0</v>
      </c>
      <c r="F665">
        <f>C665/(B665*B665)</f>
        <v>18.178670360110804</v>
      </c>
      <c r="G665" t="str">
        <f t="shared" si="42"/>
        <v>Normal</v>
      </c>
      <c r="H665" t="str">
        <f t="shared" si="43"/>
        <v>OK</v>
      </c>
      <c r="I665" t="str">
        <f t="shared" si="40"/>
        <v>OK</v>
      </c>
    </row>
    <row r="666" spans="1:9" x14ac:dyDescent="0.2">
      <c r="A666" t="str">
        <f>ObesityDataSet_raw_and_data_sin!A666</f>
        <v>Female</v>
      </c>
      <c r="B666">
        <f>ObesityDataSet_raw_and_data_sin!C666</f>
        <v>1.689441</v>
      </c>
      <c r="C666">
        <f>ObesityDataSet_raw_and_data_sin!D666</f>
        <v>51.107925000000002</v>
      </c>
      <c r="D666" t="str">
        <f>ObesityDataSet_raw_and_data_sin!Q666</f>
        <v>Insufficient_Weight</v>
      </c>
      <c r="E666" t="b">
        <f t="shared" si="41"/>
        <v>0</v>
      </c>
      <c r="F666">
        <f>C666/(B666*B666)</f>
        <v>17.906148818447978</v>
      </c>
      <c r="G666" t="str">
        <f t="shared" si="42"/>
        <v>Normal</v>
      </c>
      <c r="H666" t="str">
        <f t="shared" si="43"/>
        <v>OK</v>
      </c>
      <c r="I666" t="str">
        <f t="shared" si="40"/>
        <v>OK</v>
      </c>
    </row>
    <row r="667" spans="1:9" x14ac:dyDescent="0.2">
      <c r="A667" t="str">
        <f>ObesityDataSet_raw_and_data_sin!A667</f>
        <v>Female</v>
      </c>
      <c r="B667">
        <f>ObesityDataSet_raw_and_data_sin!C667</f>
        <v>1.7374529999999999</v>
      </c>
      <c r="C667">
        <f>ObesityDataSet_raw_and_data_sin!D667</f>
        <v>50.479039</v>
      </c>
      <c r="D667" t="str">
        <f>ObesityDataSet_raw_and_data_sin!Q667</f>
        <v>Insufficient_Weight</v>
      </c>
      <c r="E667" t="b">
        <f t="shared" si="41"/>
        <v>0</v>
      </c>
      <c r="F667">
        <f>C667/(B667*B667)</f>
        <v>16.721874043998426</v>
      </c>
      <c r="G667" t="str">
        <f t="shared" si="42"/>
        <v>Normal</v>
      </c>
      <c r="H667" t="str">
        <f t="shared" si="43"/>
        <v>OK</v>
      </c>
      <c r="I667" t="str">
        <f t="shared" si="40"/>
        <v>OK</v>
      </c>
    </row>
    <row r="668" spans="1:9" x14ac:dyDescent="0.2">
      <c r="A668" t="str">
        <f>ObesityDataSet_raw_and_data_sin!A668</f>
        <v>Female</v>
      </c>
      <c r="B668">
        <f>ObesityDataSet_raw_and_data_sin!C668</f>
        <v>1.7320960000000001</v>
      </c>
      <c r="C668">
        <f>ObesityDataSet_raw_and_data_sin!D668</f>
        <v>50</v>
      </c>
      <c r="D668" t="str">
        <f>ObesityDataSet_raw_and_data_sin!Q668</f>
        <v>Insufficient_Weight</v>
      </c>
      <c r="E668" t="b">
        <f t="shared" si="41"/>
        <v>0</v>
      </c>
      <c r="F668">
        <f>C668/(B668*B668)</f>
        <v>16.665796971962276</v>
      </c>
      <c r="G668" t="str">
        <f t="shared" si="42"/>
        <v>Normal</v>
      </c>
      <c r="H668" t="str">
        <f t="shared" si="43"/>
        <v>OK</v>
      </c>
      <c r="I668" t="str">
        <f t="shared" si="40"/>
        <v>OK</v>
      </c>
    </row>
    <row r="669" spans="1:9" x14ac:dyDescent="0.2">
      <c r="A669" t="str">
        <f>ObesityDataSet_raw_and_data_sin!A669</f>
        <v>Male</v>
      </c>
      <c r="B669">
        <f>ObesityDataSet_raw_and_data_sin!C669</f>
        <v>1.8690979999999999</v>
      </c>
      <c r="C669">
        <f>ObesityDataSet_raw_and_data_sin!D669</f>
        <v>61.411141000000001</v>
      </c>
      <c r="D669" t="str">
        <f>ObesityDataSet_raw_and_data_sin!Q669</f>
        <v>Insufficient_Weight</v>
      </c>
      <c r="E669" t="b">
        <f t="shared" si="41"/>
        <v>0</v>
      </c>
      <c r="F669">
        <f>C669/(B669*B669)</f>
        <v>17.578548880751683</v>
      </c>
      <c r="G669" t="str">
        <f t="shared" si="42"/>
        <v>Normal</v>
      </c>
      <c r="H669" t="str">
        <f t="shared" si="43"/>
        <v>OK</v>
      </c>
      <c r="I669" t="str">
        <f t="shared" si="40"/>
        <v>OK</v>
      </c>
    </row>
    <row r="670" spans="1:9" x14ac:dyDescent="0.2">
      <c r="A670" t="str">
        <f>ObesityDataSet_raw_and_data_sin!A670</f>
        <v>Male</v>
      </c>
      <c r="B670">
        <f>ObesityDataSet_raw_and_data_sin!C670</f>
        <v>1.8511230000000001</v>
      </c>
      <c r="C670">
        <f>ObesityDataSet_raw_and_data_sin!D670</f>
        <v>61.264785000000003</v>
      </c>
      <c r="D670" t="str">
        <f>ObesityDataSet_raw_and_data_sin!Q670</f>
        <v>Insufficient_Weight</v>
      </c>
      <c r="E670" t="b">
        <f t="shared" si="41"/>
        <v>0</v>
      </c>
      <c r="F670">
        <f>C670/(B670*B670)</f>
        <v>17.878882077283855</v>
      </c>
      <c r="G670" t="str">
        <f t="shared" si="42"/>
        <v>Normal</v>
      </c>
      <c r="H670" t="str">
        <f t="shared" si="43"/>
        <v>OK</v>
      </c>
      <c r="I670" t="str">
        <f t="shared" si="40"/>
        <v>OK</v>
      </c>
    </row>
    <row r="671" spans="1:9" x14ac:dyDescent="0.2">
      <c r="A671" t="str">
        <f>ObesityDataSet_raw_and_data_sin!A671</f>
        <v>Male</v>
      </c>
      <c r="B671">
        <f>ObesityDataSet_raw_and_data_sin!C671</f>
        <v>1.787264</v>
      </c>
      <c r="C671">
        <f>ObesityDataSet_raw_and_data_sin!D671</f>
        <v>58.585146000000002</v>
      </c>
      <c r="D671" t="str">
        <f>ObesityDataSet_raw_and_data_sin!Q671</f>
        <v>Insufficient_Weight</v>
      </c>
      <c r="E671" t="b">
        <f t="shared" si="41"/>
        <v>0</v>
      </c>
      <c r="F671">
        <f>C671/(B671*B671)</f>
        <v>18.340454811946948</v>
      </c>
      <c r="G671" t="str">
        <f t="shared" si="42"/>
        <v>Normal</v>
      </c>
      <c r="H671" t="str">
        <f t="shared" si="43"/>
        <v>OK</v>
      </c>
      <c r="I671" t="str">
        <f t="shared" si="40"/>
        <v>OK</v>
      </c>
    </row>
    <row r="672" spans="1:9" x14ac:dyDescent="0.2">
      <c r="A672" t="str">
        <f>ObesityDataSet_raw_and_data_sin!A672</f>
        <v>Male</v>
      </c>
      <c r="B672">
        <f>ObesityDataSet_raw_and_data_sin!C672</f>
        <v>1.787787</v>
      </c>
      <c r="C672">
        <f>ObesityDataSet_raw_and_data_sin!D672</f>
        <v>52</v>
      </c>
      <c r="D672" t="str">
        <f>ObesityDataSet_raw_and_data_sin!Q672</f>
        <v>Insufficient_Weight</v>
      </c>
      <c r="E672" t="b">
        <f t="shared" si="41"/>
        <v>0</v>
      </c>
      <c r="F672">
        <f>C672/(B672*B672)</f>
        <v>16.269409622423677</v>
      </c>
      <c r="G672" t="str">
        <f t="shared" si="42"/>
        <v>Normal</v>
      </c>
      <c r="H672" t="str">
        <f t="shared" si="43"/>
        <v>OK</v>
      </c>
      <c r="I672" t="str">
        <f t="shared" si="40"/>
        <v>OK</v>
      </c>
    </row>
    <row r="673" spans="1:9" x14ac:dyDescent="0.2">
      <c r="A673" t="str">
        <f>ObesityDataSet_raw_and_data_sin!A673</f>
        <v>Female</v>
      </c>
      <c r="B673">
        <f>ObesityDataSet_raw_and_data_sin!C673</f>
        <v>1.712515</v>
      </c>
      <c r="C673">
        <f>ObesityDataSet_raw_and_data_sin!D673</f>
        <v>51.710723000000002</v>
      </c>
      <c r="D673" t="str">
        <f>ObesityDataSet_raw_and_data_sin!Q673</f>
        <v>Insufficient_Weight</v>
      </c>
      <c r="E673" t="b">
        <f t="shared" si="41"/>
        <v>0</v>
      </c>
      <c r="F673">
        <f>C673/(B673*B673)</f>
        <v>17.632416731631306</v>
      </c>
      <c r="G673" t="str">
        <f t="shared" si="42"/>
        <v>Normal</v>
      </c>
      <c r="H673" t="str">
        <f t="shared" si="43"/>
        <v>OK</v>
      </c>
      <c r="I673" t="str">
        <f t="shared" si="40"/>
        <v>OK</v>
      </c>
    </row>
    <row r="674" spans="1:9" x14ac:dyDescent="0.2">
      <c r="A674" t="str">
        <f>ObesityDataSet_raw_and_data_sin!A674</f>
        <v>Male</v>
      </c>
      <c r="B674">
        <f>ObesityDataSet_raw_and_data_sin!C674</f>
        <v>1.698914</v>
      </c>
      <c r="C674">
        <f>ObesityDataSet_raw_and_data_sin!D674</f>
        <v>51.692272000000003</v>
      </c>
      <c r="D674" t="str">
        <f>ObesityDataSet_raw_and_data_sin!Q674</f>
        <v>Insufficient_Weight</v>
      </c>
      <c r="E674" t="b">
        <f t="shared" si="41"/>
        <v>0</v>
      </c>
      <c r="F674">
        <f>C674/(B674*B674)</f>
        <v>17.909473985945926</v>
      </c>
      <c r="G674" t="str">
        <f t="shared" si="42"/>
        <v>Normal</v>
      </c>
      <c r="H674" t="str">
        <f t="shared" si="43"/>
        <v>OK</v>
      </c>
      <c r="I674" t="str">
        <f t="shared" si="40"/>
        <v>OK</v>
      </c>
    </row>
    <row r="675" spans="1:9" x14ac:dyDescent="0.2">
      <c r="A675" t="str">
        <f>ObesityDataSet_raw_and_data_sin!A675</f>
        <v>Female</v>
      </c>
      <c r="B675">
        <f>ObesityDataSet_raw_and_data_sin!C675</f>
        <v>1.533609</v>
      </c>
      <c r="C675">
        <f>ObesityDataSet_raw_and_data_sin!D675</f>
        <v>41.669345999999997</v>
      </c>
      <c r="D675" t="str">
        <f>ObesityDataSet_raw_and_data_sin!Q675</f>
        <v>Insufficient_Weight</v>
      </c>
      <c r="E675" t="b">
        <f t="shared" si="41"/>
        <v>0</v>
      </c>
      <c r="F675">
        <f>C675/(B675*B675)</f>
        <v>17.716885856737029</v>
      </c>
      <c r="G675" t="str">
        <f t="shared" si="42"/>
        <v>Normal</v>
      </c>
      <c r="H675" t="str">
        <f t="shared" si="43"/>
        <v>OK</v>
      </c>
      <c r="I675" t="str">
        <f t="shared" si="40"/>
        <v>OK</v>
      </c>
    </row>
    <row r="676" spans="1:9" x14ac:dyDescent="0.2">
      <c r="A676" t="str">
        <f>ObesityDataSet_raw_and_data_sin!A676</f>
        <v>Female</v>
      </c>
      <c r="B676">
        <f>ObesityDataSet_raw_and_data_sin!C676</f>
        <v>1.5679810000000001</v>
      </c>
      <c r="C676">
        <f>ObesityDataSet_raw_and_data_sin!D676</f>
        <v>41.934367999999999</v>
      </c>
      <c r="D676" t="str">
        <f>ObesityDataSet_raw_and_data_sin!Q676</f>
        <v>Insufficient_Weight</v>
      </c>
      <c r="E676" t="b">
        <f t="shared" si="41"/>
        <v>0</v>
      </c>
      <c r="F676">
        <f>C676/(B676*B676)</f>
        <v>17.056444696319325</v>
      </c>
      <c r="G676" t="str">
        <f t="shared" si="42"/>
        <v>Normal</v>
      </c>
      <c r="H676" t="str">
        <f t="shared" si="43"/>
        <v>OK</v>
      </c>
      <c r="I676" t="str">
        <f t="shared" si="40"/>
        <v>OK</v>
      </c>
    </row>
    <row r="677" spans="1:9" x14ac:dyDescent="0.2">
      <c r="A677" t="str">
        <f>ObesityDataSet_raw_and_data_sin!A677</f>
        <v>Female</v>
      </c>
      <c r="B677">
        <f>ObesityDataSet_raw_and_data_sin!C677</f>
        <v>1.5442629999999999</v>
      </c>
      <c r="C677">
        <f>ObesityDataSet_raw_and_data_sin!D677</f>
        <v>41.535046999999999</v>
      </c>
      <c r="D677" t="str">
        <f>ObesityDataSet_raw_and_data_sin!Q677</f>
        <v>Insufficient_Weight</v>
      </c>
      <c r="E677" t="b">
        <f t="shared" si="41"/>
        <v>0</v>
      </c>
      <c r="F677">
        <f>C677/(B677*B677)</f>
        <v>17.416952771213392</v>
      </c>
      <c r="G677" t="str">
        <f t="shared" si="42"/>
        <v>Normal</v>
      </c>
      <c r="H677" t="str">
        <f t="shared" si="43"/>
        <v>OK</v>
      </c>
      <c r="I677" t="str">
        <f t="shared" si="40"/>
        <v>OK</v>
      </c>
    </row>
    <row r="678" spans="1:9" x14ac:dyDescent="0.2">
      <c r="A678" t="str">
        <f>ObesityDataSet_raw_and_data_sin!A678</f>
        <v>Female</v>
      </c>
      <c r="B678">
        <f>ObesityDataSet_raw_and_data_sin!C678</f>
        <v>1.670552</v>
      </c>
      <c r="C678">
        <f>ObesityDataSet_raw_and_data_sin!D678</f>
        <v>49.804245000000002</v>
      </c>
      <c r="D678" t="str">
        <f>ObesityDataSet_raw_and_data_sin!Q678</f>
        <v>Insufficient_Weight</v>
      </c>
      <c r="E678" t="b">
        <f t="shared" si="41"/>
        <v>0</v>
      </c>
      <c r="F678">
        <f>C678/(B678*B678)</f>
        <v>17.846224975481757</v>
      </c>
      <c r="G678" t="str">
        <f t="shared" si="42"/>
        <v>Normal</v>
      </c>
      <c r="H678" t="str">
        <f t="shared" si="43"/>
        <v>OK</v>
      </c>
      <c r="I678" t="str">
        <f t="shared" si="40"/>
        <v>OK</v>
      </c>
    </row>
    <row r="679" spans="1:9" x14ac:dyDescent="0.2">
      <c r="A679" t="str">
        <f>ObesityDataSet_raw_and_data_sin!A679</f>
        <v>Female</v>
      </c>
      <c r="B679">
        <f>ObesityDataSet_raw_and_data_sin!C679</f>
        <v>1.6763459999999999</v>
      </c>
      <c r="C679">
        <f>ObesityDataSet_raw_and_data_sin!D679</f>
        <v>49.105024999999998</v>
      </c>
      <c r="D679" t="str">
        <f>ObesityDataSet_raw_and_data_sin!Q679</f>
        <v>Insufficient_Weight</v>
      </c>
      <c r="E679" t="b">
        <f t="shared" si="41"/>
        <v>0</v>
      </c>
      <c r="F679">
        <f>C679/(B679*B679)</f>
        <v>17.474252684815582</v>
      </c>
      <c r="G679" t="str">
        <f t="shared" si="42"/>
        <v>Normal</v>
      </c>
      <c r="H679" t="str">
        <f t="shared" si="43"/>
        <v>OK</v>
      </c>
      <c r="I679" t="str">
        <f t="shared" si="40"/>
        <v>OK</v>
      </c>
    </row>
    <row r="680" spans="1:9" x14ac:dyDescent="0.2">
      <c r="A680" t="str">
        <f>ObesityDataSet_raw_and_data_sin!A680</f>
        <v>Female</v>
      </c>
      <c r="B680">
        <f>ObesityDataSet_raw_and_data_sin!C680</f>
        <v>1.6674040000000001</v>
      </c>
      <c r="C680">
        <f>ObesityDataSet_raw_and_data_sin!D680</f>
        <v>49.125954999999998</v>
      </c>
      <c r="D680" t="str">
        <f>ObesityDataSet_raw_and_data_sin!Q680</f>
        <v>Insufficient_Weight</v>
      </c>
      <c r="E680" t="b">
        <f t="shared" si="41"/>
        <v>0</v>
      </c>
      <c r="F680">
        <f>C680/(B680*B680)</f>
        <v>17.669706185691584</v>
      </c>
      <c r="G680" t="str">
        <f t="shared" si="42"/>
        <v>Normal</v>
      </c>
      <c r="H680" t="str">
        <f t="shared" si="43"/>
        <v>OK</v>
      </c>
      <c r="I680" t="str">
        <f t="shared" si="40"/>
        <v>OK</v>
      </c>
    </row>
    <row r="681" spans="1:9" x14ac:dyDescent="0.2">
      <c r="A681" t="str">
        <f>ObesityDataSet_raw_and_data_sin!A681</f>
        <v>Female</v>
      </c>
      <c r="B681">
        <f>ObesityDataSet_raw_and_data_sin!C681</f>
        <v>1.70011</v>
      </c>
      <c r="C681">
        <f>ObesityDataSet_raw_and_data_sin!D681</f>
        <v>50.173425000000002</v>
      </c>
      <c r="D681" t="str">
        <f>ObesityDataSet_raw_and_data_sin!Q681</f>
        <v>Insufficient_Weight</v>
      </c>
      <c r="E681" t="b">
        <f t="shared" si="41"/>
        <v>0</v>
      </c>
      <c r="F681">
        <f>C681/(B681*B681)</f>
        <v>17.358800207156069</v>
      </c>
      <c r="G681" t="str">
        <f t="shared" si="42"/>
        <v>Normal</v>
      </c>
      <c r="H681" t="str">
        <f t="shared" si="43"/>
        <v>OK</v>
      </c>
      <c r="I681" t="str">
        <f t="shared" si="40"/>
        <v>OK</v>
      </c>
    </row>
    <row r="682" spans="1:9" x14ac:dyDescent="0.2">
      <c r="A682" t="str">
        <f>ObesityDataSet_raw_and_data_sin!A682</f>
        <v>Male</v>
      </c>
      <c r="B682">
        <f>ObesityDataSet_raw_and_data_sin!C682</f>
        <v>1.7563299999999999</v>
      </c>
      <c r="C682">
        <f>ObesityDataSet_raw_and_data_sin!D682</f>
        <v>54.567343000000001</v>
      </c>
      <c r="D682" t="str">
        <f>ObesityDataSet_raw_and_data_sin!Q682</f>
        <v>Insufficient_Weight</v>
      </c>
      <c r="E682" t="b">
        <f t="shared" si="41"/>
        <v>0</v>
      </c>
      <c r="F682">
        <f>C682/(B682*B682)</f>
        <v>17.689704097545913</v>
      </c>
      <c r="G682" t="str">
        <f t="shared" si="42"/>
        <v>Normal</v>
      </c>
      <c r="H682" t="str">
        <f t="shared" si="43"/>
        <v>OK</v>
      </c>
      <c r="I682" t="str">
        <f t="shared" si="40"/>
        <v>OK</v>
      </c>
    </row>
    <row r="683" spans="1:9" x14ac:dyDescent="0.2">
      <c r="A683" t="str">
        <f>ObesityDataSet_raw_and_data_sin!A683</f>
        <v>Female</v>
      </c>
      <c r="B683">
        <f>ObesityDataSet_raw_and_data_sin!C683</f>
        <v>1.703584</v>
      </c>
      <c r="C683">
        <f>ObesityDataSet_raw_and_data_sin!D683</f>
        <v>51.607090999999997</v>
      </c>
      <c r="D683" t="str">
        <f>ObesityDataSet_raw_and_data_sin!Q683</f>
        <v>Insufficient_Weight</v>
      </c>
      <c r="E683" t="b">
        <f t="shared" si="41"/>
        <v>0</v>
      </c>
      <c r="F683">
        <f>C683/(B683*B683)</f>
        <v>17.782068310288892</v>
      </c>
      <c r="G683" t="str">
        <f t="shared" si="42"/>
        <v>Normal</v>
      </c>
      <c r="H683" t="str">
        <f t="shared" si="43"/>
        <v>OK</v>
      </c>
      <c r="I683" t="str">
        <f t="shared" si="40"/>
        <v>OK</v>
      </c>
    </row>
    <row r="684" spans="1:9" x14ac:dyDescent="0.2">
      <c r="A684" t="str">
        <f>ObesityDataSet_raw_and_data_sin!A684</f>
        <v>Female</v>
      </c>
      <c r="B684">
        <f>ObesityDataSet_raw_and_data_sin!C684</f>
        <v>1.6907270000000001</v>
      </c>
      <c r="C684">
        <f>ObesityDataSet_raw_and_data_sin!D684</f>
        <v>49.895716</v>
      </c>
      <c r="D684" t="str">
        <f>ObesityDataSet_raw_and_data_sin!Q684</f>
        <v>Insufficient_Weight</v>
      </c>
      <c r="E684" t="b">
        <f t="shared" si="41"/>
        <v>0</v>
      </c>
      <c r="F684">
        <f>C684/(B684*B684)</f>
        <v>17.454856501493396</v>
      </c>
      <c r="G684" t="str">
        <f t="shared" si="42"/>
        <v>Normal</v>
      </c>
      <c r="H684" t="str">
        <f t="shared" si="43"/>
        <v>OK</v>
      </c>
      <c r="I684" t="str">
        <f t="shared" si="40"/>
        <v>OK</v>
      </c>
    </row>
    <row r="685" spans="1:9" x14ac:dyDescent="0.2">
      <c r="A685" t="str">
        <f>ObesityDataSet_raw_and_data_sin!A685</f>
        <v>Female</v>
      </c>
      <c r="B685">
        <f>ObesityDataSet_raw_and_data_sin!C685</f>
        <v>1.7135640000000001</v>
      </c>
      <c r="C685">
        <f>ObesityDataSet_raw_and_data_sin!D685</f>
        <v>50</v>
      </c>
      <c r="D685" t="str">
        <f>ObesityDataSet_raw_and_data_sin!Q685</f>
        <v>Insufficient_Weight</v>
      </c>
      <c r="E685" t="b">
        <f t="shared" si="41"/>
        <v>0</v>
      </c>
      <c r="F685">
        <f>C685/(B685*B685)</f>
        <v>17.028223635090249</v>
      </c>
      <c r="G685" t="str">
        <f t="shared" si="42"/>
        <v>Normal</v>
      </c>
      <c r="H685" t="str">
        <f t="shared" si="43"/>
        <v>OK</v>
      </c>
      <c r="I685" t="str">
        <f t="shared" si="40"/>
        <v>OK</v>
      </c>
    </row>
    <row r="686" spans="1:9" x14ac:dyDescent="0.2">
      <c r="A686" t="str">
        <f>ObesityDataSet_raw_and_data_sin!A686</f>
        <v>Female</v>
      </c>
      <c r="B686">
        <f>ObesityDataSet_raw_and_data_sin!C686</f>
        <v>1.67231</v>
      </c>
      <c r="C686">
        <f>ObesityDataSet_raw_and_data_sin!D686</f>
        <v>49.713943999999998</v>
      </c>
      <c r="D686" t="str">
        <f>ObesityDataSet_raw_and_data_sin!Q686</f>
        <v>Insufficient_Weight</v>
      </c>
      <c r="E686" t="b">
        <f t="shared" si="41"/>
        <v>0</v>
      </c>
      <c r="F686">
        <f>C686/(B686*B686)</f>
        <v>17.776434022057668</v>
      </c>
      <c r="G686" t="str">
        <f t="shared" si="42"/>
        <v>Normal</v>
      </c>
      <c r="H686" t="str">
        <f t="shared" si="43"/>
        <v>OK</v>
      </c>
      <c r="I686" t="str">
        <f t="shared" si="40"/>
        <v>OK</v>
      </c>
    </row>
    <row r="687" spans="1:9" x14ac:dyDescent="0.2">
      <c r="A687" t="str">
        <f>ObesityDataSet_raw_and_data_sin!A687</f>
        <v>Female</v>
      </c>
      <c r="B687">
        <f>ObesityDataSet_raw_and_data_sin!C687</f>
        <v>1.6604460000000001</v>
      </c>
      <c r="C687">
        <f>ObesityDataSet_raw_and_data_sin!D687</f>
        <v>49.558304</v>
      </c>
      <c r="D687" t="str">
        <f>ObesityDataSet_raw_and_data_sin!Q687</f>
        <v>Insufficient_Weight</v>
      </c>
      <c r="E687" t="b">
        <f t="shared" si="41"/>
        <v>0</v>
      </c>
      <c r="F687">
        <f>C687/(B687*B687)</f>
        <v>17.974918204245093</v>
      </c>
      <c r="G687" t="str">
        <f t="shared" si="42"/>
        <v>Normal</v>
      </c>
      <c r="H687" t="str">
        <f t="shared" si="43"/>
        <v>OK</v>
      </c>
      <c r="I687" t="str">
        <f t="shared" si="40"/>
        <v>OK</v>
      </c>
    </row>
    <row r="688" spans="1:9" x14ac:dyDescent="0.2">
      <c r="A688" t="str">
        <f>ObesityDataSet_raw_and_data_sin!A688</f>
        <v>Female</v>
      </c>
      <c r="B688">
        <f>ObesityDataSet_raw_and_data_sin!C688</f>
        <v>1.630379</v>
      </c>
      <c r="C688">
        <f>ObesityDataSet_raw_and_data_sin!D688</f>
        <v>46.062953999999998</v>
      </c>
      <c r="D688" t="str">
        <f>ObesityDataSet_raw_and_data_sin!Q688</f>
        <v>Insufficient_Weight</v>
      </c>
      <c r="E688" t="b">
        <f t="shared" si="41"/>
        <v>0</v>
      </c>
      <c r="F688">
        <f>C688/(B688*B688)</f>
        <v>17.3290454221302</v>
      </c>
      <c r="G688" t="str">
        <f t="shared" si="42"/>
        <v>Normal</v>
      </c>
      <c r="H688" t="str">
        <f t="shared" si="43"/>
        <v>OK</v>
      </c>
      <c r="I688" t="str">
        <f t="shared" si="40"/>
        <v>OK</v>
      </c>
    </row>
    <row r="689" spans="1:9" x14ac:dyDescent="0.2">
      <c r="A689" t="str">
        <f>ObesityDataSet_raw_and_data_sin!A689</f>
        <v>Female</v>
      </c>
      <c r="B689">
        <f>ObesityDataSet_raw_and_data_sin!C689</f>
        <v>1.655413</v>
      </c>
      <c r="C689">
        <f>ObesityDataSet_raw_and_data_sin!D689</f>
        <v>50.424661</v>
      </c>
      <c r="D689" t="str">
        <f>ObesityDataSet_raw_and_data_sin!Q689</f>
        <v>Insufficient_Weight</v>
      </c>
      <c r="E689" t="b">
        <f t="shared" si="41"/>
        <v>0</v>
      </c>
      <c r="F689">
        <f>C689/(B689*B689)</f>
        <v>18.40052711780821</v>
      </c>
      <c r="G689" t="str">
        <f t="shared" si="42"/>
        <v>Normal</v>
      </c>
      <c r="H689" t="str">
        <f t="shared" si="43"/>
        <v>OK</v>
      </c>
      <c r="I689" t="str">
        <f t="shared" si="40"/>
        <v>OK</v>
      </c>
    </row>
    <row r="690" spans="1:9" x14ac:dyDescent="0.2">
      <c r="A690" t="str">
        <f>ObesityDataSet_raw_and_data_sin!A690</f>
        <v>Male</v>
      </c>
      <c r="B690">
        <f>ObesityDataSet_raw_and_data_sin!C690</f>
        <v>1.7328619999999999</v>
      </c>
      <c r="C690">
        <f>ObesityDataSet_raw_and_data_sin!D690</f>
        <v>51.216462999999997</v>
      </c>
      <c r="D690" t="str">
        <f>ObesityDataSet_raw_and_data_sin!Q690</f>
        <v>Insufficient_Weight</v>
      </c>
      <c r="E690" t="b">
        <f t="shared" si="41"/>
        <v>0</v>
      </c>
      <c r="F690">
        <f>C690/(B690*B690)</f>
        <v>17.05617434080397</v>
      </c>
      <c r="G690" t="str">
        <f t="shared" si="42"/>
        <v>Normal</v>
      </c>
      <c r="H690" t="str">
        <f t="shared" si="43"/>
        <v>OK</v>
      </c>
      <c r="I690" t="str">
        <f t="shared" si="40"/>
        <v>OK</v>
      </c>
    </row>
    <row r="691" spans="1:9" x14ac:dyDescent="0.2">
      <c r="A691" t="str">
        <f>ObesityDataSet_raw_and_data_sin!A691</f>
        <v>Female</v>
      </c>
      <c r="B691">
        <f>ObesityDataSet_raw_and_data_sin!C691</f>
        <v>1.7440199999999999</v>
      </c>
      <c r="C691">
        <f>ObesityDataSet_raw_and_data_sin!D691</f>
        <v>50</v>
      </c>
      <c r="D691" t="str">
        <f>ObesityDataSet_raw_and_data_sin!Q691</f>
        <v>Insufficient_Weight</v>
      </c>
      <c r="E691" t="b">
        <f t="shared" si="41"/>
        <v>0</v>
      </c>
      <c r="F691">
        <f>C691/(B691*B691)</f>
        <v>16.438685332258359</v>
      </c>
      <c r="G691" t="str">
        <f t="shared" si="42"/>
        <v>Normal</v>
      </c>
      <c r="H691" t="str">
        <f t="shared" si="43"/>
        <v>OK</v>
      </c>
      <c r="I691" t="str">
        <f t="shared" si="40"/>
        <v>OK</v>
      </c>
    </row>
    <row r="692" spans="1:9" x14ac:dyDescent="0.2">
      <c r="A692" t="str">
        <f>ObesityDataSet_raw_and_data_sin!A692</f>
        <v>Male</v>
      </c>
      <c r="B692">
        <f>ObesityDataSet_raw_and_data_sin!C692</f>
        <v>1.7579579999999999</v>
      </c>
      <c r="C692">
        <f>ObesityDataSet_raw_and_data_sin!D692</f>
        <v>52.094320000000003</v>
      </c>
      <c r="D692" t="str">
        <f>ObesityDataSet_raw_and_data_sin!Q692</f>
        <v>Insufficient_Weight</v>
      </c>
      <c r="E692" t="b">
        <f t="shared" si="41"/>
        <v>0</v>
      </c>
      <c r="F692">
        <f>C692/(B692*B692)</f>
        <v>16.856732052013911</v>
      </c>
      <c r="G692" t="str">
        <f t="shared" si="42"/>
        <v>Normal</v>
      </c>
      <c r="H692" t="str">
        <f t="shared" si="43"/>
        <v>OK</v>
      </c>
      <c r="I692" t="str">
        <f t="shared" si="40"/>
        <v>OK</v>
      </c>
    </row>
    <row r="693" spans="1:9" x14ac:dyDescent="0.2">
      <c r="A693" t="str">
        <f>ObesityDataSet_raw_and_data_sin!A693</f>
        <v>Male</v>
      </c>
      <c r="B693">
        <f>ObesityDataSet_raw_and_data_sin!C693</f>
        <v>1.7867580000000001</v>
      </c>
      <c r="C693">
        <f>ObesityDataSet_raw_and_data_sin!D693</f>
        <v>51.524444000000003</v>
      </c>
      <c r="D693" t="str">
        <f>ObesityDataSet_raw_and_data_sin!Q693</f>
        <v>Insufficient_Weight</v>
      </c>
      <c r="E693" t="b">
        <f t="shared" si="41"/>
        <v>0</v>
      </c>
      <c r="F693">
        <f>C693/(B693*B693)</f>
        <v>16.139194052699192</v>
      </c>
      <c r="G693" t="str">
        <f t="shared" si="42"/>
        <v>Normal</v>
      </c>
      <c r="H693" t="str">
        <f t="shared" si="43"/>
        <v>OK</v>
      </c>
      <c r="I693" t="str">
        <f t="shared" si="40"/>
        <v>OK</v>
      </c>
    </row>
    <row r="694" spans="1:9" x14ac:dyDescent="0.2">
      <c r="A694" t="str">
        <f>ObesityDataSet_raw_and_data_sin!A694</f>
        <v>Male</v>
      </c>
      <c r="B694">
        <f>ObesityDataSet_raw_and_data_sin!C694</f>
        <v>1.767058</v>
      </c>
      <c r="C694">
        <f>ObesityDataSet_raw_and_data_sin!D694</f>
        <v>51.132809000000002</v>
      </c>
      <c r="D694" t="str">
        <f>ObesityDataSet_raw_and_data_sin!Q694</f>
        <v>Insufficient_Weight</v>
      </c>
      <c r="E694" t="b">
        <f t="shared" si="41"/>
        <v>0</v>
      </c>
      <c r="F694">
        <f>C694/(B694*B694)</f>
        <v>16.375630955073106</v>
      </c>
      <c r="G694" t="str">
        <f t="shared" si="42"/>
        <v>Normal</v>
      </c>
      <c r="H694" t="str">
        <f t="shared" si="43"/>
        <v>OK</v>
      </c>
      <c r="I694" t="str">
        <f t="shared" si="40"/>
        <v>OK</v>
      </c>
    </row>
    <row r="695" spans="1:9" x14ac:dyDescent="0.2">
      <c r="A695" t="str">
        <f>ObesityDataSet_raw_and_data_sin!A695</f>
        <v>Male</v>
      </c>
      <c r="B695">
        <f>ObesityDataSet_raw_and_data_sin!C695</f>
        <v>1.6994370000000001</v>
      </c>
      <c r="C695">
        <f>ObesityDataSet_raw_and_data_sin!D695</f>
        <v>52.086570000000002</v>
      </c>
      <c r="D695" t="str">
        <f>ObesityDataSet_raw_and_data_sin!Q695</f>
        <v>Insufficient_Weight</v>
      </c>
      <c r="E695" t="b">
        <f t="shared" si="41"/>
        <v>0</v>
      </c>
      <c r="F695">
        <f>C695/(B695*B695)</f>
        <v>18.034978144856712</v>
      </c>
      <c r="G695" t="str">
        <f t="shared" si="42"/>
        <v>Normal</v>
      </c>
      <c r="H695" t="str">
        <f t="shared" si="43"/>
        <v>OK</v>
      </c>
      <c r="I695" t="str">
        <f t="shared" si="40"/>
        <v>OK</v>
      </c>
    </row>
    <row r="696" spans="1:9" x14ac:dyDescent="0.2">
      <c r="A696" t="str">
        <f>ObesityDataSet_raw_and_data_sin!A696</f>
        <v>Male</v>
      </c>
      <c r="B696">
        <f>ObesityDataSet_raw_and_data_sin!C696</f>
        <v>1.82525</v>
      </c>
      <c r="C696">
        <f>ObesityDataSet_raw_and_data_sin!D696</f>
        <v>58.913578999999999</v>
      </c>
      <c r="D696" t="str">
        <f>ObesityDataSet_raw_and_data_sin!Q696</f>
        <v>Insufficient_Weight</v>
      </c>
      <c r="E696" t="b">
        <f t="shared" si="41"/>
        <v>0</v>
      </c>
      <c r="F696">
        <f>C696/(B696*B696)</f>
        <v>17.683600408152383</v>
      </c>
      <c r="G696" t="str">
        <f t="shared" si="42"/>
        <v>Normal</v>
      </c>
      <c r="H696" t="str">
        <f t="shared" si="43"/>
        <v>OK</v>
      </c>
      <c r="I696" t="str">
        <f t="shared" si="40"/>
        <v>OK</v>
      </c>
    </row>
    <row r="697" spans="1:9" x14ac:dyDescent="0.2">
      <c r="A697" t="str">
        <f>ObesityDataSet_raw_and_data_sin!A697</f>
        <v>Male</v>
      </c>
      <c r="B697">
        <f>ObesityDataSet_raw_and_data_sin!C697</f>
        <v>1.793315</v>
      </c>
      <c r="C697">
        <f>ObesityDataSet_raw_and_data_sin!D697</f>
        <v>58.195149999999998</v>
      </c>
      <c r="D697" t="str">
        <f>ObesityDataSet_raw_and_data_sin!Q697</f>
        <v>Insufficient_Weight</v>
      </c>
      <c r="E697" t="b">
        <f t="shared" si="41"/>
        <v>0</v>
      </c>
      <c r="F697">
        <f>C697/(B697*B697)</f>
        <v>18.095626751190977</v>
      </c>
      <c r="G697" t="str">
        <f t="shared" si="42"/>
        <v>Normal</v>
      </c>
      <c r="H697" t="str">
        <f t="shared" si="43"/>
        <v>OK</v>
      </c>
      <c r="I697" t="str">
        <f t="shared" si="40"/>
        <v>OK</v>
      </c>
    </row>
    <row r="698" spans="1:9" x14ac:dyDescent="0.2">
      <c r="A698" t="str">
        <f>ObesityDataSet_raw_and_data_sin!A698</f>
        <v>Male</v>
      </c>
      <c r="B698">
        <f>ObesityDataSet_raw_and_data_sin!C698</f>
        <v>1.7769889999999999</v>
      </c>
      <c r="C698">
        <f>ObesityDataSet_raw_and_data_sin!D698</f>
        <v>57.275945999999998</v>
      </c>
      <c r="D698" t="str">
        <f>ObesityDataSet_raw_and_data_sin!Q698</f>
        <v>Insufficient_Weight</v>
      </c>
      <c r="E698" t="b">
        <f t="shared" si="41"/>
        <v>0</v>
      </c>
      <c r="F698">
        <f>C698/(B698*B698)</f>
        <v>18.13855942249867</v>
      </c>
      <c r="G698" t="str">
        <f t="shared" si="42"/>
        <v>Normal</v>
      </c>
      <c r="H698" t="str">
        <f t="shared" si="43"/>
        <v>OK</v>
      </c>
      <c r="I698" t="str">
        <f t="shared" si="40"/>
        <v>OK</v>
      </c>
    </row>
    <row r="699" spans="1:9" x14ac:dyDescent="0.2">
      <c r="A699" t="str">
        <f>ObesityDataSet_raw_and_data_sin!A699</f>
        <v>Female</v>
      </c>
      <c r="B699">
        <f>ObesityDataSet_raw_and_data_sin!C699</f>
        <v>1.6094949999999999</v>
      </c>
      <c r="C699">
        <f>ObesityDataSet_raw_and_data_sin!D699</f>
        <v>42.656562999999998</v>
      </c>
      <c r="D699" t="str">
        <f>ObesityDataSet_raw_and_data_sin!Q699</f>
        <v>Insufficient_Weight</v>
      </c>
      <c r="E699" t="b">
        <f t="shared" si="41"/>
        <v>0</v>
      </c>
      <c r="F699">
        <f>C699/(B699*B699)</f>
        <v>16.466700861405943</v>
      </c>
      <c r="G699" t="str">
        <f t="shared" si="42"/>
        <v>Normal</v>
      </c>
      <c r="H699" t="str">
        <f t="shared" si="43"/>
        <v>OK</v>
      </c>
      <c r="I699" t="str">
        <f t="shared" si="40"/>
        <v>OK</v>
      </c>
    </row>
    <row r="700" spans="1:9" x14ac:dyDescent="0.2">
      <c r="A700" t="str">
        <f>ObesityDataSet_raw_and_data_sin!A700</f>
        <v>Female</v>
      </c>
      <c r="B700">
        <f>ObesityDataSet_raw_and_data_sin!C700</f>
        <v>1.7779290000000001</v>
      </c>
      <c r="C700">
        <f>ObesityDataSet_raw_and_data_sin!D700</f>
        <v>44.762022999999999</v>
      </c>
      <c r="D700" t="str">
        <f>ObesityDataSet_raw_and_data_sin!Q700</f>
        <v>Insufficient_Weight</v>
      </c>
      <c r="E700" t="b">
        <f t="shared" si="41"/>
        <v>0</v>
      </c>
      <c r="F700">
        <f>C700/(B700*B700)</f>
        <v>14.160574669617416</v>
      </c>
      <c r="G700" t="str">
        <f t="shared" si="42"/>
        <v>Normal</v>
      </c>
      <c r="H700" t="str">
        <f t="shared" si="43"/>
        <v>OK</v>
      </c>
      <c r="I700" t="str">
        <f t="shared" si="40"/>
        <v>OK</v>
      </c>
    </row>
    <row r="701" spans="1:9" x14ac:dyDescent="0.2">
      <c r="A701" t="str">
        <f>ObesityDataSet_raw_and_data_sin!A701</f>
        <v>Female</v>
      </c>
      <c r="B701">
        <f>ObesityDataSet_raw_and_data_sin!C701</f>
        <v>1.7109479999999999</v>
      </c>
      <c r="C701">
        <f>ObesityDataSet_raw_and_data_sin!D701</f>
        <v>45.248626999999999</v>
      </c>
      <c r="D701" t="str">
        <f>ObesityDataSet_raw_and_data_sin!Q701</f>
        <v>Insufficient_Weight</v>
      </c>
      <c r="E701" t="b">
        <f t="shared" si="41"/>
        <v>0</v>
      </c>
      <c r="F701">
        <f>C701/(B701*B701)</f>
        <v>15.457234117286061</v>
      </c>
      <c r="G701" t="str">
        <f t="shared" si="42"/>
        <v>Normal</v>
      </c>
      <c r="H701" t="str">
        <f t="shared" si="43"/>
        <v>OK</v>
      </c>
      <c r="I701" t="str">
        <f t="shared" si="40"/>
        <v>OK</v>
      </c>
    </row>
    <row r="702" spans="1:9" x14ac:dyDescent="0.2">
      <c r="A702" t="str">
        <f>ObesityDataSet_raw_and_data_sin!A702</f>
        <v>Male</v>
      </c>
      <c r="B702">
        <f>ObesityDataSet_raw_and_data_sin!C702</f>
        <v>1.8541620000000001</v>
      </c>
      <c r="C702">
        <f>ObesityDataSet_raw_and_data_sin!D702</f>
        <v>59.881315999999998</v>
      </c>
      <c r="D702" t="str">
        <f>ObesityDataSet_raw_and_data_sin!Q702</f>
        <v>Insufficient_Weight</v>
      </c>
      <c r="E702" t="b">
        <f t="shared" si="41"/>
        <v>0</v>
      </c>
      <c r="F702">
        <f>C702/(B702*B702)</f>
        <v>17.417907656853949</v>
      </c>
      <c r="G702" t="str">
        <f t="shared" si="42"/>
        <v>Normal</v>
      </c>
      <c r="H702" t="str">
        <f t="shared" si="43"/>
        <v>OK</v>
      </c>
      <c r="I702" t="str">
        <f t="shared" si="40"/>
        <v>OK</v>
      </c>
    </row>
    <row r="703" spans="1:9" x14ac:dyDescent="0.2">
      <c r="A703" t="str">
        <f>ObesityDataSet_raw_and_data_sin!A703</f>
        <v>Male</v>
      </c>
      <c r="B703">
        <f>ObesityDataSet_raw_and_data_sin!C703</f>
        <v>1.8215140000000001</v>
      </c>
      <c r="C703">
        <f>ObesityDataSet_raw_and_data_sin!D703</f>
        <v>59.605027999999997</v>
      </c>
      <c r="D703" t="str">
        <f>ObesityDataSet_raw_and_data_sin!Q703</f>
        <v>Insufficient_Weight</v>
      </c>
      <c r="E703" t="b">
        <f t="shared" si="41"/>
        <v>0</v>
      </c>
      <c r="F703">
        <f>C703/(B703*B703)</f>
        <v>17.964613137655029</v>
      </c>
      <c r="G703" t="str">
        <f t="shared" si="42"/>
        <v>Normal</v>
      </c>
      <c r="H703" t="str">
        <f t="shared" si="43"/>
        <v>OK</v>
      </c>
      <c r="I703" t="str">
        <f t="shared" si="40"/>
        <v>OK</v>
      </c>
    </row>
    <row r="704" spans="1:9" x14ac:dyDescent="0.2">
      <c r="A704" t="str">
        <f>ObesityDataSet_raw_and_data_sin!A704</f>
        <v>Male</v>
      </c>
      <c r="B704">
        <f>ObesityDataSet_raw_and_data_sin!C704</f>
        <v>1.762073</v>
      </c>
      <c r="C704">
        <f>ObesityDataSet_raw_and_data_sin!D704</f>
        <v>55.511074999999998</v>
      </c>
      <c r="D704" t="str">
        <f>ObesityDataSet_raw_and_data_sin!Q704</f>
        <v>Insufficient_Weight</v>
      </c>
      <c r="E704" t="b">
        <f t="shared" si="41"/>
        <v>0</v>
      </c>
      <c r="F704">
        <f>C704/(B704*B704)</f>
        <v>17.878531521402891</v>
      </c>
      <c r="G704" t="str">
        <f t="shared" si="42"/>
        <v>Normal</v>
      </c>
      <c r="H704" t="str">
        <f t="shared" si="43"/>
        <v>OK</v>
      </c>
      <c r="I704" t="str">
        <f t="shared" si="40"/>
        <v>OK</v>
      </c>
    </row>
    <row r="705" spans="1:9" x14ac:dyDescent="0.2">
      <c r="A705" t="str">
        <f>ObesityDataSet_raw_and_data_sin!A705</f>
        <v>Female</v>
      </c>
      <c r="B705">
        <f>ObesityDataSet_raw_and_data_sin!C705</f>
        <v>1.732307</v>
      </c>
      <c r="C705">
        <f>ObesityDataSet_raw_and_data_sin!D705</f>
        <v>54.835576000000003</v>
      </c>
      <c r="D705" t="str">
        <f>ObesityDataSet_raw_and_data_sin!Q705</f>
        <v>Insufficient_Weight</v>
      </c>
      <c r="E705" t="b">
        <f t="shared" si="41"/>
        <v>0</v>
      </c>
      <c r="F705">
        <f>C705/(B705*B705)</f>
        <v>18.273119278206526</v>
      </c>
      <c r="G705" t="str">
        <f t="shared" si="42"/>
        <v>Normal</v>
      </c>
      <c r="H705" t="str">
        <f t="shared" si="43"/>
        <v>OK</v>
      </c>
      <c r="I705" t="str">
        <f t="shared" si="40"/>
        <v>OK</v>
      </c>
    </row>
    <row r="706" spans="1:9" x14ac:dyDescent="0.2">
      <c r="A706" t="str">
        <f>ObesityDataSet_raw_and_data_sin!A706</f>
        <v>Male</v>
      </c>
      <c r="B706">
        <f>ObesityDataSet_raw_and_data_sin!C706</f>
        <v>1.759933</v>
      </c>
      <c r="C706">
        <f>ObesityDataSet_raw_and_data_sin!D706</f>
        <v>55.003416999999999</v>
      </c>
      <c r="D706" t="str">
        <f>ObesityDataSet_raw_and_data_sin!Q706</f>
        <v>Insufficient_Weight</v>
      </c>
      <c r="E706" t="b">
        <f t="shared" si="41"/>
        <v>0</v>
      </c>
      <c r="F706">
        <f>C706/(B706*B706)</f>
        <v>17.758136944505654</v>
      </c>
      <c r="G706" t="str">
        <f t="shared" si="42"/>
        <v>Normal</v>
      </c>
      <c r="H706" t="str">
        <f t="shared" si="43"/>
        <v>OK</v>
      </c>
      <c r="I706" t="str">
        <f t="shared" ref="I706:I769" si="44">IF(AND(LEFT(D706,10)="Overweight",G706&lt;&gt;"Overweight"),"ERROR","OK")</f>
        <v>OK</v>
      </c>
    </row>
    <row r="707" spans="1:9" x14ac:dyDescent="0.2">
      <c r="A707" t="str">
        <f>ObesityDataSet_raw_and_data_sin!A707</f>
        <v>Female</v>
      </c>
      <c r="B707">
        <f>ObesityDataSet_raw_and_data_sin!C707</f>
        <v>1.741377</v>
      </c>
      <c r="C707">
        <f>ObesityDataSet_raw_and_data_sin!D707</f>
        <v>54.877110999999999</v>
      </c>
      <c r="D707" t="str">
        <f>ObesityDataSet_raw_and_data_sin!Q707</f>
        <v>Insufficient_Weight</v>
      </c>
      <c r="E707" t="b">
        <f t="shared" ref="E707:E770" si="45">IF(AND(A707="Female", B707&lt;1.5), TRUE, IF(AND(A707="Male",B707&lt;1.6),TRUE, FALSE))</f>
        <v>0</v>
      </c>
      <c r="F707">
        <f>C707/(B707*B707)</f>
        <v>18.096960224702912</v>
      </c>
      <c r="G707" t="str">
        <f t="shared" ref="G707:G770" si="46">IF(E707=TRUE,IF(F707&lt;23,"Normal",IF(F707&lt;25,"Overweight","Obese")),IF(F707&lt;25,"Normal",IF(F707&lt;30,"Overweight","Obese")))</f>
        <v>Normal</v>
      </c>
      <c r="H707" t="str">
        <f t="shared" ref="H707:H770" si="47">IF(AND(D707="Normal_Weight",G707&lt;&gt;"Normal"),"ERROR","OK")</f>
        <v>OK</v>
      </c>
      <c r="I707" t="str">
        <f t="shared" si="44"/>
        <v>OK</v>
      </c>
    </row>
    <row r="708" spans="1:9" x14ac:dyDescent="0.2">
      <c r="A708" t="str">
        <f>ObesityDataSet_raw_and_data_sin!A708</f>
        <v>Female</v>
      </c>
      <c r="B708">
        <f>ObesityDataSet_raw_and_data_sin!C708</f>
        <v>1.731195</v>
      </c>
      <c r="C708">
        <f>ObesityDataSet_raw_and_data_sin!D708</f>
        <v>49.650897000000001</v>
      </c>
      <c r="D708" t="str">
        <f>ObesityDataSet_raw_and_data_sin!Q708</f>
        <v>Insufficient_Weight</v>
      </c>
      <c r="E708" t="b">
        <f t="shared" si="45"/>
        <v>0</v>
      </c>
      <c r="F708">
        <f>C708/(B708*B708)</f>
        <v>16.566666159182795</v>
      </c>
      <c r="G708" t="str">
        <f t="shared" si="46"/>
        <v>Normal</v>
      </c>
      <c r="H708" t="str">
        <f t="shared" si="47"/>
        <v>OK</v>
      </c>
      <c r="I708" t="str">
        <f t="shared" si="44"/>
        <v>OK</v>
      </c>
    </row>
    <row r="709" spans="1:9" x14ac:dyDescent="0.2">
      <c r="A709" t="str">
        <f>ObesityDataSet_raw_and_data_sin!A709</f>
        <v>Female</v>
      </c>
      <c r="B709">
        <f>ObesityDataSet_raw_and_data_sin!C709</f>
        <v>1.74823</v>
      </c>
      <c r="C709">
        <f>ObesityDataSet_raw_and_data_sin!D709</f>
        <v>49.928446999999998</v>
      </c>
      <c r="D709" t="str">
        <f>ObesityDataSet_raw_and_data_sin!Q709</f>
        <v>Insufficient_Weight</v>
      </c>
      <c r="E709" t="b">
        <f t="shared" si="45"/>
        <v>0</v>
      </c>
      <c r="F709">
        <f>C709/(B709*B709)</f>
        <v>16.336195445262593</v>
      </c>
      <c r="G709" t="str">
        <f t="shared" si="46"/>
        <v>Normal</v>
      </c>
      <c r="H709" t="str">
        <f t="shared" si="47"/>
        <v>OK</v>
      </c>
      <c r="I709" t="str">
        <f t="shared" si="44"/>
        <v>OK</v>
      </c>
    </row>
    <row r="710" spans="1:9" x14ac:dyDescent="0.2">
      <c r="A710" t="str">
        <f>ObesityDataSet_raw_and_data_sin!A710</f>
        <v>Female</v>
      </c>
      <c r="B710">
        <f>ObesityDataSet_raw_and_data_sin!C710</f>
        <v>1.7568649999999999</v>
      </c>
      <c r="C710">
        <f>ObesityDataSet_raw_and_data_sin!D710</f>
        <v>49.699672</v>
      </c>
      <c r="D710" t="str">
        <f>ObesityDataSet_raw_and_data_sin!Q710</f>
        <v>Insufficient_Weight</v>
      </c>
      <c r="E710" t="b">
        <f t="shared" si="45"/>
        <v>0</v>
      </c>
      <c r="F710">
        <f>C710/(B710*B710)</f>
        <v>16.101885742701402</v>
      </c>
      <c r="G710" t="str">
        <f t="shared" si="46"/>
        <v>Normal</v>
      </c>
      <c r="H710" t="str">
        <f t="shared" si="47"/>
        <v>OK</v>
      </c>
      <c r="I710" t="str">
        <f t="shared" si="44"/>
        <v>OK</v>
      </c>
    </row>
    <row r="711" spans="1:9" x14ac:dyDescent="0.2">
      <c r="A711" t="str">
        <f>ObesityDataSet_raw_and_data_sin!A711</f>
        <v>Female</v>
      </c>
      <c r="B711">
        <f>ObesityDataSet_raw_and_data_sin!C711</f>
        <v>1.7013780000000001</v>
      </c>
      <c r="C711">
        <f>ObesityDataSet_raw_and_data_sin!D711</f>
        <v>50.088467999999999</v>
      </c>
      <c r="D711" t="str">
        <f>ObesityDataSet_raw_and_data_sin!Q711</f>
        <v>Insufficient_Weight</v>
      </c>
      <c r="E711" t="b">
        <f t="shared" si="45"/>
        <v>0</v>
      </c>
      <c r="F711">
        <f>C711/(B711*B711)</f>
        <v>17.303586290660153</v>
      </c>
      <c r="G711" t="str">
        <f t="shared" si="46"/>
        <v>Normal</v>
      </c>
      <c r="H711" t="str">
        <f t="shared" si="47"/>
        <v>OK</v>
      </c>
      <c r="I711" t="str">
        <f t="shared" si="44"/>
        <v>OK</v>
      </c>
    </row>
    <row r="712" spans="1:9" x14ac:dyDescent="0.2">
      <c r="A712" t="str">
        <f>ObesityDataSet_raw_and_data_sin!A712</f>
        <v>Female</v>
      </c>
      <c r="B712">
        <f>ObesityDataSet_raw_and_data_sin!C712</f>
        <v>1.699956</v>
      </c>
      <c r="C712">
        <f>ObesityDataSet_raw_and_data_sin!D712</f>
        <v>49.982970000000002</v>
      </c>
      <c r="D712" t="str">
        <f>ObesityDataSet_raw_and_data_sin!Q712</f>
        <v>Insufficient_Weight</v>
      </c>
      <c r="E712" t="b">
        <f t="shared" si="45"/>
        <v>0</v>
      </c>
      <c r="F712">
        <f>C712/(B712*B712)</f>
        <v>17.296040641589912</v>
      </c>
      <c r="G712" t="str">
        <f t="shared" si="46"/>
        <v>Normal</v>
      </c>
      <c r="H712" t="str">
        <f t="shared" si="47"/>
        <v>OK</v>
      </c>
      <c r="I712" t="str">
        <f t="shared" si="44"/>
        <v>OK</v>
      </c>
    </row>
    <row r="713" spans="1:9" x14ac:dyDescent="0.2">
      <c r="A713" t="str">
        <f>ObesityDataSet_raw_and_data_sin!A713</f>
        <v>Female</v>
      </c>
      <c r="B713">
        <f>ObesityDataSet_raw_and_data_sin!C713</f>
        <v>1.723328</v>
      </c>
      <c r="C713">
        <f>ObesityDataSet_raw_and_data_sin!D713</f>
        <v>50</v>
      </c>
      <c r="D713" t="str">
        <f>ObesityDataSet_raw_and_data_sin!Q713</f>
        <v>Insufficient_Weight</v>
      </c>
      <c r="E713" t="b">
        <f t="shared" si="45"/>
        <v>0</v>
      </c>
      <c r="F713">
        <f>C713/(B713*B713)</f>
        <v>16.835813868611744</v>
      </c>
      <c r="G713" t="str">
        <f t="shared" si="46"/>
        <v>Normal</v>
      </c>
      <c r="H713" t="str">
        <f t="shared" si="47"/>
        <v>OK</v>
      </c>
      <c r="I713" t="str">
        <f t="shared" si="44"/>
        <v>OK</v>
      </c>
    </row>
    <row r="714" spans="1:9" x14ac:dyDescent="0.2">
      <c r="A714" t="str">
        <f>ObesityDataSet_raw_and_data_sin!A714</f>
        <v>Female</v>
      </c>
      <c r="B714">
        <f>ObesityDataSet_raw_and_data_sin!C714</f>
        <v>1.5858859999999999</v>
      </c>
      <c r="C714">
        <f>ObesityDataSet_raw_and_data_sin!D714</f>
        <v>42.541794000000003</v>
      </c>
      <c r="D714" t="str">
        <f>ObesityDataSet_raw_and_data_sin!Q714</f>
        <v>Insufficient_Weight</v>
      </c>
      <c r="E714" t="b">
        <f t="shared" si="45"/>
        <v>0</v>
      </c>
      <c r="F714">
        <f>C714/(B714*B714)</f>
        <v>16.914994846787263</v>
      </c>
      <c r="G714" t="str">
        <f t="shared" si="46"/>
        <v>Normal</v>
      </c>
      <c r="H714" t="str">
        <f t="shared" si="47"/>
        <v>OK</v>
      </c>
      <c r="I714" t="str">
        <f t="shared" si="44"/>
        <v>OK</v>
      </c>
    </row>
    <row r="715" spans="1:9" x14ac:dyDescent="0.2">
      <c r="A715" t="str">
        <f>ObesityDataSet_raw_and_data_sin!A715</f>
        <v>Female</v>
      </c>
      <c r="B715">
        <f>ObesityDataSet_raw_and_data_sin!C715</f>
        <v>1.524926</v>
      </c>
      <c r="C715">
        <f>ObesityDataSet_raw_and_data_sin!D715</f>
        <v>42</v>
      </c>
      <c r="D715" t="str">
        <f>ObesityDataSet_raw_and_data_sin!Q715</f>
        <v>Insufficient_Weight</v>
      </c>
      <c r="E715" t="b">
        <f t="shared" si="45"/>
        <v>0</v>
      </c>
      <c r="F715">
        <f>C715/(B715*B715)</f>
        <v>18.061414184263192</v>
      </c>
      <c r="G715" t="str">
        <f t="shared" si="46"/>
        <v>Normal</v>
      </c>
      <c r="H715" t="str">
        <f t="shared" si="47"/>
        <v>OK</v>
      </c>
      <c r="I715" t="str">
        <f t="shared" si="44"/>
        <v>OK</v>
      </c>
    </row>
    <row r="716" spans="1:9" x14ac:dyDescent="0.2">
      <c r="A716" t="str">
        <f>ObesityDataSet_raw_and_data_sin!A716</f>
        <v>Female</v>
      </c>
      <c r="B716">
        <f>ObesityDataSet_raw_and_data_sin!C716</f>
        <v>1.5233699999999999</v>
      </c>
      <c r="C716">
        <f>ObesityDataSet_raw_and_data_sin!D716</f>
        <v>42</v>
      </c>
      <c r="D716" t="str">
        <f>ObesityDataSet_raw_and_data_sin!Q716</f>
        <v>Insufficient_Weight</v>
      </c>
      <c r="E716" t="b">
        <f t="shared" si="45"/>
        <v>0</v>
      </c>
      <c r="F716">
        <f>C716/(B716*B716)</f>
        <v>18.098329593171972</v>
      </c>
      <c r="G716" t="str">
        <f t="shared" si="46"/>
        <v>Normal</v>
      </c>
      <c r="H716" t="str">
        <f t="shared" si="47"/>
        <v>OK</v>
      </c>
      <c r="I716" t="str">
        <f t="shared" si="44"/>
        <v>OK</v>
      </c>
    </row>
    <row r="717" spans="1:9" x14ac:dyDescent="0.2">
      <c r="A717" t="str">
        <f>ObesityDataSet_raw_and_data_sin!A717</f>
        <v>Male</v>
      </c>
      <c r="B717">
        <f>ObesityDataSet_raw_and_data_sin!C717</f>
        <v>1.844749</v>
      </c>
      <c r="C717">
        <f>ObesityDataSet_raw_and_data_sin!D717</f>
        <v>59.313524999999998</v>
      </c>
      <c r="D717" t="str">
        <f>ObesityDataSet_raw_and_data_sin!Q717</f>
        <v>Insufficient_Weight</v>
      </c>
      <c r="E717" t="b">
        <f t="shared" si="45"/>
        <v>0</v>
      </c>
      <c r="F717">
        <f>C717/(B717*B717)</f>
        <v>17.429268796911199</v>
      </c>
      <c r="G717" t="str">
        <f t="shared" si="46"/>
        <v>Normal</v>
      </c>
      <c r="H717" t="str">
        <f t="shared" si="47"/>
        <v>OK</v>
      </c>
      <c r="I717" t="str">
        <f t="shared" si="44"/>
        <v>OK</v>
      </c>
    </row>
    <row r="718" spans="1:9" x14ac:dyDescent="0.2">
      <c r="A718" t="str">
        <f>ObesityDataSet_raw_and_data_sin!A718</f>
        <v>Male</v>
      </c>
      <c r="B718">
        <f>ObesityDataSet_raw_and_data_sin!C718</f>
        <v>1.8533249999999999</v>
      </c>
      <c r="C718">
        <f>ObesityDataSet_raw_and_data_sin!D718</f>
        <v>59.619484999999997</v>
      </c>
      <c r="D718" t="str">
        <f>ObesityDataSet_raw_and_data_sin!Q718</f>
        <v>Insufficient_Weight</v>
      </c>
      <c r="E718" t="b">
        <f t="shared" si="45"/>
        <v>0</v>
      </c>
      <c r="F718">
        <f>C718/(B718*B718)</f>
        <v>17.357415194302046</v>
      </c>
      <c r="G718" t="str">
        <f t="shared" si="46"/>
        <v>Normal</v>
      </c>
      <c r="H718" t="str">
        <f t="shared" si="47"/>
        <v>OK</v>
      </c>
      <c r="I718" t="str">
        <f t="shared" si="44"/>
        <v>OK</v>
      </c>
    </row>
    <row r="719" spans="1:9" x14ac:dyDescent="0.2">
      <c r="A719" t="str">
        <f>ObesityDataSet_raw_and_data_sin!A719</f>
        <v>Male</v>
      </c>
      <c r="B719">
        <f>ObesityDataSet_raw_and_data_sin!C719</f>
        <v>1.854706</v>
      </c>
      <c r="C719">
        <f>ObesityDataSet_raw_and_data_sin!D719</f>
        <v>59.209449999999997</v>
      </c>
      <c r="D719" t="str">
        <f>ObesityDataSet_raw_and_data_sin!Q719</f>
        <v>Insufficient_Weight</v>
      </c>
      <c r="E719" t="b">
        <f t="shared" si="45"/>
        <v>0</v>
      </c>
      <c r="F719">
        <f>C719/(B719*B719)</f>
        <v>17.212377922661492</v>
      </c>
      <c r="G719" t="str">
        <f t="shared" si="46"/>
        <v>Normal</v>
      </c>
      <c r="H719" t="str">
        <f t="shared" si="47"/>
        <v>OK</v>
      </c>
      <c r="I719" t="str">
        <f t="shared" si="44"/>
        <v>OK</v>
      </c>
    </row>
    <row r="720" spans="1:9" x14ac:dyDescent="0.2">
      <c r="A720" t="str">
        <f>ObesityDataSet_raw_and_data_sin!A720</f>
        <v>Female</v>
      </c>
      <c r="B720">
        <f>ObesityDataSet_raw_and_data_sin!C720</f>
        <v>1.7206399999999999</v>
      </c>
      <c r="C720">
        <f>ObesityDataSet_raw_and_data_sin!D720</f>
        <v>50</v>
      </c>
      <c r="D720" t="str">
        <f>ObesityDataSet_raw_and_data_sin!Q720</f>
        <v>Insufficient_Weight</v>
      </c>
      <c r="E720" t="b">
        <f t="shared" si="45"/>
        <v>0</v>
      </c>
      <c r="F720">
        <f>C720/(B720*B720)</f>
        <v>16.888457090102222</v>
      </c>
      <c r="G720" t="str">
        <f t="shared" si="46"/>
        <v>Normal</v>
      </c>
      <c r="H720" t="str">
        <f t="shared" si="47"/>
        <v>OK</v>
      </c>
      <c r="I720" t="str">
        <f t="shared" si="44"/>
        <v>OK</v>
      </c>
    </row>
    <row r="721" spans="1:9" x14ac:dyDescent="0.2">
      <c r="A721" t="str">
        <f>ObesityDataSet_raw_and_data_sin!A721</f>
        <v>Female</v>
      </c>
      <c r="B721">
        <f>ObesityDataSet_raw_and_data_sin!C721</f>
        <v>1.704167</v>
      </c>
      <c r="C721">
        <f>ObesityDataSet_raw_and_data_sin!D721</f>
        <v>50.165754</v>
      </c>
      <c r="D721" t="str">
        <f>ObesityDataSet_raw_and_data_sin!Q721</f>
        <v>Insufficient_Weight</v>
      </c>
      <c r="E721" t="b">
        <f t="shared" si="45"/>
        <v>0</v>
      </c>
      <c r="F721">
        <f>C721/(B721*B721)</f>
        <v>17.273607283642665</v>
      </c>
      <c r="G721" t="str">
        <f t="shared" si="46"/>
        <v>Normal</v>
      </c>
      <c r="H721" t="str">
        <f t="shared" si="47"/>
        <v>OK</v>
      </c>
      <c r="I721" t="str">
        <f t="shared" si="44"/>
        <v>OK</v>
      </c>
    </row>
    <row r="722" spans="1:9" x14ac:dyDescent="0.2">
      <c r="A722" t="str">
        <f>ObesityDataSet_raw_and_data_sin!A722</f>
        <v>Female</v>
      </c>
      <c r="B722">
        <f>ObesityDataSet_raw_and_data_sin!C722</f>
        <v>1.71746</v>
      </c>
      <c r="C722">
        <f>ObesityDataSet_raw_and_data_sin!D722</f>
        <v>51.491956999999999</v>
      </c>
      <c r="D722" t="str">
        <f>ObesityDataSet_raw_and_data_sin!Q722</f>
        <v>Insufficient_Weight</v>
      </c>
      <c r="E722" t="b">
        <f t="shared" si="45"/>
        <v>0</v>
      </c>
      <c r="F722">
        <f>C722/(B722*B722)</f>
        <v>17.456860275033595</v>
      </c>
      <c r="G722" t="str">
        <f t="shared" si="46"/>
        <v>Normal</v>
      </c>
      <c r="H722" t="str">
        <f t="shared" si="47"/>
        <v>OK</v>
      </c>
      <c r="I722" t="str">
        <f t="shared" si="44"/>
        <v>OK</v>
      </c>
    </row>
    <row r="723" spans="1:9" x14ac:dyDescent="0.2">
      <c r="A723" t="str">
        <f>ObesityDataSet_raw_and_data_sin!A723</f>
        <v>Female</v>
      </c>
      <c r="B723">
        <f>ObesityDataSet_raw_and_data_sin!C723</f>
        <v>1.7084060000000001</v>
      </c>
      <c r="C723">
        <f>ObesityDataSet_raw_and_data_sin!D723</f>
        <v>50</v>
      </c>
      <c r="D723" t="str">
        <f>ObesityDataSet_raw_and_data_sin!Q723</f>
        <v>Insufficient_Weight</v>
      </c>
      <c r="E723" t="b">
        <f t="shared" si="45"/>
        <v>0</v>
      </c>
      <c r="F723">
        <f>C723/(B723*B723)</f>
        <v>17.13120169482621</v>
      </c>
      <c r="G723" t="str">
        <f t="shared" si="46"/>
        <v>Normal</v>
      </c>
      <c r="H723" t="str">
        <f t="shared" si="47"/>
        <v>OK</v>
      </c>
      <c r="I723" t="str">
        <f t="shared" si="44"/>
        <v>OK</v>
      </c>
    </row>
    <row r="724" spans="1:9" x14ac:dyDescent="0.2">
      <c r="A724" t="str">
        <f>ObesityDataSet_raw_and_data_sin!A724</f>
        <v>Female</v>
      </c>
      <c r="B724">
        <f>ObesityDataSet_raw_and_data_sin!C724</f>
        <v>1.7634650000000001</v>
      </c>
      <c r="C724">
        <f>ObesityDataSet_raw_and_data_sin!D724</f>
        <v>50.279052999999998</v>
      </c>
      <c r="D724" t="str">
        <f>ObesityDataSet_raw_and_data_sin!Q724</f>
        <v>Insufficient_Weight</v>
      </c>
      <c r="E724" t="b">
        <f t="shared" si="45"/>
        <v>0</v>
      </c>
      <c r="F724">
        <f>C724/(B724*B724)</f>
        <v>16.167892025823217</v>
      </c>
      <c r="G724" t="str">
        <f t="shared" si="46"/>
        <v>Normal</v>
      </c>
      <c r="H724" t="str">
        <f t="shared" si="47"/>
        <v>OK</v>
      </c>
      <c r="I724" t="str">
        <f t="shared" si="44"/>
        <v>OK</v>
      </c>
    </row>
    <row r="725" spans="1:9" x14ac:dyDescent="0.2">
      <c r="A725" t="str">
        <f>ObesityDataSet_raw_and_data_sin!A725</f>
        <v>Female</v>
      </c>
      <c r="B725">
        <f>ObesityDataSet_raw_and_data_sin!C725</f>
        <v>1.7</v>
      </c>
      <c r="C725">
        <f>ObesityDataSet_raw_and_data_sin!D725</f>
        <v>50</v>
      </c>
      <c r="D725" t="str">
        <f>ObesityDataSet_raw_and_data_sin!Q725</f>
        <v>Insufficient_Weight</v>
      </c>
      <c r="E725" t="b">
        <f t="shared" si="45"/>
        <v>0</v>
      </c>
      <c r="F725">
        <f>C725/(B725*B725)</f>
        <v>17.301038062283737</v>
      </c>
      <c r="G725" t="str">
        <f t="shared" si="46"/>
        <v>Normal</v>
      </c>
      <c r="H725" t="str">
        <f t="shared" si="47"/>
        <v>OK</v>
      </c>
      <c r="I725" t="str">
        <f t="shared" si="44"/>
        <v>OK</v>
      </c>
    </row>
    <row r="726" spans="1:9" x14ac:dyDescent="0.2">
      <c r="A726" t="str">
        <f>ObesityDataSet_raw_and_data_sin!A726</f>
        <v>Female</v>
      </c>
      <c r="B726">
        <f>ObesityDataSet_raw_and_data_sin!C726</f>
        <v>1.574017</v>
      </c>
      <c r="C726">
        <f>ObesityDataSet_raw_and_data_sin!D726</f>
        <v>41.220174999999998</v>
      </c>
      <c r="D726" t="str">
        <f>ObesityDataSet_raw_and_data_sin!Q726</f>
        <v>Insufficient_Weight</v>
      </c>
      <c r="E726" t="b">
        <f t="shared" si="45"/>
        <v>0</v>
      </c>
      <c r="F726">
        <f>C726/(B726*B726)</f>
        <v>16.637612076461625</v>
      </c>
      <c r="G726" t="str">
        <f t="shared" si="46"/>
        <v>Normal</v>
      </c>
      <c r="H726" t="str">
        <f t="shared" si="47"/>
        <v>OK</v>
      </c>
      <c r="I726" t="str">
        <f t="shared" si="44"/>
        <v>OK</v>
      </c>
    </row>
    <row r="727" spans="1:9" x14ac:dyDescent="0.2">
      <c r="A727" t="str">
        <f>ObesityDataSet_raw_and_data_sin!A727</f>
        <v>Female</v>
      </c>
      <c r="B727">
        <f>ObesityDataSet_raw_and_data_sin!C727</f>
        <v>1.537739</v>
      </c>
      <c r="C727">
        <f>ObesityDataSet_raw_and_data_sin!D727</f>
        <v>39.101804999999999</v>
      </c>
      <c r="D727" t="str">
        <f>ObesityDataSet_raw_and_data_sin!Q727</f>
        <v>Insufficient_Weight</v>
      </c>
      <c r="E727" t="b">
        <f t="shared" si="45"/>
        <v>0</v>
      </c>
      <c r="F727">
        <f>C727/(B727*B727)</f>
        <v>16.536041268690497</v>
      </c>
      <c r="G727" t="str">
        <f t="shared" si="46"/>
        <v>Normal</v>
      </c>
      <c r="H727" t="str">
        <f t="shared" si="47"/>
        <v>OK</v>
      </c>
      <c r="I727" t="str">
        <f t="shared" si="44"/>
        <v>OK</v>
      </c>
    </row>
    <row r="728" spans="1:9" x14ac:dyDescent="0.2">
      <c r="A728" t="str">
        <f>ObesityDataSet_raw_and_data_sin!A728</f>
        <v>Female</v>
      </c>
      <c r="B728">
        <f>ObesityDataSet_raw_and_data_sin!C728</f>
        <v>1.5342229999999999</v>
      </c>
      <c r="C728">
        <f>ObesityDataSet_raw_and_data_sin!D728</f>
        <v>41.268597</v>
      </c>
      <c r="D728" t="str">
        <f>ObesityDataSet_raw_and_data_sin!Q728</f>
        <v>Insufficient_Weight</v>
      </c>
      <c r="E728" t="b">
        <f t="shared" si="45"/>
        <v>0</v>
      </c>
      <c r="F728">
        <f>C728/(B728*B728)</f>
        <v>17.532454734733875</v>
      </c>
      <c r="G728" t="str">
        <f t="shared" si="46"/>
        <v>Normal</v>
      </c>
      <c r="H728" t="str">
        <f t="shared" si="47"/>
        <v>OK</v>
      </c>
      <c r="I728" t="str">
        <f t="shared" si="44"/>
        <v>OK</v>
      </c>
    </row>
    <row r="729" spans="1:9" x14ac:dyDescent="0.2">
      <c r="A729" t="str">
        <f>ObesityDataSet_raw_and_data_sin!A729</f>
        <v>Male</v>
      </c>
      <c r="B729">
        <f>ObesityDataSet_raw_and_data_sin!C729</f>
        <v>1.76033</v>
      </c>
      <c r="C729">
        <f>ObesityDataSet_raw_and_data_sin!D729</f>
        <v>55.370699999999999</v>
      </c>
      <c r="D729" t="str">
        <f>ObesityDataSet_raw_and_data_sin!Q729</f>
        <v>Insufficient_Weight</v>
      </c>
      <c r="E729" t="b">
        <f t="shared" si="45"/>
        <v>0</v>
      </c>
      <c r="F729">
        <f>C729/(B729*B729)</f>
        <v>17.868653740288899</v>
      </c>
      <c r="G729" t="str">
        <f t="shared" si="46"/>
        <v>Normal</v>
      </c>
      <c r="H729" t="str">
        <f t="shared" si="47"/>
        <v>OK</v>
      </c>
      <c r="I729" t="str">
        <f t="shared" si="44"/>
        <v>OK</v>
      </c>
    </row>
    <row r="730" spans="1:9" x14ac:dyDescent="0.2">
      <c r="A730" t="str">
        <f>ObesityDataSet_raw_and_data_sin!A730</f>
        <v>Male</v>
      </c>
      <c r="B730">
        <f>ObesityDataSet_raw_and_data_sin!C730</f>
        <v>1.841879</v>
      </c>
      <c r="C730">
        <f>ObesityDataSet_raw_and_data_sin!D730</f>
        <v>60</v>
      </c>
      <c r="D730" t="str">
        <f>ObesityDataSet_raw_and_data_sin!Q730</f>
        <v>Insufficient_Weight</v>
      </c>
      <c r="E730" t="b">
        <f t="shared" si="45"/>
        <v>0</v>
      </c>
      <c r="F730">
        <f>C730/(B730*B730)</f>
        <v>17.685977072831747</v>
      </c>
      <c r="G730" t="str">
        <f t="shared" si="46"/>
        <v>Normal</v>
      </c>
      <c r="H730" t="str">
        <f t="shared" si="47"/>
        <v>OK</v>
      </c>
      <c r="I730" t="str">
        <f t="shared" si="44"/>
        <v>OK</v>
      </c>
    </row>
    <row r="731" spans="1:9" x14ac:dyDescent="0.2">
      <c r="A731" t="str">
        <f>ObesityDataSet_raw_and_data_sin!A731</f>
        <v>Male</v>
      </c>
      <c r="B731">
        <f>ObesityDataSet_raw_and_data_sin!C731</f>
        <v>1.856406</v>
      </c>
      <c r="C731">
        <f>ObesityDataSet_raw_and_data_sin!D731</f>
        <v>58.673963000000001</v>
      </c>
      <c r="D731" t="str">
        <f>ObesityDataSet_raw_and_data_sin!Q731</f>
        <v>Insufficient_Weight</v>
      </c>
      <c r="E731" t="b">
        <f t="shared" si="45"/>
        <v>0</v>
      </c>
      <c r="F731">
        <f>C731/(B731*B731)</f>
        <v>17.025485134899714</v>
      </c>
      <c r="G731" t="str">
        <f t="shared" si="46"/>
        <v>Normal</v>
      </c>
      <c r="H731" t="str">
        <f t="shared" si="47"/>
        <v>OK</v>
      </c>
      <c r="I731" t="str">
        <f t="shared" si="44"/>
        <v>OK</v>
      </c>
    </row>
    <row r="732" spans="1:9" x14ac:dyDescent="0.2">
      <c r="A732" t="str">
        <f>ObesityDataSet_raw_and_data_sin!A732</f>
        <v>Male</v>
      </c>
      <c r="B732">
        <f>ObesityDataSet_raw_and_data_sin!C732</f>
        <v>1.829142</v>
      </c>
      <c r="C732">
        <f>ObesityDataSet_raw_and_data_sin!D732</f>
        <v>59.933014999999997</v>
      </c>
      <c r="D732" t="str">
        <f>ObesityDataSet_raw_and_data_sin!Q732</f>
        <v>Insufficient_Weight</v>
      </c>
      <c r="E732" t="b">
        <f t="shared" si="45"/>
        <v>0</v>
      </c>
      <c r="F732">
        <f>C732/(B732*B732)</f>
        <v>17.913121930048373</v>
      </c>
      <c r="G732" t="str">
        <f t="shared" si="46"/>
        <v>Normal</v>
      </c>
      <c r="H732" t="str">
        <f t="shared" si="47"/>
        <v>OK</v>
      </c>
      <c r="I732" t="str">
        <f t="shared" si="44"/>
        <v>OK</v>
      </c>
    </row>
    <row r="733" spans="1:9" x14ac:dyDescent="0.2">
      <c r="A733" t="str">
        <f>ObesityDataSet_raw_and_data_sin!A733</f>
        <v>Male</v>
      </c>
      <c r="B733">
        <f>ObesityDataSet_raw_and_data_sin!C733</f>
        <v>1.822084</v>
      </c>
      <c r="C733">
        <f>ObesityDataSet_raw_and_data_sin!D733</f>
        <v>58.443049000000002</v>
      </c>
      <c r="D733" t="str">
        <f>ObesityDataSet_raw_and_data_sin!Q733</f>
        <v>Insufficient_Weight</v>
      </c>
      <c r="E733" t="b">
        <f t="shared" si="45"/>
        <v>0</v>
      </c>
      <c r="F733">
        <f>C733/(B733*B733)</f>
        <v>17.603380487852682</v>
      </c>
      <c r="G733" t="str">
        <f t="shared" si="46"/>
        <v>Normal</v>
      </c>
      <c r="H733" t="str">
        <f t="shared" si="47"/>
        <v>OK</v>
      </c>
      <c r="I733" t="str">
        <f t="shared" si="44"/>
        <v>OK</v>
      </c>
    </row>
    <row r="734" spans="1:9" x14ac:dyDescent="0.2">
      <c r="A734" t="str">
        <f>ObesityDataSet_raw_and_data_sin!A734</f>
        <v>Male</v>
      </c>
      <c r="B734">
        <f>ObesityDataSet_raw_and_data_sin!C734</f>
        <v>1.80671</v>
      </c>
      <c r="C734">
        <f>ObesityDataSet_raw_and_data_sin!D734</f>
        <v>59.243506000000004</v>
      </c>
      <c r="D734" t="str">
        <f>ObesityDataSet_raw_and_data_sin!Q734</f>
        <v>Insufficient_Weight</v>
      </c>
      <c r="E734" t="b">
        <f t="shared" si="45"/>
        <v>0</v>
      </c>
      <c r="F734">
        <f>C734/(B734*B734)</f>
        <v>18.149466151930554</v>
      </c>
      <c r="G734" t="str">
        <f t="shared" si="46"/>
        <v>Normal</v>
      </c>
      <c r="H734" t="str">
        <f t="shared" si="47"/>
        <v>OK</v>
      </c>
      <c r="I734" t="str">
        <f t="shared" si="44"/>
        <v>OK</v>
      </c>
    </row>
    <row r="735" spans="1:9" x14ac:dyDescent="0.2">
      <c r="A735" t="str">
        <f>ObesityDataSet_raw_and_data_sin!A735</f>
        <v>Male</v>
      </c>
      <c r="B735">
        <f>ObesityDataSet_raw_and_data_sin!C735</f>
        <v>1.7072590000000001</v>
      </c>
      <c r="C735">
        <f>ObesityDataSet_raw_and_data_sin!D735</f>
        <v>50.664459000000001</v>
      </c>
      <c r="D735" t="str">
        <f>ObesityDataSet_raw_and_data_sin!Q735</f>
        <v>Insufficient_Weight</v>
      </c>
      <c r="E735" t="b">
        <f t="shared" si="45"/>
        <v>0</v>
      </c>
      <c r="F735">
        <f>C735/(B735*B735)</f>
        <v>17.382193808355431</v>
      </c>
      <c r="G735" t="str">
        <f t="shared" si="46"/>
        <v>Normal</v>
      </c>
      <c r="H735" t="str">
        <f t="shared" si="47"/>
        <v>OK</v>
      </c>
      <c r="I735" t="str">
        <f t="shared" si="44"/>
        <v>OK</v>
      </c>
    </row>
    <row r="736" spans="1:9" x14ac:dyDescent="0.2">
      <c r="A736" t="str">
        <f>ObesityDataSet_raw_and_data_sin!A736</f>
        <v>Male</v>
      </c>
      <c r="B736">
        <f>ObesityDataSet_raw_and_data_sin!C736</f>
        <v>1.708107</v>
      </c>
      <c r="C736">
        <f>ObesityDataSet_raw_and_data_sin!D736</f>
        <v>51.314658999999999</v>
      </c>
      <c r="D736" t="str">
        <f>ObesityDataSet_raw_and_data_sin!Q736</f>
        <v>Insufficient_Weight</v>
      </c>
      <c r="E736" t="b">
        <f t="shared" si="45"/>
        <v>0</v>
      </c>
      <c r="F736">
        <f>C736/(B736*B736)</f>
        <v>17.587791248883342</v>
      </c>
      <c r="G736" t="str">
        <f t="shared" si="46"/>
        <v>Normal</v>
      </c>
      <c r="H736" t="str">
        <f t="shared" si="47"/>
        <v>OK</v>
      </c>
      <c r="I736" t="str">
        <f t="shared" si="44"/>
        <v>OK</v>
      </c>
    </row>
    <row r="737" spans="1:9" x14ac:dyDescent="0.2">
      <c r="A737" t="str">
        <f>ObesityDataSet_raw_and_data_sin!A737</f>
        <v>Male</v>
      </c>
      <c r="B737">
        <f>ObesityDataSet_raw_and_data_sin!C737</f>
        <v>1.739344</v>
      </c>
      <c r="C737">
        <f>ObesityDataSet_raw_and_data_sin!D737</f>
        <v>50.951444000000002</v>
      </c>
      <c r="D737" t="str">
        <f>ObesityDataSet_raw_and_data_sin!Q737</f>
        <v>Insufficient_Weight</v>
      </c>
      <c r="E737" t="b">
        <f t="shared" si="45"/>
        <v>0</v>
      </c>
      <c r="F737">
        <f>C737/(B737*B737)</f>
        <v>16.841684600792135</v>
      </c>
      <c r="G737" t="str">
        <f t="shared" si="46"/>
        <v>Normal</v>
      </c>
      <c r="H737" t="str">
        <f t="shared" si="47"/>
        <v>OK</v>
      </c>
      <c r="I737" t="str">
        <f t="shared" si="44"/>
        <v>OK</v>
      </c>
    </row>
    <row r="738" spans="1:9" x14ac:dyDescent="0.2">
      <c r="A738" t="str">
        <f>ObesityDataSet_raw_and_data_sin!A738</f>
        <v>Female</v>
      </c>
      <c r="B738">
        <f>ObesityDataSet_raw_and_data_sin!C738</f>
        <v>1.573987</v>
      </c>
      <c r="C738">
        <f>ObesityDataSet_raw_and_data_sin!D738</f>
        <v>44.316254000000001</v>
      </c>
      <c r="D738" t="str">
        <f>ObesityDataSet_raw_and_data_sin!Q738</f>
        <v>Insufficient_Weight</v>
      </c>
      <c r="E738" t="b">
        <f t="shared" si="45"/>
        <v>0</v>
      </c>
      <c r="F738">
        <f>C738/(B738*B738)</f>
        <v>17.887957761754453</v>
      </c>
      <c r="G738" t="str">
        <f t="shared" si="46"/>
        <v>Normal</v>
      </c>
      <c r="H738" t="str">
        <f t="shared" si="47"/>
        <v>OK</v>
      </c>
      <c r="I738" t="str">
        <f t="shared" si="44"/>
        <v>OK</v>
      </c>
    </row>
    <row r="739" spans="1:9" x14ac:dyDescent="0.2">
      <c r="A739" t="str">
        <f>ObesityDataSet_raw_and_data_sin!A739</f>
        <v>Female</v>
      </c>
      <c r="B739">
        <f>ObesityDataSet_raw_and_data_sin!C739</f>
        <v>1.5809200000000001</v>
      </c>
      <c r="C739">
        <f>ObesityDataSet_raw_and_data_sin!D739</f>
        <v>44.753943</v>
      </c>
      <c r="D739" t="str">
        <f>ObesityDataSet_raw_and_data_sin!Q739</f>
        <v>Insufficient_Weight</v>
      </c>
      <c r="E739" t="b">
        <f t="shared" si="45"/>
        <v>0</v>
      </c>
      <c r="F739">
        <f>C739/(B739*B739)</f>
        <v>17.906533396098776</v>
      </c>
      <c r="G739" t="str">
        <f t="shared" si="46"/>
        <v>Normal</v>
      </c>
      <c r="H739" t="str">
        <f t="shared" si="47"/>
        <v>OK</v>
      </c>
      <c r="I739" t="str">
        <f t="shared" si="44"/>
        <v>OK</v>
      </c>
    </row>
    <row r="740" spans="1:9" x14ac:dyDescent="0.2">
      <c r="A740" t="str">
        <f>ObesityDataSet_raw_and_data_sin!A740</f>
        <v>Female</v>
      </c>
      <c r="B740">
        <f>ObesityDataSet_raw_and_data_sin!C740</f>
        <v>1.6034349999999999</v>
      </c>
      <c r="C740">
        <f>ObesityDataSet_raw_and_data_sin!D740</f>
        <v>45</v>
      </c>
      <c r="D740" t="str">
        <f>ObesityDataSet_raw_and_data_sin!Q740</f>
        <v>Insufficient_Weight</v>
      </c>
      <c r="E740" t="b">
        <f t="shared" si="45"/>
        <v>0</v>
      </c>
      <c r="F740">
        <f>C740/(B740*B740)</f>
        <v>17.502891288439461</v>
      </c>
      <c r="G740" t="str">
        <f t="shared" si="46"/>
        <v>Normal</v>
      </c>
      <c r="H740" t="str">
        <f t="shared" si="47"/>
        <v>OK</v>
      </c>
      <c r="I740" t="str">
        <f t="shared" si="44"/>
        <v>OK</v>
      </c>
    </row>
    <row r="741" spans="1:9" x14ac:dyDescent="0.2">
      <c r="A741" t="str">
        <f>ObesityDataSet_raw_and_data_sin!A741</f>
        <v>Female</v>
      </c>
      <c r="B741">
        <f>ObesityDataSet_raw_and_data_sin!C741</f>
        <v>1.53535</v>
      </c>
      <c r="C741">
        <f>ObesityDataSet_raw_and_data_sin!D741</f>
        <v>42</v>
      </c>
      <c r="D741" t="str">
        <f>ObesityDataSet_raw_and_data_sin!Q741</f>
        <v>Insufficient_Weight</v>
      </c>
      <c r="E741" t="b">
        <f t="shared" si="45"/>
        <v>0</v>
      </c>
      <c r="F741">
        <f>C741/(B741*B741)</f>
        <v>17.816996871809412</v>
      </c>
      <c r="G741" t="str">
        <f t="shared" si="46"/>
        <v>Normal</v>
      </c>
      <c r="H741" t="str">
        <f t="shared" si="47"/>
        <v>OK</v>
      </c>
      <c r="I741" t="str">
        <f t="shared" si="44"/>
        <v>OK</v>
      </c>
    </row>
    <row r="742" spans="1:9" x14ac:dyDescent="0.2">
      <c r="A742" t="str">
        <f>ObesityDataSet_raw_and_data_sin!A742</f>
        <v>Female</v>
      </c>
      <c r="B742">
        <f>ObesityDataSet_raw_and_data_sin!C742</f>
        <v>1.5316099999999999</v>
      </c>
      <c r="C742">
        <f>ObesityDataSet_raw_and_data_sin!D742</f>
        <v>42</v>
      </c>
      <c r="D742" t="str">
        <f>ObesityDataSet_raw_and_data_sin!Q742</f>
        <v>Insufficient_Weight</v>
      </c>
      <c r="E742" t="b">
        <f t="shared" si="45"/>
        <v>0</v>
      </c>
      <c r="F742">
        <f>C742/(B742*B742)</f>
        <v>17.90411686470717</v>
      </c>
      <c r="G742" t="str">
        <f t="shared" si="46"/>
        <v>Normal</v>
      </c>
      <c r="H742" t="str">
        <f t="shared" si="47"/>
        <v>OK</v>
      </c>
      <c r="I742" t="str">
        <f t="shared" si="44"/>
        <v>OK</v>
      </c>
    </row>
    <row r="743" spans="1:9" x14ac:dyDescent="0.2">
      <c r="A743" t="str">
        <f>ObesityDataSet_raw_and_data_sin!A743</f>
        <v>Female</v>
      </c>
      <c r="B743">
        <f>ObesityDataSet_raw_and_data_sin!C743</f>
        <v>1.5256909999999999</v>
      </c>
      <c r="C743">
        <f>ObesityDataSet_raw_and_data_sin!D743</f>
        <v>42</v>
      </c>
      <c r="D743" t="str">
        <f>ObesityDataSet_raw_and_data_sin!Q743</f>
        <v>Insufficient_Weight</v>
      </c>
      <c r="E743" t="b">
        <f t="shared" si="45"/>
        <v>0</v>
      </c>
      <c r="F743">
        <f>C743/(B743*B743)</f>
        <v>18.043306300229411</v>
      </c>
      <c r="G743" t="str">
        <f t="shared" si="46"/>
        <v>Normal</v>
      </c>
      <c r="H743" t="str">
        <f t="shared" si="47"/>
        <v>OK</v>
      </c>
      <c r="I743" t="str">
        <f t="shared" si="44"/>
        <v>OK</v>
      </c>
    </row>
    <row r="744" spans="1:9" x14ac:dyDescent="0.2">
      <c r="A744" t="str">
        <f>ObesityDataSet_raw_and_data_sin!A744</f>
        <v>Male</v>
      </c>
      <c r="B744">
        <f>ObesityDataSet_raw_and_data_sin!C744</f>
        <v>1.719827</v>
      </c>
      <c r="C744">
        <f>ObesityDataSet_raw_and_data_sin!D744</f>
        <v>52.289828</v>
      </c>
      <c r="D744" t="str">
        <f>ObesityDataSet_raw_and_data_sin!Q744</f>
        <v>Insufficient_Weight</v>
      </c>
      <c r="E744" t="b">
        <f t="shared" si="45"/>
        <v>0</v>
      </c>
      <c r="F744">
        <f>C744/(B744*B744)</f>
        <v>17.678592602395533</v>
      </c>
      <c r="G744" t="str">
        <f t="shared" si="46"/>
        <v>Normal</v>
      </c>
      <c r="H744" t="str">
        <f t="shared" si="47"/>
        <v>OK</v>
      </c>
      <c r="I744" t="str">
        <f t="shared" si="44"/>
        <v>OK</v>
      </c>
    </row>
    <row r="745" spans="1:9" x14ac:dyDescent="0.2">
      <c r="A745" t="str">
        <f>ObesityDataSet_raw_and_data_sin!A745</f>
        <v>Male</v>
      </c>
      <c r="B745">
        <f>ObesityDataSet_raw_and_data_sin!C745</f>
        <v>1.7225470000000001</v>
      </c>
      <c r="C745">
        <f>ObesityDataSet_raw_and_data_sin!D745</f>
        <v>53.783977</v>
      </c>
      <c r="D745" t="str">
        <f>ObesityDataSet_raw_and_data_sin!Q745</f>
        <v>Insufficient_Weight</v>
      </c>
      <c r="E745" t="b">
        <f t="shared" si="45"/>
        <v>0</v>
      </c>
      <c r="F745">
        <f>C745/(B745*B745)</f>
        <v>18.126366275555824</v>
      </c>
      <c r="G745" t="str">
        <f t="shared" si="46"/>
        <v>Normal</v>
      </c>
      <c r="H745" t="str">
        <f t="shared" si="47"/>
        <v>OK</v>
      </c>
      <c r="I745" t="str">
        <f t="shared" si="44"/>
        <v>OK</v>
      </c>
    </row>
    <row r="746" spans="1:9" x14ac:dyDescent="0.2">
      <c r="A746" t="str">
        <f>ObesityDataSet_raw_and_data_sin!A746</f>
        <v>Male</v>
      </c>
      <c r="B746">
        <f>ObesityDataSet_raw_and_data_sin!C746</f>
        <v>1.738702</v>
      </c>
      <c r="C746">
        <f>ObesityDataSet_raw_and_data_sin!D746</f>
        <v>50.248677000000001</v>
      </c>
      <c r="D746" t="str">
        <f>ObesityDataSet_raw_and_data_sin!Q746</f>
        <v>Insufficient_Weight</v>
      </c>
      <c r="E746" t="b">
        <f t="shared" si="45"/>
        <v>0</v>
      </c>
      <c r="F746">
        <f>C746/(B746*B746)</f>
        <v>16.621657314943572</v>
      </c>
      <c r="G746" t="str">
        <f t="shared" si="46"/>
        <v>Normal</v>
      </c>
      <c r="H746" t="str">
        <f t="shared" si="47"/>
        <v>OK</v>
      </c>
      <c r="I746" t="str">
        <f t="shared" si="44"/>
        <v>OK</v>
      </c>
    </row>
    <row r="747" spans="1:9" x14ac:dyDescent="0.2">
      <c r="A747" t="str">
        <f>ObesityDataSet_raw_and_data_sin!A747</f>
        <v>Male</v>
      </c>
      <c r="B747">
        <f>ObesityDataSet_raw_and_data_sin!C747</f>
        <v>1.816298</v>
      </c>
      <c r="C747">
        <f>ObesityDataSet_raw_and_data_sin!D747</f>
        <v>86.963764999999995</v>
      </c>
      <c r="D747" t="str">
        <f>ObesityDataSet_raw_and_data_sin!Q747</f>
        <v>Overweight_Level_I</v>
      </c>
      <c r="E747" t="b">
        <f t="shared" si="45"/>
        <v>0</v>
      </c>
      <c r="F747">
        <f>C747/(B747*B747)</f>
        <v>26.361136160086645</v>
      </c>
      <c r="G747" t="str">
        <f t="shared" si="46"/>
        <v>Overweight</v>
      </c>
      <c r="H747" t="str">
        <f t="shared" si="47"/>
        <v>OK</v>
      </c>
      <c r="I747" t="str">
        <f t="shared" si="44"/>
        <v>OK</v>
      </c>
    </row>
    <row r="748" spans="1:9" x14ac:dyDescent="0.2">
      <c r="A748" t="str">
        <f>ObesityDataSet_raw_and_data_sin!A748</f>
        <v>Male</v>
      </c>
      <c r="B748">
        <f>ObesityDataSet_raw_and_data_sin!C748</f>
        <v>1.638085</v>
      </c>
      <c r="C748">
        <f>ObesityDataSet_raw_and_data_sin!D748</f>
        <v>70</v>
      </c>
      <c r="D748" t="str">
        <f>ObesityDataSet_raw_and_data_sin!Q748</f>
        <v>Overweight_Level_I</v>
      </c>
      <c r="E748" t="b">
        <f t="shared" si="45"/>
        <v>0</v>
      </c>
      <c r="F748">
        <f>C748/(B748*B748)</f>
        <v>26.087062160811257</v>
      </c>
      <c r="G748" t="str">
        <f t="shared" si="46"/>
        <v>Overweight</v>
      </c>
      <c r="H748" t="str">
        <f t="shared" si="47"/>
        <v>OK</v>
      </c>
      <c r="I748" t="str">
        <f t="shared" si="44"/>
        <v>OK</v>
      </c>
    </row>
    <row r="749" spans="1:9" x14ac:dyDescent="0.2">
      <c r="A749" t="str">
        <f>ObesityDataSet_raw_and_data_sin!A749</f>
        <v>Male</v>
      </c>
      <c r="B749">
        <f>ObesityDataSet_raw_and_data_sin!C749</f>
        <v>1.8136779999999999</v>
      </c>
      <c r="C749">
        <f>ObesityDataSet_raw_and_data_sin!D749</f>
        <v>85.637788999999998</v>
      </c>
      <c r="D749" t="str">
        <f>ObesityDataSet_raw_and_data_sin!Q749</f>
        <v>Overweight_Level_I</v>
      </c>
      <c r="E749" t="b">
        <f t="shared" si="45"/>
        <v>0</v>
      </c>
      <c r="F749">
        <f>C749/(B749*B749)</f>
        <v>26.034250308583399</v>
      </c>
      <c r="G749" t="str">
        <f t="shared" si="46"/>
        <v>Overweight</v>
      </c>
      <c r="H749" t="str">
        <f t="shared" si="47"/>
        <v>OK</v>
      </c>
      <c r="I749" t="str">
        <f t="shared" si="44"/>
        <v>OK</v>
      </c>
    </row>
    <row r="750" spans="1:9" x14ac:dyDescent="0.2">
      <c r="A750" t="str">
        <f>ObesityDataSet_raw_and_data_sin!A750</f>
        <v>Male</v>
      </c>
      <c r="B750">
        <f>ObesityDataSet_raw_and_data_sin!C750</f>
        <v>1.697228</v>
      </c>
      <c r="C750">
        <f>ObesityDataSet_raw_and_data_sin!D750</f>
        <v>75.577100000000002</v>
      </c>
      <c r="D750" t="str">
        <f>ObesityDataSet_raw_and_data_sin!Q750</f>
        <v>Overweight_Level_I</v>
      </c>
      <c r="E750" t="b">
        <f t="shared" si="45"/>
        <v>0</v>
      </c>
      <c r="F750">
        <f>C750/(B750*B750)</f>
        <v>26.236738550453666</v>
      </c>
      <c r="G750" t="str">
        <f t="shared" si="46"/>
        <v>Overweight</v>
      </c>
      <c r="H750" t="str">
        <f t="shared" si="47"/>
        <v>OK</v>
      </c>
      <c r="I750" t="str">
        <f t="shared" si="44"/>
        <v>OK</v>
      </c>
    </row>
    <row r="751" spans="1:9" x14ac:dyDescent="0.2">
      <c r="A751" t="str">
        <f>ObesityDataSet_raw_and_data_sin!A751</f>
        <v>Male</v>
      </c>
      <c r="B751">
        <f>ObesityDataSet_raw_and_data_sin!C751</f>
        <v>1.617469</v>
      </c>
      <c r="C751">
        <f>ObesityDataSet_raw_and_data_sin!D751</f>
        <v>68.869791000000006</v>
      </c>
      <c r="D751" t="str">
        <f>ObesityDataSet_raw_and_data_sin!Q751</f>
        <v>Overweight_Level_I</v>
      </c>
      <c r="E751" t="b">
        <f t="shared" si="45"/>
        <v>0</v>
      </c>
      <c r="F751">
        <f>C751/(B751*B751)</f>
        <v>26.32430011094419</v>
      </c>
      <c r="G751" t="str">
        <f t="shared" si="46"/>
        <v>Overweight</v>
      </c>
      <c r="H751" t="str">
        <f t="shared" si="47"/>
        <v>OK</v>
      </c>
      <c r="I751" t="str">
        <f t="shared" si="44"/>
        <v>OK</v>
      </c>
    </row>
    <row r="752" spans="1:9" x14ac:dyDescent="0.2">
      <c r="A752" t="str">
        <f>ObesityDataSet_raw_and_data_sin!A752</f>
        <v>Male</v>
      </c>
      <c r="B752">
        <f>ObesityDataSet_raw_and_data_sin!C752</f>
        <v>1.8555429999999999</v>
      </c>
      <c r="C752">
        <f>ObesityDataSet_raw_and_data_sin!D752</f>
        <v>88.965520999999995</v>
      </c>
      <c r="D752" t="str">
        <f>ObesityDataSet_raw_and_data_sin!Q752</f>
        <v>Overweight_Level_I</v>
      </c>
      <c r="E752" t="b">
        <f t="shared" si="45"/>
        <v>0</v>
      </c>
      <c r="F752">
        <f>C752/(B752*B752)</f>
        <v>25.839236699477247</v>
      </c>
      <c r="G752" t="str">
        <f t="shared" si="46"/>
        <v>Overweight</v>
      </c>
      <c r="H752" t="str">
        <f t="shared" si="47"/>
        <v>OK</v>
      </c>
      <c r="I752" t="str">
        <f t="shared" si="44"/>
        <v>OK</v>
      </c>
    </row>
    <row r="753" spans="1:9" x14ac:dyDescent="0.2">
      <c r="A753" t="str">
        <f>ObesityDataSet_raw_and_data_sin!A753</f>
        <v>Female</v>
      </c>
      <c r="B753">
        <f>ObesityDataSet_raw_and_data_sin!C753</f>
        <v>1.721854</v>
      </c>
      <c r="C753">
        <f>ObesityDataSet_raw_and_data_sin!D753</f>
        <v>82.919584</v>
      </c>
      <c r="D753" t="str">
        <f>ObesityDataSet_raw_and_data_sin!Q753</f>
        <v>Overweight_Level_I</v>
      </c>
      <c r="E753" t="b">
        <f t="shared" si="45"/>
        <v>0</v>
      </c>
      <c r="F753">
        <f>C753/(B753*B753)</f>
        <v>27.968196801526751</v>
      </c>
      <c r="G753" t="str">
        <f t="shared" si="46"/>
        <v>Overweight</v>
      </c>
      <c r="H753" t="str">
        <f t="shared" si="47"/>
        <v>OK</v>
      </c>
      <c r="I753" t="str">
        <f t="shared" si="44"/>
        <v>OK</v>
      </c>
    </row>
    <row r="754" spans="1:9" x14ac:dyDescent="0.2">
      <c r="A754" t="str">
        <f>ObesityDataSet_raw_and_data_sin!A754</f>
        <v>Male</v>
      </c>
      <c r="B754">
        <f>ObesityDataSet_raw_and_data_sin!C754</f>
        <v>1.855353</v>
      </c>
      <c r="C754">
        <f>ObesityDataSet_raw_and_data_sin!D754</f>
        <v>86.413387999999998</v>
      </c>
      <c r="D754" t="str">
        <f>ObesityDataSet_raw_and_data_sin!Q754</f>
        <v>Overweight_Level_I</v>
      </c>
      <c r="E754" t="b">
        <f t="shared" si="45"/>
        <v>0</v>
      </c>
      <c r="F754">
        <f>C754/(B754*B754)</f>
        <v>25.103133239525778</v>
      </c>
      <c r="G754" t="str">
        <f t="shared" si="46"/>
        <v>Overweight</v>
      </c>
      <c r="H754" t="str">
        <f t="shared" si="47"/>
        <v>OK</v>
      </c>
      <c r="I754" t="str">
        <f t="shared" si="44"/>
        <v>OK</v>
      </c>
    </row>
    <row r="755" spans="1:9" x14ac:dyDescent="0.2">
      <c r="A755" t="str">
        <f>ObesityDataSet_raw_and_data_sin!A755</f>
        <v>Male</v>
      </c>
      <c r="B755">
        <f>ObesityDataSet_raw_and_data_sin!C755</f>
        <v>1.6963360000000001</v>
      </c>
      <c r="C755">
        <f>ObesityDataSet_raw_and_data_sin!D755</f>
        <v>75</v>
      </c>
      <c r="D755" t="str">
        <f>ObesityDataSet_raw_and_data_sin!Q755</f>
        <v>Overweight_Level_I</v>
      </c>
      <c r="E755" t="b">
        <f t="shared" si="45"/>
        <v>0</v>
      </c>
      <c r="F755">
        <f>C755/(B755*B755)</f>
        <v>26.063786269971196</v>
      </c>
      <c r="G755" t="str">
        <f t="shared" si="46"/>
        <v>Overweight</v>
      </c>
      <c r="H755" t="str">
        <f t="shared" si="47"/>
        <v>OK</v>
      </c>
      <c r="I755" t="str">
        <f t="shared" si="44"/>
        <v>OK</v>
      </c>
    </row>
    <row r="756" spans="1:9" x14ac:dyDescent="0.2">
      <c r="A756" t="str">
        <f>ObesityDataSet_raw_and_data_sin!A756</f>
        <v>Female</v>
      </c>
      <c r="B756">
        <f>ObesityDataSet_raw_and_data_sin!C756</f>
        <v>1.7516309999999999</v>
      </c>
      <c r="C756">
        <f>ObesityDataSet_raw_and_data_sin!D756</f>
        <v>80</v>
      </c>
      <c r="D756" t="str">
        <f>ObesityDataSet_raw_and_data_sin!Q756</f>
        <v>Overweight_Level_I</v>
      </c>
      <c r="E756" t="b">
        <f t="shared" si="45"/>
        <v>0</v>
      </c>
      <c r="F756">
        <f>C756/(B756*B756)</f>
        <v>26.073824721960179</v>
      </c>
      <c r="G756" t="str">
        <f t="shared" si="46"/>
        <v>Overweight</v>
      </c>
      <c r="H756" t="str">
        <f t="shared" si="47"/>
        <v>OK</v>
      </c>
      <c r="I756" t="str">
        <f t="shared" si="44"/>
        <v>OK</v>
      </c>
    </row>
    <row r="757" spans="1:9" x14ac:dyDescent="0.2">
      <c r="A757" t="str">
        <f>ObesityDataSet_raw_and_data_sin!A757</f>
        <v>Male</v>
      </c>
      <c r="B757">
        <f>ObesityDataSet_raw_and_data_sin!C757</f>
        <v>1.6983459999999999</v>
      </c>
      <c r="C757">
        <f>ObesityDataSet_raw_and_data_sin!D757</f>
        <v>75</v>
      </c>
      <c r="D757" t="str">
        <f>ObesityDataSet_raw_and_data_sin!Q757</f>
        <v>Overweight_Level_I</v>
      </c>
      <c r="E757" t="b">
        <f t="shared" si="45"/>
        <v>0</v>
      </c>
      <c r="F757">
        <f>C757/(B757*B757)</f>
        <v>26.002129564490307</v>
      </c>
      <c r="G757" t="str">
        <f t="shared" si="46"/>
        <v>Overweight</v>
      </c>
      <c r="H757" t="str">
        <f t="shared" si="47"/>
        <v>OK</v>
      </c>
      <c r="I757" t="str">
        <f t="shared" si="44"/>
        <v>OK</v>
      </c>
    </row>
    <row r="758" spans="1:9" x14ac:dyDescent="0.2">
      <c r="A758" t="str">
        <f>ObesityDataSet_raw_and_data_sin!A758</f>
        <v>Female</v>
      </c>
      <c r="B758">
        <f>ObesityDataSet_raw_and_data_sin!C758</f>
        <v>1.642971</v>
      </c>
      <c r="C758">
        <f>ObesityDataSet_raw_and_data_sin!D758</f>
        <v>74.803156999999999</v>
      </c>
      <c r="D758" t="str">
        <f>ObesityDataSet_raw_and_data_sin!Q758</f>
        <v>Overweight_Level_I</v>
      </c>
      <c r="E758" t="b">
        <f t="shared" si="45"/>
        <v>0</v>
      </c>
      <c r="F758">
        <f>C758/(B758*B758)</f>
        <v>27.711506206254331</v>
      </c>
      <c r="G758" t="str">
        <f t="shared" si="46"/>
        <v>Overweight</v>
      </c>
      <c r="H758" t="str">
        <f t="shared" si="47"/>
        <v>OK</v>
      </c>
      <c r="I758" t="str">
        <f t="shared" si="44"/>
        <v>OK</v>
      </c>
    </row>
    <row r="759" spans="1:9" x14ac:dyDescent="0.2">
      <c r="A759" t="str">
        <f>ObesityDataSet_raw_and_data_sin!A759</f>
        <v>Female</v>
      </c>
      <c r="B759">
        <f>ObesityDataSet_raw_and_data_sin!C759</f>
        <v>1.6136680000000001</v>
      </c>
      <c r="C759">
        <f>ObesityDataSet_raw_and_data_sin!D759</f>
        <v>68.126954999999995</v>
      </c>
      <c r="D759" t="str">
        <f>ObesityDataSet_raw_and_data_sin!Q759</f>
        <v>Overweight_Level_I</v>
      </c>
      <c r="E759" t="b">
        <f t="shared" si="45"/>
        <v>0</v>
      </c>
      <c r="F759">
        <f>C759/(B759*B759)</f>
        <v>26.163184548620098</v>
      </c>
      <c r="G759" t="str">
        <f t="shared" si="46"/>
        <v>Overweight</v>
      </c>
      <c r="H759" t="str">
        <f t="shared" si="47"/>
        <v>OK</v>
      </c>
      <c r="I759" t="str">
        <f t="shared" si="44"/>
        <v>OK</v>
      </c>
    </row>
    <row r="760" spans="1:9" x14ac:dyDescent="0.2">
      <c r="A760" t="str">
        <f>ObesityDataSet_raw_and_data_sin!A760</f>
        <v>Male</v>
      </c>
      <c r="B760">
        <f>ObesityDataSet_raw_and_data_sin!C760</f>
        <v>1.6054040000000001</v>
      </c>
      <c r="C760">
        <f>ObesityDataSet_raw_and_data_sin!D760</f>
        <v>68.226511000000002</v>
      </c>
      <c r="D760" t="str">
        <f>ObesityDataSet_raw_and_data_sin!Q760</f>
        <v>Overweight_Level_I</v>
      </c>
      <c r="E760" t="b">
        <f t="shared" si="45"/>
        <v>0</v>
      </c>
      <c r="F760">
        <f>C760/(B760*B760)</f>
        <v>26.471861457305877</v>
      </c>
      <c r="G760" t="str">
        <f t="shared" si="46"/>
        <v>Overweight</v>
      </c>
      <c r="H760" t="str">
        <f t="shared" si="47"/>
        <v>OK</v>
      </c>
      <c r="I760" t="str">
        <f t="shared" si="44"/>
        <v>OK</v>
      </c>
    </row>
    <row r="761" spans="1:9" x14ac:dyDescent="0.2">
      <c r="A761" t="str">
        <f>ObesityDataSet_raw_and_data_sin!A761</f>
        <v>Female</v>
      </c>
      <c r="B761">
        <f>ObesityDataSet_raw_and_data_sin!C761</f>
        <v>1.5298339999999999</v>
      </c>
      <c r="C761">
        <f>ObesityDataSet_raw_and_data_sin!D761</f>
        <v>62.903937999999997</v>
      </c>
      <c r="D761" t="str">
        <f>ObesityDataSet_raw_and_data_sin!Q761</f>
        <v>Overweight_Level_I</v>
      </c>
      <c r="E761" t="b">
        <f t="shared" si="45"/>
        <v>0</v>
      </c>
      <c r="F761">
        <f>C761/(B761*B761)</f>
        <v>26.877521451219351</v>
      </c>
      <c r="G761" t="str">
        <f t="shared" si="46"/>
        <v>Overweight</v>
      </c>
      <c r="H761" t="str">
        <f t="shared" si="47"/>
        <v>OK</v>
      </c>
      <c r="I761" t="str">
        <f t="shared" si="44"/>
        <v>OK</v>
      </c>
    </row>
    <row r="762" spans="1:9" x14ac:dyDescent="0.2">
      <c r="A762" t="str">
        <f>ObesityDataSet_raw_and_data_sin!A762</f>
        <v>Female</v>
      </c>
      <c r="B762">
        <f>ObesityDataSet_raw_and_data_sin!C762</f>
        <v>1.55</v>
      </c>
      <c r="C762">
        <f>ObesityDataSet_raw_and_data_sin!D762</f>
        <v>62.337721000000002</v>
      </c>
      <c r="D762" t="str">
        <f>ObesityDataSet_raw_and_data_sin!Q762</f>
        <v>Overweight_Level_I</v>
      </c>
      <c r="E762" t="b">
        <f t="shared" si="45"/>
        <v>0</v>
      </c>
      <c r="F762">
        <f>C762/(B762*B762)</f>
        <v>25.947022268470342</v>
      </c>
      <c r="G762" t="str">
        <f t="shared" si="46"/>
        <v>Overweight</v>
      </c>
      <c r="H762" t="str">
        <f t="shared" si="47"/>
        <v>OK</v>
      </c>
      <c r="I762" t="str">
        <f t="shared" si="44"/>
        <v>OK</v>
      </c>
    </row>
    <row r="763" spans="1:9" x14ac:dyDescent="0.2">
      <c r="A763" t="str">
        <f>ObesityDataSet_raw_and_data_sin!A763</f>
        <v>Female</v>
      </c>
      <c r="B763">
        <f>ObesityDataSet_raw_and_data_sin!C763</f>
        <v>1.7312609999999999</v>
      </c>
      <c r="C763">
        <f>ObesityDataSet_raw_and_data_sin!D763</f>
        <v>78.175706000000005</v>
      </c>
      <c r="D763" t="str">
        <f>ObesityDataSet_raw_and_data_sin!Q763</f>
        <v>Overweight_Level_I</v>
      </c>
      <c r="E763" t="b">
        <f t="shared" si="45"/>
        <v>0</v>
      </c>
      <c r="F763">
        <f>C763/(B763*B763)</f>
        <v>26.082350117746209</v>
      </c>
      <c r="G763" t="str">
        <f t="shared" si="46"/>
        <v>Overweight</v>
      </c>
      <c r="H763" t="str">
        <f t="shared" si="47"/>
        <v>OK</v>
      </c>
      <c r="I763" t="str">
        <f t="shared" si="44"/>
        <v>OK</v>
      </c>
    </row>
    <row r="764" spans="1:9" x14ac:dyDescent="0.2">
      <c r="A764" t="str">
        <f>ObesityDataSet_raw_and_data_sin!A764</f>
        <v>Male</v>
      </c>
      <c r="B764">
        <f>ObesityDataSet_raw_and_data_sin!C764</f>
        <v>1.629194</v>
      </c>
      <c r="C764">
        <f>ObesityDataSet_raw_and_data_sin!D764</f>
        <v>70</v>
      </c>
      <c r="D764" t="str">
        <f>ObesityDataSet_raw_and_data_sin!Q764</f>
        <v>Overweight_Level_I</v>
      </c>
      <c r="E764" t="b">
        <f t="shared" si="45"/>
        <v>0</v>
      </c>
      <c r="F764">
        <f>C764/(B764*B764)</f>
        <v>26.372568924171855</v>
      </c>
      <c r="G764" t="str">
        <f t="shared" si="46"/>
        <v>Overweight</v>
      </c>
      <c r="H764" t="str">
        <f t="shared" si="47"/>
        <v>OK</v>
      </c>
      <c r="I764" t="str">
        <f t="shared" si="44"/>
        <v>OK</v>
      </c>
    </row>
    <row r="765" spans="1:9" x14ac:dyDescent="0.2">
      <c r="A765" t="str">
        <f>ObesityDataSet_raw_and_data_sin!A765</f>
        <v>Male</v>
      </c>
      <c r="B765">
        <f>ObesityDataSet_raw_and_data_sin!C765</f>
        <v>1.62</v>
      </c>
      <c r="C765">
        <f>ObesityDataSet_raw_and_data_sin!D765</f>
        <v>70</v>
      </c>
      <c r="D765" t="str">
        <f>ObesityDataSet_raw_and_data_sin!Q765</f>
        <v>Overweight_Level_I</v>
      </c>
      <c r="E765" t="b">
        <f t="shared" si="45"/>
        <v>0</v>
      </c>
      <c r="F765">
        <f>C765/(B765*B765)</f>
        <v>26.672763298277697</v>
      </c>
      <c r="G765" t="str">
        <f t="shared" si="46"/>
        <v>Overweight</v>
      </c>
      <c r="H765" t="str">
        <f t="shared" si="47"/>
        <v>OK</v>
      </c>
      <c r="I765" t="str">
        <f t="shared" si="44"/>
        <v>OK</v>
      </c>
    </row>
    <row r="766" spans="1:9" x14ac:dyDescent="0.2">
      <c r="A766" t="str">
        <f>ObesityDataSet_raw_and_data_sin!A766</f>
        <v>Male</v>
      </c>
      <c r="B766">
        <f>ObesityDataSet_raw_and_data_sin!C766</f>
        <v>1.62</v>
      </c>
      <c r="C766">
        <f>ObesityDataSet_raw_and_data_sin!D766</f>
        <v>70</v>
      </c>
      <c r="D766" t="str">
        <f>ObesityDataSet_raw_and_data_sin!Q766</f>
        <v>Overweight_Level_I</v>
      </c>
      <c r="E766" t="b">
        <f t="shared" si="45"/>
        <v>0</v>
      </c>
      <c r="F766">
        <f>C766/(B766*B766)</f>
        <v>26.672763298277697</v>
      </c>
      <c r="G766" t="str">
        <f t="shared" si="46"/>
        <v>Overweight</v>
      </c>
      <c r="H766" t="str">
        <f t="shared" si="47"/>
        <v>OK</v>
      </c>
      <c r="I766" t="str">
        <f t="shared" si="44"/>
        <v>OK</v>
      </c>
    </row>
    <row r="767" spans="1:9" x14ac:dyDescent="0.2">
      <c r="A767" t="str">
        <f>ObesityDataSet_raw_and_data_sin!A767</f>
        <v>Female</v>
      </c>
      <c r="B767">
        <f>ObesityDataSet_raw_and_data_sin!C767</f>
        <v>1.633491</v>
      </c>
      <c r="C767">
        <f>ObesityDataSet_raw_and_data_sin!D767</f>
        <v>68.803693999999993</v>
      </c>
      <c r="D767" t="str">
        <f>ObesityDataSet_raw_and_data_sin!Q767</f>
        <v>Overweight_Level_I</v>
      </c>
      <c r="E767" t="b">
        <f t="shared" si="45"/>
        <v>0</v>
      </c>
      <c r="F767">
        <f>C767/(B767*B767)</f>
        <v>25.785660698850329</v>
      </c>
      <c r="G767" t="str">
        <f t="shared" si="46"/>
        <v>Overweight</v>
      </c>
      <c r="H767" t="str">
        <f t="shared" si="47"/>
        <v>OK</v>
      </c>
      <c r="I767" t="str">
        <f t="shared" si="44"/>
        <v>OK</v>
      </c>
    </row>
    <row r="768" spans="1:9" x14ac:dyDescent="0.2">
      <c r="A768" t="str">
        <f>ObesityDataSet_raw_and_data_sin!A768</f>
        <v>Male</v>
      </c>
      <c r="B768">
        <f>ObesityDataSet_raw_and_data_sin!C768</f>
        <v>1.752391</v>
      </c>
      <c r="C768">
        <f>ObesityDataSet_raw_and_data_sin!D768</f>
        <v>79.109637000000006</v>
      </c>
      <c r="D768" t="str">
        <f>ObesityDataSet_raw_and_data_sin!Q768</f>
        <v>Overweight_Level_I</v>
      </c>
      <c r="E768" t="b">
        <f t="shared" si="45"/>
        <v>0</v>
      </c>
      <c r="F768">
        <f>C768/(B768*B768)</f>
        <v>25.761275588926406</v>
      </c>
      <c r="G768" t="str">
        <f t="shared" si="46"/>
        <v>Overweight</v>
      </c>
      <c r="H768" t="str">
        <f t="shared" si="47"/>
        <v>OK</v>
      </c>
      <c r="I768" t="str">
        <f t="shared" si="44"/>
        <v>OK</v>
      </c>
    </row>
    <row r="769" spans="1:9" x14ac:dyDescent="0.2">
      <c r="A769" t="str">
        <f>ObesityDataSet_raw_and_data_sin!A769</f>
        <v>Male</v>
      </c>
      <c r="B769">
        <f>ObesityDataSet_raw_and_data_sin!C769</f>
        <v>1.8182259999999999</v>
      </c>
      <c r="C769">
        <f>ObesityDataSet_raw_and_data_sin!D769</f>
        <v>85.833028999999996</v>
      </c>
      <c r="D769" t="str">
        <f>ObesityDataSet_raw_and_data_sin!Q769</f>
        <v>Overweight_Level_I</v>
      </c>
      <c r="E769" t="b">
        <f t="shared" si="45"/>
        <v>0</v>
      </c>
      <c r="F769">
        <f>C769/(B769*B769)</f>
        <v>25.963229444217983</v>
      </c>
      <c r="G769" t="str">
        <f t="shared" si="46"/>
        <v>Overweight</v>
      </c>
      <c r="H769" t="str">
        <f t="shared" si="47"/>
        <v>OK</v>
      </c>
      <c r="I769" t="str">
        <f t="shared" si="44"/>
        <v>OK</v>
      </c>
    </row>
    <row r="770" spans="1:9" x14ac:dyDescent="0.2">
      <c r="A770" t="str">
        <f>ObesityDataSet_raw_and_data_sin!A770</f>
        <v>Male</v>
      </c>
      <c r="B770">
        <f>ObesityDataSet_raw_and_data_sin!C770</f>
        <v>1.8091010000000001</v>
      </c>
      <c r="C770">
        <f>ObesityDataSet_raw_and_data_sin!D770</f>
        <v>85</v>
      </c>
      <c r="D770" t="str">
        <f>ObesityDataSet_raw_and_data_sin!Q770</f>
        <v>Overweight_Level_I</v>
      </c>
      <c r="E770" t="b">
        <f t="shared" si="45"/>
        <v>0</v>
      </c>
      <c r="F770">
        <f>C770/(B770*B770)</f>
        <v>25.97127664395861</v>
      </c>
      <c r="G770" t="str">
        <f t="shared" si="46"/>
        <v>Overweight</v>
      </c>
      <c r="H770" t="str">
        <f t="shared" si="47"/>
        <v>OK</v>
      </c>
      <c r="I770" t="str">
        <f t="shared" ref="I770:I833" si="48">IF(AND(LEFT(D770,10)="Overweight",G770&lt;&gt;"Overweight"),"ERROR","OK")</f>
        <v>OK</v>
      </c>
    </row>
    <row r="771" spans="1:9" x14ac:dyDescent="0.2">
      <c r="A771" t="str">
        <f>ObesityDataSet_raw_and_data_sin!A771</f>
        <v>Male</v>
      </c>
      <c r="B771">
        <f>ObesityDataSet_raw_and_data_sin!C771</f>
        <v>1.709484</v>
      </c>
      <c r="C771">
        <f>ObesityDataSet_raw_and_data_sin!D771</f>
        <v>75</v>
      </c>
      <c r="D771" t="str">
        <f>ObesityDataSet_raw_and_data_sin!Q771</f>
        <v>Overweight_Level_I</v>
      </c>
      <c r="E771" t="b">
        <f t="shared" ref="E771:E834" si="49">IF(AND(A771="Female", B771&lt;1.5), TRUE, IF(AND(A771="Male",B771&lt;1.6),TRUE, FALSE))</f>
        <v>0</v>
      </c>
      <c r="F771">
        <f>C771/(B771*B771)</f>
        <v>25.664403971709387</v>
      </c>
      <c r="G771" t="str">
        <f t="shared" ref="G771:G834" si="50">IF(E771=TRUE,IF(F771&lt;23,"Normal",IF(F771&lt;25,"Overweight","Obese")),IF(F771&lt;25,"Normal",IF(F771&lt;30,"Overweight","Obese")))</f>
        <v>Overweight</v>
      </c>
      <c r="H771" t="str">
        <f t="shared" ref="H771:H834" si="51">IF(AND(D771="Normal_Weight",G771&lt;&gt;"Normal"),"ERROR","OK")</f>
        <v>OK</v>
      </c>
      <c r="I771" t="str">
        <f t="shared" si="48"/>
        <v>OK</v>
      </c>
    </row>
    <row r="772" spans="1:9" x14ac:dyDescent="0.2">
      <c r="A772" t="str">
        <f>ObesityDataSet_raw_and_data_sin!A772</f>
        <v>Male</v>
      </c>
      <c r="B772">
        <f>ObesityDataSet_raw_and_data_sin!C772</f>
        <v>1.6070819999999999</v>
      </c>
      <c r="C772">
        <f>ObesityDataSet_raw_and_data_sin!D772</f>
        <v>67.722222000000002</v>
      </c>
      <c r="D772" t="str">
        <f>ObesityDataSet_raw_and_data_sin!Q772</f>
        <v>Overweight_Level_I</v>
      </c>
      <c r="E772" t="b">
        <f t="shared" si="49"/>
        <v>0</v>
      </c>
      <c r="F772">
        <f>C772/(B772*B772)</f>
        <v>26.221354705590574</v>
      </c>
      <c r="G772" t="str">
        <f t="shared" si="50"/>
        <v>Overweight</v>
      </c>
      <c r="H772" t="str">
        <f t="shared" si="51"/>
        <v>OK</v>
      </c>
      <c r="I772" t="str">
        <f t="shared" si="48"/>
        <v>OK</v>
      </c>
    </row>
    <row r="773" spans="1:9" x14ac:dyDescent="0.2">
      <c r="A773" t="str">
        <f>ObesityDataSet_raw_and_data_sin!A773</f>
        <v>Female</v>
      </c>
      <c r="B773">
        <f>ObesityDataSet_raw_and_data_sin!C773</f>
        <v>1.718939</v>
      </c>
      <c r="C773">
        <f>ObesityDataSet_raw_and_data_sin!D773</f>
        <v>75.951471999999995</v>
      </c>
      <c r="D773" t="str">
        <f>ObesityDataSet_raw_and_data_sin!Q773</f>
        <v>Overweight_Level_I</v>
      </c>
      <c r="E773" t="b">
        <f t="shared" si="49"/>
        <v>0</v>
      </c>
      <c r="F773">
        <f>C773/(B773*B773)</f>
        <v>25.704861308306967</v>
      </c>
      <c r="G773" t="str">
        <f t="shared" si="50"/>
        <v>Overweight</v>
      </c>
      <c r="H773" t="str">
        <f t="shared" si="51"/>
        <v>OK</v>
      </c>
      <c r="I773" t="str">
        <f t="shared" si="48"/>
        <v>OK</v>
      </c>
    </row>
    <row r="774" spans="1:9" x14ac:dyDescent="0.2">
      <c r="A774" t="str">
        <f>ObesityDataSet_raw_and_data_sin!A774</f>
        <v>Male</v>
      </c>
      <c r="B774">
        <f>ObesityDataSet_raw_and_data_sin!C774</f>
        <v>1.8313569999999999</v>
      </c>
      <c r="C774">
        <f>ObesityDataSet_raw_and_data_sin!D774</f>
        <v>89.652557000000002</v>
      </c>
      <c r="D774" t="str">
        <f>ObesityDataSet_raw_and_data_sin!Q774</f>
        <v>Overweight_Level_I</v>
      </c>
      <c r="E774" t="b">
        <f t="shared" si="49"/>
        <v>0</v>
      </c>
      <c r="F774">
        <f>C774/(B774*B774)</f>
        <v>26.731089197596813</v>
      </c>
      <c r="G774" t="str">
        <f t="shared" si="50"/>
        <v>Overweight</v>
      </c>
      <c r="H774" t="str">
        <f t="shared" si="51"/>
        <v>OK</v>
      </c>
      <c r="I774" t="str">
        <f t="shared" si="48"/>
        <v>OK</v>
      </c>
    </row>
    <row r="775" spans="1:9" x14ac:dyDescent="0.2">
      <c r="A775" t="str">
        <f>ObesityDataSet_raw_and_data_sin!A775</f>
        <v>Female</v>
      </c>
      <c r="B775">
        <f>ObesityDataSet_raw_and_data_sin!C775</f>
        <v>1.6</v>
      </c>
      <c r="C775">
        <f>ObesityDataSet_raw_and_data_sin!D775</f>
        <v>66.401407000000006</v>
      </c>
      <c r="D775" t="str">
        <f>ObesityDataSet_raw_and_data_sin!Q775</f>
        <v>Overweight_Level_I</v>
      </c>
      <c r="E775" t="b">
        <f t="shared" si="49"/>
        <v>0</v>
      </c>
      <c r="F775">
        <f>C775/(B775*B775)</f>
        <v>25.938049609374996</v>
      </c>
      <c r="G775" t="str">
        <f t="shared" si="50"/>
        <v>Overweight</v>
      </c>
      <c r="H775" t="str">
        <f t="shared" si="51"/>
        <v>OK</v>
      </c>
      <c r="I775" t="str">
        <f t="shared" si="48"/>
        <v>OK</v>
      </c>
    </row>
    <row r="776" spans="1:9" x14ac:dyDescent="0.2">
      <c r="A776" t="str">
        <f>ObesityDataSet_raw_and_data_sin!A776</f>
        <v>Female</v>
      </c>
      <c r="B776">
        <f>ObesityDataSet_raw_and_data_sin!C776</f>
        <v>1.754813</v>
      </c>
      <c r="C776">
        <f>ObesityDataSet_raw_and_data_sin!D776</f>
        <v>77.929203999999999</v>
      </c>
      <c r="D776" t="str">
        <f>ObesityDataSet_raw_and_data_sin!Q776</f>
        <v>Overweight_Level_I</v>
      </c>
      <c r="E776" t="b">
        <f t="shared" si="49"/>
        <v>0</v>
      </c>
      <c r="F776">
        <f>C776/(B776*B776)</f>
        <v>25.306876986352822</v>
      </c>
      <c r="G776" t="str">
        <f t="shared" si="50"/>
        <v>Overweight</v>
      </c>
      <c r="H776" t="str">
        <f t="shared" si="51"/>
        <v>OK</v>
      </c>
      <c r="I776" t="str">
        <f t="shared" si="48"/>
        <v>OK</v>
      </c>
    </row>
    <row r="777" spans="1:9" x14ac:dyDescent="0.2">
      <c r="A777" t="str">
        <f>ObesityDataSet_raw_and_data_sin!A777</f>
        <v>Male</v>
      </c>
      <c r="B777">
        <f>ObesityDataSet_raw_and_data_sin!C777</f>
        <v>1.7784469999999999</v>
      </c>
      <c r="C777">
        <f>ObesityDataSet_raw_and_data_sin!D777</f>
        <v>80.273807000000005</v>
      </c>
      <c r="D777" t="str">
        <f>ObesityDataSet_raw_and_data_sin!Q777</f>
        <v>Overweight_Level_I</v>
      </c>
      <c r="E777" t="b">
        <f t="shared" si="49"/>
        <v>0</v>
      </c>
      <c r="F777">
        <f>C777/(B777*B777)</f>
        <v>25.380022665048838</v>
      </c>
      <c r="G777" t="str">
        <f t="shared" si="50"/>
        <v>Overweight</v>
      </c>
      <c r="H777" t="str">
        <f t="shared" si="51"/>
        <v>OK</v>
      </c>
      <c r="I777" t="str">
        <f t="shared" si="48"/>
        <v>OK</v>
      </c>
    </row>
    <row r="778" spans="1:9" x14ac:dyDescent="0.2">
      <c r="A778" t="str">
        <f>ObesityDataSet_raw_and_data_sin!A778</f>
        <v>Male</v>
      </c>
      <c r="B778">
        <f>ObesityDataSet_raw_and_data_sin!C778</f>
        <v>1.7095610000000001</v>
      </c>
      <c r="C778">
        <f>ObesityDataSet_raw_and_data_sin!D778</f>
        <v>75</v>
      </c>
      <c r="D778" t="str">
        <f>ObesityDataSet_raw_and_data_sin!Q778</f>
        <v>Overweight_Level_I</v>
      </c>
      <c r="E778" t="b">
        <f t="shared" si="49"/>
        <v>0</v>
      </c>
      <c r="F778">
        <f>C778/(B778*B778)</f>
        <v>25.662092133053811</v>
      </c>
      <c r="G778" t="str">
        <f t="shared" si="50"/>
        <v>Overweight</v>
      </c>
      <c r="H778" t="str">
        <f t="shared" si="51"/>
        <v>OK</v>
      </c>
      <c r="I778" t="str">
        <f t="shared" si="48"/>
        <v>OK</v>
      </c>
    </row>
    <row r="779" spans="1:9" x14ac:dyDescent="0.2">
      <c r="A779" t="str">
        <f>ObesityDataSet_raw_and_data_sin!A779</f>
        <v>Female</v>
      </c>
      <c r="B779">
        <f>ObesityDataSet_raw_and_data_sin!C779</f>
        <v>1.6745680000000001</v>
      </c>
      <c r="C779">
        <f>ObesityDataSet_raw_and_data_sin!D779</f>
        <v>71.602621999999997</v>
      </c>
      <c r="D779" t="str">
        <f>ObesityDataSet_raw_and_data_sin!Q779</f>
        <v>Overweight_Level_I</v>
      </c>
      <c r="E779" t="b">
        <f t="shared" si="49"/>
        <v>0</v>
      </c>
      <c r="F779">
        <f>C779/(B779*B779)</f>
        <v>25.534264351815867</v>
      </c>
      <c r="G779" t="str">
        <f t="shared" si="50"/>
        <v>Overweight</v>
      </c>
      <c r="H779" t="str">
        <f t="shared" si="51"/>
        <v>OK</v>
      </c>
      <c r="I779" t="str">
        <f t="shared" si="48"/>
        <v>OK</v>
      </c>
    </row>
    <row r="780" spans="1:9" x14ac:dyDescent="0.2">
      <c r="A780" t="str">
        <f>ObesityDataSet_raw_and_data_sin!A780</f>
        <v>Male</v>
      </c>
      <c r="B780">
        <f>ObesityDataSet_raw_and_data_sin!C780</f>
        <v>1.755317</v>
      </c>
      <c r="C780">
        <f>ObesityDataSet_raw_and_data_sin!D780</f>
        <v>82.228793999999994</v>
      </c>
      <c r="D780" t="str">
        <f>ObesityDataSet_raw_and_data_sin!Q780</f>
        <v>Overweight_Level_I</v>
      </c>
      <c r="E780" t="b">
        <f t="shared" si="49"/>
        <v>0</v>
      </c>
      <c r="F780">
        <f>C780/(B780*B780)</f>
        <v>26.687801755437132</v>
      </c>
      <c r="G780" t="str">
        <f t="shared" si="50"/>
        <v>Overweight</v>
      </c>
      <c r="H780" t="str">
        <f t="shared" si="51"/>
        <v>OK</v>
      </c>
      <c r="I780" t="str">
        <f t="shared" si="48"/>
        <v>OK</v>
      </c>
    </row>
    <row r="781" spans="1:9" x14ac:dyDescent="0.2">
      <c r="A781" t="str">
        <f>ObesityDataSet_raw_and_data_sin!A781</f>
        <v>Male</v>
      </c>
      <c r="B781">
        <f>ObesityDataSet_raw_and_data_sin!C781</f>
        <v>1.7080709999999999</v>
      </c>
      <c r="C781">
        <f>ObesityDataSet_raw_and_data_sin!D781</f>
        <v>75</v>
      </c>
      <c r="D781" t="str">
        <f>ObesityDataSet_raw_and_data_sin!Q781</f>
        <v>Overweight_Level_I</v>
      </c>
      <c r="E781" t="b">
        <f t="shared" si="49"/>
        <v>0</v>
      </c>
      <c r="F781">
        <f>C781/(B781*B781)</f>
        <v>25.706883239150905</v>
      </c>
      <c r="G781" t="str">
        <f t="shared" si="50"/>
        <v>Overweight</v>
      </c>
      <c r="H781" t="str">
        <f t="shared" si="51"/>
        <v>OK</v>
      </c>
      <c r="I781" t="str">
        <f t="shared" si="48"/>
        <v>OK</v>
      </c>
    </row>
    <row r="782" spans="1:9" x14ac:dyDescent="0.2">
      <c r="A782" t="str">
        <f>ObesityDataSet_raw_and_data_sin!A782</f>
        <v>Male</v>
      </c>
      <c r="B782">
        <f>ObesityDataSet_raw_and_data_sin!C782</f>
        <v>1.8069470000000001</v>
      </c>
      <c r="C782">
        <f>ObesityDataSet_raw_and_data_sin!D782</f>
        <v>85.079588999999999</v>
      </c>
      <c r="D782" t="str">
        <f>ObesityDataSet_raw_and_data_sin!Q782</f>
        <v>Overweight_Level_I</v>
      </c>
      <c r="E782" t="b">
        <f t="shared" si="49"/>
        <v>0</v>
      </c>
      <c r="F782">
        <f>C782/(B782*B782)</f>
        <v>26.057608486595939</v>
      </c>
      <c r="G782" t="str">
        <f t="shared" si="50"/>
        <v>Overweight</v>
      </c>
      <c r="H782" t="str">
        <f t="shared" si="51"/>
        <v>OK</v>
      </c>
      <c r="I782" t="str">
        <f t="shared" si="48"/>
        <v>OK</v>
      </c>
    </row>
    <row r="783" spans="1:9" x14ac:dyDescent="0.2">
      <c r="A783" t="str">
        <f>ObesityDataSet_raw_and_data_sin!A783</f>
        <v>Female</v>
      </c>
      <c r="B783">
        <f>ObesityDataSet_raw_and_data_sin!C783</f>
        <v>1.5996969999999999</v>
      </c>
      <c r="C783">
        <f>ObesityDataSet_raw_and_data_sin!D783</f>
        <v>64.808021999999994</v>
      </c>
      <c r="D783" t="str">
        <f>ObesityDataSet_raw_and_data_sin!Q783</f>
        <v>Overweight_Level_I</v>
      </c>
      <c r="E783" t="b">
        <f t="shared" si="49"/>
        <v>0</v>
      </c>
      <c r="F783">
        <f>C783/(B783*B783)</f>
        <v>25.325224614336921</v>
      </c>
      <c r="G783" t="str">
        <f t="shared" si="50"/>
        <v>Overweight</v>
      </c>
      <c r="H783" t="str">
        <f t="shared" si="51"/>
        <v>OK</v>
      </c>
      <c r="I783" t="str">
        <f t="shared" si="48"/>
        <v>OK</v>
      </c>
    </row>
    <row r="784" spans="1:9" x14ac:dyDescent="0.2">
      <c r="A784" t="str">
        <f>ObesityDataSet_raw_and_data_sin!A784</f>
        <v>Female</v>
      </c>
      <c r="B784">
        <f>ObesityDataSet_raw_and_data_sin!C784</f>
        <v>1.721903</v>
      </c>
      <c r="C784">
        <f>ObesityDataSet_raw_and_data_sin!D784</f>
        <v>72.748902999999999</v>
      </c>
      <c r="D784" t="str">
        <f>ObesityDataSet_raw_and_data_sin!Q784</f>
        <v>Overweight_Level_I</v>
      </c>
      <c r="E784" t="b">
        <f t="shared" si="49"/>
        <v>0</v>
      </c>
      <c r="F784">
        <f>C784/(B784*B784)</f>
        <v>24.536300591108244</v>
      </c>
      <c r="G784" t="str">
        <f t="shared" si="50"/>
        <v>Normal</v>
      </c>
      <c r="H784" t="str">
        <f t="shared" si="51"/>
        <v>OK</v>
      </c>
      <c r="I784" t="str">
        <f t="shared" si="48"/>
        <v>ERROR</v>
      </c>
    </row>
    <row r="785" spans="1:9" x14ac:dyDescent="0.2">
      <c r="A785" t="str">
        <f>ObesityDataSet_raw_and_data_sin!A785</f>
        <v>Male</v>
      </c>
      <c r="B785">
        <f>ObesityDataSet_raw_and_data_sin!C785</f>
        <v>1.712556</v>
      </c>
      <c r="C785">
        <f>ObesityDataSet_raw_and_data_sin!D785</f>
        <v>75.480763999999994</v>
      </c>
      <c r="D785" t="str">
        <f>ObesityDataSet_raw_and_data_sin!Q785</f>
        <v>Overweight_Level_I</v>
      </c>
      <c r="E785" t="b">
        <f t="shared" si="49"/>
        <v>0</v>
      </c>
      <c r="F785">
        <f>C785/(B785*B785)</f>
        <v>25.736336363996369</v>
      </c>
      <c r="G785" t="str">
        <f t="shared" si="50"/>
        <v>Overweight</v>
      </c>
      <c r="H785" t="str">
        <f t="shared" si="51"/>
        <v>OK</v>
      </c>
      <c r="I785" t="str">
        <f t="shared" si="48"/>
        <v>OK</v>
      </c>
    </row>
    <row r="786" spans="1:9" x14ac:dyDescent="0.2">
      <c r="A786" t="str">
        <f>ObesityDataSet_raw_and_data_sin!A786</f>
        <v>Female</v>
      </c>
      <c r="B786">
        <f>ObesityDataSet_raw_and_data_sin!C786</f>
        <v>1.551288</v>
      </c>
      <c r="C786">
        <f>ObesityDataSet_raw_and_data_sin!D786</f>
        <v>54.93242</v>
      </c>
      <c r="D786" t="str">
        <f>ObesityDataSet_raw_and_data_sin!Q786</f>
        <v>Overweight_Level_I</v>
      </c>
      <c r="E786" t="b">
        <f t="shared" si="49"/>
        <v>0</v>
      </c>
      <c r="F786">
        <f>C786/(B786*B786)</f>
        <v>22.826738618008303</v>
      </c>
      <c r="G786" t="str">
        <f t="shared" si="50"/>
        <v>Normal</v>
      </c>
      <c r="H786" t="str">
        <f t="shared" si="51"/>
        <v>OK</v>
      </c>
      <c r="I786" t="str">
        <f t="shared" si="48"/>
        <v>ERROR</v>
      </c>
    </row>
    <row r="787" spans="1:9" x14ac:dyDescent="0.2">
      <c r="A787" t="str">
        <f>ObesityDataSet_raw_and_data_sin!A787</f>
        <v>Female</v>
      </c>
      <c r="B787">
        <f>ObesityDataSet_raw_and_data_sin!C787</f>
        <v>1.603842</v>
      </c>
      <c r="C787">
        <f>ObesityDataSet_raw_and_data_sin!D787</f>
        <v>65</v>
      </c>
      <c r="D787" t="str">
        <f>ObesityDataSet_raw_and_data_sin!Q787</f>
        <v>Overweight_Level_I</v>
      </c>
      <c r="E787" t="b">
        <f t="shared" si="49"/>
        <v>0</v>
      </c>
      <c r="F787">
        <f>C787/(B787*B787)</f>
        <v>25.269124328601528</v>
      </c>
      <c r="G787" t="str">
        <f t="shared" si="50"/>
        <v>Overweight</v>
      </c>
      <c r="H787" t="str">
        <f t="shared" si="51"/>
        <v>OK</v>
      </c>
      <c r="I787" t="str">
        <f t="shared" si="48"/>
        <v>OK</v>
      </c>
    </row>
    <row r="788" spans="1:9" x14ac:dyDescent="0.2">
      <c r="A788" t="str">
        <f>ObesityDataSet_raw_and_data_sin!A788</f>
        <v>Female</v>
      </c>
      <c r="B788">
        <f>ObesityDataSet_raw_and_data_sin!C788</f>
        <v>1.588597</v>
      </c>
      <c r="C788">
        <f>ObesityDataSet_raw_and_data_sin!D788</f>
        <v>62.339002999999998</v>
      </c>
      <c r="D788" t="str">
        <f>ObesityDataSet_raw_and_data_sin!Q788</f>
        <v>Overweight_Level_I</v>
      </c>
      <c r="E788" t="b">
        <f t="shared" si="49"/>
        <v>0</v>
      </c>
      <c r="F788">
        <f>C788/(B788*B788)</f>
        <v>24.702014715821026</v>
      </c>
      <c r="G788" t="str">
        <f t="shared" si="50"/>
        <v>Normal</v>
      </c>
      <c r="H788" t="str">
        <f t="shared" si="51"/>
        <v>OK</v>
      </c>
      <c r="I788" t="str">
        <f t="shared" si="48"/>
        <v>ERROR</v>
      </c>
    </row>
    <row r="789" spans="1:9" x14ac:dyDescent="0.2">
      <c r="A789" t="str">
        <f>ObesityDataSet_raw_and_data_sin!A789</f>
        <v>Female</v>
      </c>
      <c r="B789">
        <f>ObesityDataSet_raw_and_data_sin!C789</f>
        <v>1.6734819999999999</v>
      </c>
      <c r="C789">
        <f>ObesityDataSet_raw_and_data_sin!D789</f>
        <v>73.193589000000003</v>
      </c>
      <c r="D789" t="str">
        <f>ObesityDataSet_raw_and_data_sin!Q789</f>
        <v>Overweight_Level_I</v>
      </c>
      <c r="E789" t="b">
        <f t="shared" si="49"/>
        <v>0</v>
      </c>
      <c r="F789">
        <f>C789/(B789*B789)</f>
        <v>26.13550837194731</v>
      </c>
      <c r="G789" t="str">
        <f t="shared" si="50"/>
        <v>Overweight</v>
      </c>
      <c r="H789" t="str">
        <f t="shared" si="51"/>
        <v>OK</v>
      </c>
      <c r="I789" t="str">
        <f t="shared" si="48"/>
        <v>OK</v>
      </c>
    </row>
    <row r="790" spans="1:9" x14ac:dyDescent="0.2">
      <c r="A790" t="str">
        <f>ObesityDataSet_raw_and_data_sin!A790</f>
        <v>Male</v>
      </c>
      <c r="B790">
        <f>ObesityDataSet_raw_and_data_sin!C790</f>
        <v>1.8586240000000001</v>
      </c>
      <c r="C790">
        <f>ObesityDataSet_raw_and_data_sin!D790</f>
        <v>88.675503000000006</v>
      </c>
      <c r="D790" t="str">
        <f>ObesityDataSet_raw_and_data_sin!Q790</f>
        <v>Overweight_Level_I</v>
      </c>
      <c r="E790" t="b">
        <f t="shared" si="49"/>
        <v>0</v>
      </c>
      <c r="F790">
        <f>C790/(B790*B790)</f>
        <v>25.669687345253191</v>
      </c>
      <c r="G790" t="str">
        <f t="shared" si="50"/>
        <v>Overweight</v>
      </c>
      <c r="H790" t="str">
        <f t="shared" si="51"/>
        <v>OK</v>
      </c>
      <c r="I790" t="str">
        <f t="shared" si="48"/>
        <v>OK</v>
      </c>
    </row>
    <row r="791" spans="1:9" x14ac:dyDescent="0.2">
      <c r="A791" t="str">
        <f>ObesityDataSet_raw_and_data_sin!A791</f>
        <v>Female</v>
      </c>
      <c r="B791">
        <f>ObesityDataSet_raw_and_data_sin!C791</f>
        <v>1.5938939999999999</v>
      </c>
      <c r="C791">
        <f>ObesityDataSet_raw_and_data_sin!D791</f>
        <v>63.320628999999997</v>
      </c>
      <c r="D791" t="str">
        <f>ObesityDataSet_raw_and_data_sin!Q791</f>
        <v>Overweight_Level_I</v>
      </c>
      <c r="E791" t="b">
        <f t="shared" si="49"/>
        <v>0</v>
      </c>
      <c r="F791">
        <f>C791/(B791*B791)</f>
        <v>24.924493908432453</v>
      </c>
      <c r="G791" t="str">
        <f t="shared" si="50"/>
        <v>Normal</v>
      </c>
      <c r="H791" t="str">
        <f t="shared" si="51"/>
        <v>OK</v>
      </c>
      <c r="I791" t="str">
        <f t="shared" si="48"/>
        <v>ERROR</v>
      </c>
    </row>
    <row r="792" spans="1:9" x14ac:dyDescent="0.2">
      <c r="A792" t="str">
        <f>ObesityDataSet_raw_and_data_sin!A792</f>
        <v>Male</v>
      </c>
      <c r="B792">
        <f>ObesityDataSet_raw_and_data_sin!C792</f>
        <v>1.62</v>
      </c>
      <c r="C792">
        <f>ObesityDataSet_raw_and_data_sin!D792</f>
        <v>69.529624999999996</v>
      </c>
      <c r="D792" t="str">
        <f>ObesityDataSet_raw_and_data_sin!Q792</f>
        <v>Overweight_Level_I</v>
      </c>
      <c r="E792" t="b">
        <f t="shared" si="49"/>
        <v>0</v>
      </c>
      <c r="F792">
        <f>C792/(B792*B792)</f>
        <v>26.493531854900162</v>
      </c>
      <c r="G792" t="str">
        <f t="shared" si="50"/>
        <v>Overweight</v>
      </c>
      <c r="H792" t="str">
        <f t="shared" si="51"/>
        <v>OK</v>
      </c>
      <c r="I792" t="str">
        <f t="shared" si="48"/>
        <v>OK</v>
      </c>
    </row>
    <row r="793" spans="1:9" x14ac:dyDescent="0.2">
      <c r="A793" t="str">
        <f>ObesityDataSet_raw_and_data_sin!A793</f>
        <v>Female</v>
      </c>
      <c r="B793">
        <f>ObesityDataSet_raw_and_data_sin!C793</f>
        <v>1.616366</v>
      </c>
      <c r="C793">
        <f>ObesityDataSet_raw_and_data_sin!D793</f>
        <v>67.183127999999996</v>
      </c>
      <c r="D793" t="str">
        <f>ObesityDataSet_raw_and_data_sin!Q793</f>
        <v>Overweight_Level_I</v>
      </c>
      <c r="E793" t="b">
        <f t="shared" si="49"/>
        <v>0</v>
      </c>
      <c r="F793">
        <f>C793/(B793*B793)</f>
        <v>25.714661236495751</v>
      </c>
      <c r="G793" t="str">
        <f t="shared" si="50"/>
        <v>Overweight</v>
      </c>
      <c r="H793" t="str">
        <f t="shared" si="51"/>
        <v>OK</v>
      </c>
      <c r="I793" t="str">
        <f t="shared" si="48"/>
        <v>OK</v>
      </c>
    </row>
    <row r="794" spans="1:9" x14ac:dyDescent="0.2">
      <c r="A794" t="str">
        <f>ObesityDataSet_raw_and_data_sin!A794</f>
        <v>Female</v>
      </c>
      <c r="B794">
        <f>ObesityDataSet_raw_and_data_sin!C794</f>
        <v>1.6373960000000001</v>
      </c>
      <c r="C794">
        <f>ObesityDataSet_raw_and_data_sin!D794</f>
        <v>70</v>
      </c>
      <c r="D794" t="str">
        <f>ObesityDataSet_raw_and_data_sin!Q794</f>
        <v>Overweight_Level_I</v>
      </c>
      <c r="E794" t="b">
        <f t="shared" si="49"/>
        <v>0</v>
      </c>
      <c r="F794">
        <f>C794/(B794*B794)</f>
        <v>26.109021134042287</v>
      </c>
      <c r="G794" t="str">
        <f t="shared" si="50"/>
        <v>Overweight</v>
      </c>
      <c r="H794" t="str">
        <f t="shared" si="51"/>
        <v>OK</v>
      </c>
      <c r="I794" t="str">
        <f t="shared" si="48"/>
        <v>OK</v>
      </c>
    </row>
    <row r="795" spans="1:9" x14ac:dyDescent="0.2">
      <c r="A795" t="str">
        <f>ObesityDataSet_raw_and_data_sin!A795</f>
        <v>Female</v>
      </c>
      <c r="B795">
        <f>ObesityDataSet_raw_and_data_sin!C795</f>
        <v>1.5507230000000001</v>
      </c>
      <c r="C795">
        <f>ObesityDataSet_raw_and_data_sin!D795</f>
        <v>60.628321</v>
      </c>
      <c r="D795" t="str">
        <f>ObesityDataSet_raw_and_data_sin!Q795</f>
        <v>Overweight_Level_I</v>
      </c>
      <c r="E795" t="b">
        <f t="shared" si="49"/>
        <v>0</v>
      </c>
      <c r="F795">
        <f>C795/(B795*B795)</f>
        <v>25.211987593410957</v>
      </c>
      <c r="G795" t="str">
        <f t="shared" si="50"/>
        <v>Overweight</v>
      </c>
      <c r="H795" t="str">
        <f t="shared" si="51"/>
        <v>OK</v>
      </c>
      <c r="I795" t="str">
        <f t="shared" si="48"/>
        <v>OK</v>
      </c>
    </row>
    <row r="796" spans="1:9" x14ac:dyDescent="0.2">
      <c r="A796" t="str">
        <f>ObesityDataSet_raw_and_data_sin!A796</f>
        <v>Female</v>
      </c>
      <c r="B796">
        <f>ObesityDataSet_raw_and_data_sin!C796</f>
        <v>1.6</v>
      </c>
      <c r="C796">
        <f>ObesityDataSet_raw_and_data_sin!D796</f>
        <v>65</v>
      </c>
      <c r="D796" t="str">
        <f>ObesityDataSet_raw_and_data_sin!Q796</f>
        <v>Overweight_Level_I</v>
      </c>
      <c r="E796" t="b">
        <f t="shared" si="49"/>
        <v>0</v>
      </c>
      <c r="F796">
        <f>C796/(B796*B796)</f>
        <v>25.390624999999996</v>
      </c>
      <c r="G796" t="str">
        <f t="shared" si="50"/>
        <v>Overweight</v>
      </c>
      <c r="H796" t="str">
        <f t="shared" si="51"/>
        <v>OK</v>
      </c>
      <c r="I796" t="str">
        <f t="shared" si="48"/>
        <v>OK</v>
      </c>
    </row>
    <row r="797" spans="1:9" x14ac:dyDescent="0.2">
      <c r="A797" t="str">
        <f>ObesityDataSet_raw_and_data_sin!A797</f>
        <v>Male</v>
      </c>
      <c r="B797">
        <f>ObesityDataSet_raw_and_data_sin!C797</f>
        <v>1.820471</v>
      </c>
      <c r="C797">
        <f>ObesityDataSet_raw_and_data_sin!D797</f>
        <v>87.668828000000005</v>
      </c>
      <c r="D797" t="str">
        <f>ObesityDataSet_raw_and_data_sin!Q797</f>
        <v>Overweight_Level_I</v>
      </c>
      <c r="E797" t="b">
        <f t="shared" si="49"/>
        <v>0</v>
      </c>
      <c r="F797">
        <f>C797/(B797*B797)</f>
        <v>26.453166816895745</v>
      </c>
      <c r="G797" t="str">
        <f t="shared" si="50"/>
        <v>Overweight</v>
      </c>
      <c r="H797" t="str">
        <f t="shared" si="51"/>
        <v>OK</v>
      </c>
      <c r="I797" t="str">
        <f t="shared" si="48"/>
        <v>OK</v>
      </c>
    </row>
    <row r="798" spans="1:9" x14ac:dyDescent="0.2">
      <c r="A798" t="str">
        <f>ObesityDataSet_raw_and_data_sin!A798</f>
        <v>Female</v>
      </c>
      <c r="B798">
        <f>ObesityDataSet_raw_and_data_sin!C798</f>
        <v>1.6574960000000001</v>
      </c>
      <c r="C798">
        <f>ObesityDataSet_raw_and_data_sin!D798</f>
        <v>73.641632999999999</v>
      </c>
      <c r="D798" t="str">
        <f>ObesityDataSet_raw_and_data_sin!Q798</f>
        <v>Overweight_Level_I</v>
      </c>
      <c r="E798" t="b">
        <f t="shared" si="49"/>
        <v>0</v>
      </c>
      <c r="F798">
        <f>C798/(B798*B798)</f>
        <v>26.805161760184564</v>
      </c>
      <c r="G798" t="str">
        <f t="shared" si="50"/>
        <v>Overweight</v>
      </c>
      <c r="H798" t="str">
        <f t="shared" si="51"/>
        <v>OK</v>
      </c>
      <c r="I798" t="str">
        <f t="shared" si="48"/>
        <v>OK</v>
      </c>
    </row>
    <row r="799" spans="1:9" x14ac:dyDescent="0.2">
      <c r="A799" t="str">
        <f>ObesityDataSet_raw_and_data_sin!A799</f>
        <v>Male</v>
      </c>
      <c r="B799">
        <f>ObesityDataSet_raw_and_data_sin!C799</f>
        <v>1.7521230000000001</v>
      </c>
      <c r="C799">
        <f>ObesityDataSet_raw_and_data_sin!D799</f>
        <v>80</v>
      </c>
      <c r="D799" t="str">
        <f>ObesityDataSet_raw_and_data_sin!Q799</f>
        <v>Overweight_Level_I</v>
      </c>
      <c r="E799" t="b">
        <f t="shared" si="49"/>
        <v>0</v>
      </c>
      <c r="F799">
        <f>C799/(B799*B799)</f>
        <v>26.059183602983151</v>
      </c>
      <c r="G799" t="str">
        <f t="shared" si="50"/>
        <v>Overweight</v>
      </c>
      <c r="H799" t="str">
        <f t="shared" si="51"/>
        <v>OK</v>
      </c>
      <c r="I799" t="str">
        <f t="shared" si="48"/>
        <v>OK</v>
      </c>
    </row>
    <row r="800" spans="1:9" x14ac:dyDescent="0.2">
      <c r="A800" t="str">
        <f>ObesityDataSet_raw_and_data_sin!A800</f>
        <v>Male</v>
      </c>
      <c r="B800">
        <f>ObesityDataSet_raw_and_data_sin!C800</f>
        <v>1.8572310000000001</v>
      </c>
      <c r="C800">
        <f>ObesityDataSet_raw_and_data_sin!D800</f>
        <v>88.138777000000005</v>
      </c>
      <c r="D800" t="str">
        <f>ObesityDataSet_raw_and_data_sin!Q800</f>
        <v>Overweight_Level_I</v>
      </c>
      <c r="E800" t="b">
        <f t="shared" si="49"/>
        <v>0</v>
      </c>
      <c r="F800">
        <f>C800/(B800*B800)</f>
        <v>25.552604428356002</v>
      </c>
      <c r="G800" t="str">
        <f t="shared" si="50"/>
        <v>Overweight</v>
      </c>
      <c r="H800" t="str">
        <f t="shared" si="51"/>
        <v>OK</v>
      </c>
      <c r="I800" t="str">
        <f t="shared" si="48"/>
        <v>OK</v>
      </c>
    </row>
    <row r="801" spans="1:9" x14ac:dyDescent="0.2">
      <c r="A801" t="str">
        <f>ObesityDataSet_raw_and_data_sin!A801</f>
        <v>Female</v>
      </c>
      <c r="B801">
        <f>ObesityDataSet_raw_and_data_sin!C801</f>
        <v>1.76</v>
      </c>
      <c r="C801">
        <f>ObesityDataSet_raw_and_data_sin!D801</f>
        <v>79.544998000000007</v>
      </c>
      <c r="D801" t="str">
        <f>ObesityDataSet_raw_and_data_sin!Q801</f>
        <v>Overweight_Level_I</v>
      </c>
      <c r="E801" t="b">
        <f t="shared" si="49"/>
        <v>0</v>
      </c>
      <c r="F801">
        <f>C801/(B801*B801)</f>
        <v>25.67955772210744</v>
      </c>
      <c r="G801" t="str">
        <f t="shared" si="50"/>
        <v>Overweight</v>
      </c>
      <c r="H801" t="str">
        <f t="shared" si="51"/>
        <v>OK</v>
      </c>
      <c r="I801" t="str">
        <f t="shared" si="48"/>
        <v>OK</v>
      </c>
    </row>
    <row r="802" spans="1:9" x14ac:dyDescent="0.2">
      <c r="A802" t="str">
        <f>ObesityDataSet_raw_and_data_sin!A802</f>
        <v>Female</v>
      </c>
      <c r="B802">
        <f>ObesityDataSet_raw_and_data_sin!C802</f>
        <v>1.644682</v>
      </c>
      <c r="C802">
        <f>ObesityDataSet_raw_and_data_sin!D802</f>
        <v>68.392133000000001</v>
      </c>
      <c r="D802" t="str">
        <f>ObesityDataSet_raw_and_data_sin!Q802</f>
        <v>Overweight_Level_I</v>
      </c>
      <c r="E802" t="b">
        <f t="shared" si="49"/>
        <v>0</v>
      </c>
      <c r="F802">
        <f>C802/(B802*B802)</f>
        <v>25.283795550958612</v>
      </c>
      <c r="G802" t="str">
        <f t="shared" si="50"/>
        <v>Overweight</v>
      </c>
      <c r="H802" t="str">
        <f t="shared" si="51"/>
        <v>OK</v>
      </c>
      <c r="I802" t="str">
        <f t="shared" si="48"/>
        <v>OK</v>
      </c>
    </row>
    <row r="803" spans="1:9" x14ac:dyDescent="0.2">
      <c r="A803" t="str">
        <f>ObesityDataSet_raw_and_data_sin!A803</f>
        <v>Female</v>
      </c>
      <c r="B803">
        <f>ObesityDataSet_raw_and_data_sin!C803</f>
        <v>1.7371650000000001</v>
      </c>
      <c r="C803">
        <f>ObesityDataSet_raw_and_data_sin!D803</f>
        <v>76.699774000000005</v>
      </c>
      <c r="D803" t="str">
        <f>ObesityDataSet_raw_and_data_sin!Q803</f>
        <v>Overweight_Level_I</v>
      </c>
      <c r="E803" t="b">
        <f t="shared" si="49"/>
        <v>0</v>
      </c>
      <c r="F803">
        <f>C803/(B803*B803)</f>
        <v>25.416277458650733</v>
      </c>
      <c r="G803" t="str">
        <f t="shared" si="50"/>
        <v>Overweight</v>
      </c>
      <c r="H803" t="str">
        <f t="shared" si="51"/>
        <v>OK</v>
      </c>
      <c r="I803" t="str">
        <f t="shared" si="48"/>
        <v>OK</v>
      </c>
    </row>
    <row r="804" spans="1:9" x14ac:dyDescent="0.2">
      <c r="A804" t="str">
        <f>ObesityDataSet_raw_and_data_sin!A804</f>
        <v>Female</v>
      </c>
      <c r="B804">
        <f>ObesityDataSet_raw_and_data_sin!C804</f>
        <v>1.5078530000000001</v>
      </c>
      <c r="C804">
        <f>ObesityDataSet_raw_and_data_sin!D804</f>
        <v>64.259378999999996</v>
      </c>
      <c r="D804" t="str">
        <f>ObesityDataSet_raw_and_data_sin!Q804</f>
        <v>Overweight_Level_I</v>
      </c>
      <c r="E804" t="b">
        <f t="shared" si="49"/>
        <v>0</v>
      </c>
      <c r="F804">
        <f>C804/(B804*B804)</f>
        <v>28.263016719957434</v>
      </c>
      <c r="G804" t="str">
        <f t="shared" si="50"/>
        <v>Overweight</v>
      </c>
      <c r="H804" t="str">
        <f t="shared" si="51"/>
        <v>OK</v>
      </c>
      <c r="I804" t="str">
        <f t="shared" si="48"/>
        <v>OK</v>
      </c>
    </row>
    <row r="805" spans="1:9" x14ac:dyDescent="0.2">
      <c r="A805" t="str">
        <f>ObesityDataSet_raw_and_data_sin!A805</f>
        <v>Male</v>
      </c>
      <c r="B805">
        <f>ObesityDataSet_raw_and_data_sin!C805</f>
        <v>1.81006</v>
      </c>
      <c r="C805">
        <f>ObesityDataSet_raw_and_data_sin!D805</f>
        <v>87.286783</v>
      </c>
      <c r="D805" t="str">
        <f>ObesityDataSet_raw_and_data_sin!Q805</f>
        <v>Overweight_Level_I</v>
      </c>
      <c r="E805" t="b">
        <f t="shared" si="49"/>
        <v>0</v>
      </c>
      <c r="F805">
        <f>C805/(B805*B805)</f>
        <v>26.641737528982159</v>
      </c>
      <c r="G805" t="str">
        <f t="shared" si="50"/>
        <v>Overweight</v>
      </c>
      <c r="H805" t="str">
        <f t="shared" si="51"/>
        <v>OK</v>
      </c>
      <c r="I805" t="str">
        <f t="shared" si="48"/>
        <v>OK</v>
      </c>
    </row>
    <row r="806" spans="1:9" x14ac:dyDescent="0.2">
      <c r="A806" t="str">
        <f>ObesityDataSet_raw_and_data_sin!A806</f>
        <v>Male</v>
      </c>
      <c r="B806">
        <f>ObesityDataSet_raw_and_data_sin!C806</f>
        <v>1.80179</v>
      </c>
      <c r="C806">
        <f>ObesityDataSet_raw_and_data_sin!D806</f>
        <v>86.981201999999996</v>
      </c>
      <c r="D806" t="str">
        <f>ObesityDataSet_raw_and_data_sin!Q806</f>
        <v>Overweight_Level_I</v>
      </c>
      <c r="E806" t="b">
        <f t="shared" si="49"/>
        <v>0</v>
      </c>
      <c r="F806">
        <f>C806/(B806*B806)</f>
        <v>26.792735729738585</v>
      </c>
      <c r="G806" t="str">
        <f t="shared" si="50"/>
        <v>Overweight</v>
      </c>
      <c r="H806" t="str">
        <f t="shared" si="51"/>
        <v>OK</v>
      </c>
      <c r="I806" t="str">
        <f t="shared" si="48"/>
        <v>OK</v>
      </c>
    </row>
    <row r="807" spans="1:9" x14ac:dyDescent="0.2">
      <c r="A807" t="str">
        <f>ObesityDataSet_raw_and_data_sin!A807</f>
        <v>Male</v>
      </c>
      <c r="B807">
        <f>ObesityDataSet_raw_and_data_sin!C807</f>
        <v>1.625891</v>
      </c>
      <c r="C807">
        <f>ObesityDataSet_raw_and_data_sin!D807</f>
        <v>70</v>
      </c>
      <c r="D807" t="str">
        <f>ObesityDataSet_raw_and_data_sin!Q807</f>
        <v>Overweight_Level_I</v>
      </c>
      <c r="E807" t="b">
        <f t="shared" si="49"/>
        <v>0</v>
      </c>
      <c r="F807">
        <f>C807/(B807*B807)</f>
        <v>26.479829590203295</v>
      </c>
      <c r="G807" t="str">
        <f t="shared" si="50"/>
        <v>Overweight</v>
      </c>
      <c r="H807" t="str">
        <f t="shared" si="51"/>
        <v>OK</v>
      </c>
      <c r="I807" t="str">
        <f t="shared" si="48"/>
        <v>OK</v>
      </c>
    </row>
    <row r="808" spans="1:9" x14ac:dyDescent="0.2">
      <c r="A808" t="str">
        <f>ObesityDataSet_raw_and_data_sin!A808</f>
        <v>Male</v>
      </c>
      <c r="B808">
        <f>ObesityDataSet_raw_and_data_sin!C808</f>
        <v>1.6403700000000001</v>
      </c>
      <c r="C808">
        <f>ObesityDataSet_raw_and_data_sin!D808</f>
        <v>70</v>
      </c>
      <c r="D808" t="str">
        <f>ObesityDataSet_raw_and_data_sin!Q808</f>
        <v>Overweight_Level_I</v>
      </c>
      <c r="E808" t="b">
        <f t="shared" si="49"/>
        <v>0</v>
      </c>
      <c r="F808">
        <f>C808/(B808*B808)</f>
        <v>26.014435350937646</v>
      </c>
      <c r="G808" t="str">
        <f t="shared" si="50"/>
        <v>Overweight</v>
      </c>
      <c r="H808" t="str">
        <f t="shared" si="51"/>
        <v>OK</v>
      </c>
      <c r="I808" t="str">
        <f t="shared" si="48"/>
        <v>OK</v>
      </c>
    </row>
    <row r="809" spans="1:9" x14ac:dyDescent="0.2">
      <c r="A809" t="str">
        <f>ObesityDataSet_raw_and_data_sin!A809</f>
        <v>Male</v>
      </c>
      <c r="B809">
        <f>ObesityDataSet_raw_and_data_sin!C809</f>
        <v>1.7910470000000001</v>
      </c>
      <c r="C809">
        <f>ObesityDataSet_raw_and_data_sin!D809</f>
        <v>83.263120000000001</v>
      </c>
      <c r="D809" t="str">
        <f>ObesityDataSet_raw_and_data_sin!Q809</f>
        <v>Overweight_Level_I</v>
      </c>
      <c r="E809" t="b">
        <f t="shared" si="49"/>
        <v>0</v>
      </c>
      <c r="F809">
        <f>C809/(B809*B809)</f>
        <v>25.956056770196781</v>
      </c>
      <c r="G809" t="str">
        <f t="shared" si="50"/>
        <v>Overweight</v>
      </c>
      <c r="H809" t="str">
        <f t="shared" si="51"/>
        <v>OK</v>
      </c>
      <c r="I809" t="str">
        <f t="shared" si="48"/>
        <v>OK</v>
      </c>
    </row>
    <row r="810" spans="1:9" x14ac:dyDescent="0.2">
      <c r="A810" t="str">
        <f>ObesityDataSet_raw_and_data_sin!A810</f>
        <v>Male</v>
      </c>
      <c r="B810">
        <f>ObesityDataSet_raw_and_data_sin!C810</f>
        <v>1.679306</v>
      </c>
      <c r="C810">
        <f>ObesityDataSet_raw_and_data_sin!D810</f>
        <v>75</v>
      </c>
      <c r="D810" t="str">
        <f>ObesityDataSet_raw_and_data_sin!Q810</f>
        <v>Overweight_Level_I</v>
      </c>
      <c r="E810" t="b">
        <f t="shared" si="49"/>
        <v>0</v>
      </c>
      <c r="F810">
        <f>C810/(B810*B810)</f>
        <v>26.595097329436076</v>
      </c>
      <c r="G810" t="str">
        <f t="shared" si="50"/>
        <v>Overweight</v>
      </c>
      <c r="H810" t="str">
        <f t="shared" si="51"/>
        <v>OK</v>
      </c>
      <c r="I810" t="str">
        <f t="shared" si="48"/>
        <v>OK</v>
      </c>
    </row>
    <row r="811" spans="1:9" x14ac:dyDescent="0.2">
      <c r="A811" t="str">
        <f>ObesityDataSet_raw_and_data_sin!A811</f>
        <v>Female</v>
      </c>
      <c r="B811">
        <f>ObesityDataSet_raw_and_data_sin!C811</f>
        <v>1.6151450000000001</v>
      </c>
      <c r="C811">
        <f>ObesityDataSet_raw_and_data_sin!D811</f>
        <v>68.653346999999997</v>
      </c>
      <c r="D811" t="str">
        <f>ObesityDataSet_raw_and_data_sin!Q811</f>
        <v>Overweight_Level_I</v>
      </c>
      <c r="E811" t="b">
        <f t="shared" si="49"/>
        <v>0</v>
      </c>
      <c r="F811">
        <f>C811/(B811*B811)</f>
        <v>26.317139362770305</v>
      </c>
      <c r="G811" t="str">
        <f t="shared" si="50"/>
        <v>Overweight</v>
      </c>
      <c r="H811" t="str">
        <f t="shared" si="51"/>
        <v>OK</v>
      </c>
      <c r="I811" t="str">
        <f t="shared" si="48"/>
        <v>OK</v>
      </c>
    </row>
    <row r="812" spans="1:9" x14ac:dyDescent="0.2">
      <c r="A812" t="str">
        <f>ObesityDataSet_raw_and_data_sin!A812</f>
        <v>Female</v>
      </c>
      <c r="B812">
        <f>ObesityDataSet_raw_and_data_sin!C812</f>
        <v>1.6164670000000001</v>
      </c>
      <c r="C812">
        <f>ObesityDataSet_raw_and_data_sin!D812</f>
        <v>68.771850000000001</v>
      </c>
      <c r="D812" t="str">
        <f>ObesityDataSet_raw_and_data_sin!Q812</f>
        <v>Overweight_Level_I</v>
      </c>
      <c r="E812" t="b">
        <f t="shared" si="49"/>
        <v>0</v>
      </c>
      <c r="F812">
        <f>C812/(B812*B812)</f>
        <v>26.319462834794745</v>
      </c>
      <c r="G812" t="str">
        <f t="shared" si="50"/>
        <v>Overweight</v>
      </c>
      <c r="H812" t="str">
        <f t="shared" si="51"/>
        <v>OK</v>
      </c>
      <c r="I812" t="str">
        <f t="shared" si="48"/>
        <v>OK</v>
      </c>
    </row>
    <row r="813" spans="1:9" x14ac:dyDescent="0.2">
      <c r="A813" t="str">
        <f>ObesityDataSet_raw_and_data_sin!A813</f>
        <v>Male</v>
      </c>
      <c r="B813">
        <f>ObesityDataSet_raw_and_data_sin!C813</f>
        <v>1.816783</v>
      </c>
      <c r="C813">
        <f>ObesityDataSet_raw_and_data_sin!D813</f>
        <v>86.522799000000006</v>
      </c>
      <c r="D813" t="str">
        <f>ObesityDataSet_raw_and_data_sin!Q813</f>
        <v>Overweight_Level_I</v>
      </c>
      <c r="E813" t="b">
        <f t="shared" si="49"/>
        <v>0</v>
      </c>
      <c r="F813">
        <f>C813/(B813*B813)</f>
        <v>26.213465841655264</v>
      </c>
      <c r="G813" t="str">
        <f t="shared" si="50"/>
        <v>Overweight</v>
      </c>
      <c r="H813" t="str">
        <f t="shared" si="51"/>
        <v>OK</v>
      </c>
      <c r="I813" t="str">
        <f t="shared" si="48"/>
        <v>OK</v>
      </c>
    </row>
    <row r="814" spans="1:9" x14ac:dyDescent="0.2">
      <c r="A814" t="str">
        <f>ObesityDataSet_raw_and_data_sin!A814</f>
        <v>Male</v>
      </c>
      <c r="B814">
        <f>ObesityDataSet_raw_and_data_sin!C814</f>
        <v>1.8124720000000001</v>
      </c>
      <c r="C814">
        <f>ObesityDataSet_raw_and_data_sin!D814</f>
        <v>86.748294999999999</v>
      </c>
      <c r="D814" t="str">
        <f>ObesityDataSet_raw_and_data_sin!Q814</f>
        <v>Overweight_Level_I</v>
      </c>
      <c r="E814" t="b">
        <f t="shared" si="49"/>
        <v>0</v>
      </c>
      <c r="F814">
        <f>C814/(B814*B814)</f>
        <v>26.40695561597472</v>
      </c>
      <c r="G814" t="str">
        <f t="shared" si="50"/>
        <v>Overweight</v>
      </c>
      <c r="H814" t="str">
        <f t="shared" si="51"/>
        <v>OK</v>
      </c>
      <c r="I814" t="str">
        <f t="shared" si="48"/>
        <v>OK</v>
      </c>
    </row>
    <row r="815" spans="1:9" x14ac:dyDescent="0.2">
      <c r="A815" t="str">
        <f>ObesityDataSet_raw_and_data_sin!A815</f>
        <v>Female</v>
      </c>
      <c r="B815">
        <f>ObesityDataSet_raw_and_data_sin!C815</f>
        <v>1.7682310000000001</v>
      </c>
      <c r="C815">
        <f>ObesityDataSet_raw_and_data_sin!D815</f>
        <v>75.629310000000004</v>
      </c>
      <c r="D815" t="str">
        <f>ObesityDataSet_raw_and_data_sin!Q815</f>
        <v>Overweight_Level_I</v>
      </c>
      <c r="E815" t="b">
        <f t="shared" si="49"/>
        <v>0</v>
      </c>
      <c r="F815">
        <f>C815/(B815*B815)</f>
        <v>24.188678252471178</v>
      </c>
      <c r="G815" t="str">
        <f t="shared" si="50"/>
        <v>Normal</v>
      </c>
      <c r="H815" t="str">
        <f t="shared" si="51"/>
        <v>OK</v>
      </c>
      <c r="I815" t="str">
        <f t="shared" si="48"/>
        <v>ERROR</v>
      </c>
    </row>
    <row r="816" spans="1:9" x14ac:dyDescent="0.2">
      <c r="A816" t="str">
        <f>ObesityDataSet_raw_and_data_sin!A816</f>
        <v>Male</v>
      </c>
      <c r="B816">
        <f>ObesityDataSet_raw_and_data_sin!C816</f>
        <v>1.8709309999999999</v>
      </c>
      <c r="C816">
        <f>ObesityDataSet_raw_and_data_sin!D816</f>
        <v>89.251638999999997</v>
      </c>
      <c r="D816" t="str">
        <f>ObesityDataSet_raw_and_data_sin!Q816</f>
        <v>Overweight_Level_I</v>
      </c>
      <c r="E816" t="b">
        <f t="shared" si="49"/>
        <v>0</v>
      </c>
      <c r="F816">
        <f>C816/(B816*B816)</f>
        <v>25.497679518825827</v>
      </c>
      <c r="G816" t="str">
        <f t="shared" si="50"/>
        <v>Overweight</v>
      </c>
      <c r="H816" t="str">
        <f t="shared" si="51"/>
        <v>OK</v>
      </c>
      <c r="I816" t="str">
        <f t="shared" si="48"/>
        <v>OK</v>
      </c>
    </row>
    <row r="817" spans="1:9" x14ac:dyDescent="0.2">
      <c r="A817" t="str">
        <f>ObesityDataSet_raw_and_data_sin!A817</f>
        <v>Male</v>
      </c>
      <c r="B817">
        <f>ObesityDataSet_raw_and_data_sin!C817</f>
        <v>1.863685</v>
      </c>
      <c r="C817">
        <f>ObesityDataSet_raw_and_data_sin!D817</f>
        <v>89.558853999999997</v>
      </c>
      <c r="D817" t="str">
        <f>ObesityDataSet_raw_and_data_sin!Q817</f>
        <v>Overweight_Level_I</v>
      </c>
      <c r="E817" t="b">
        <f t="shared" si="49"/>
        <v>0</v>
      </c>
      <c r="F817">
        <f>C817/(B817*B817)</f>
        <v>25.784784621937103</v>
      </c>
      <c r="G817" t="str">
        <f t="shared" si="50"/>
        <v>Overweight</v>
      </c>
      <c r="H817" t="str">
        <f t="shared" si="51"/>
        <v>OK</v>
      </c>
      <c r="I817" t="str">
        <f t="shared" si="48"/>
        <v>OK</v>
      </c>
    </row>
    <row r="818" spans="1:9" x14ac:dyDescent="0.2">
      <c r="A818" t="str">
        <f>ObesityDataSet_raw_and_data_sin!A818</f>
        <v>Male</v>
      </c>
      <c r="B818">
        <f>ObesityDataSet_raw_and_data_sin!C818</f>
        <v>1.6702269999999999</v>
      </c>
      <c r="C818">
        <f>ObesityDataSet_raw_and_data_sin!D818</f>
        <v>75</v>
      </c>
      <c r="D818" t="str">
        <f>ObesityDataSet_raw_and_data_sin!Q818</f>
        <v>Overweight_Level_I</v>
      </c>
      <c r="E818" t="b">
        <f t="shared" si="49"/>
        <v>0</v>
      </c>
      <c r="F818">
        <f>C818/(B818*B818)</f>
        <v>26.885013781380962</v>
      </c>
      <c r="G818" t="str">
        <f t="shared" si="50"/>
        <v>Overweight</v>
      </c>
      <c r="H818" t="str">
        <f t="shared" si="51"/>
        <v>OK</v>
      </c>
      <c r="I818" t="str">
        <f t="shared" si="48"/>
        <v>OK</v>
      </c>
    </row>
    <row r="819" spans="1:9" x14ac:dyDescent="0.2">
      <c r="A819" t="str">
        <f>ObesityDataSet_raw_and_data_sin!A819</f>
        <v>Male</v>
      </c>
      <c r="B819">
        <f>ObesityDataSet_raw_and_data_sin!C819</f>
        <v>1.7172879999999999</v>
      </c>
      <c r="C819">
        <f>ObesityDataSet_raw_and_data_sin!D819</f>
        <v>75.948164000000006</v>
      </c>
      <c r="D819" t="str">
        <f>ObesityDataSet_raw_and_data_sin!Q819</f>
        <v>Overweight_Level_I</v>
      </c>
      <c r="E819" t="b">
        <f t="shared" si="49"/>
        <v>0</v>
      </c>
      <c r="F819">
        <f>C819/(B819*B819)</f>
        <v>25.753188647418973</v>
      </c>
      <c r="G819" t="str">
        <f t="shared" si="50"/>
        <v>Overweight</v>
      </c>
      <c r="H819" t="str">
        <f t="shared" si="51"/>
        <v>OK</v>
      </c>
      <c r="I819" t="str">
        <f t="shared" si="48"/>
        <v>OK</v>
      </c>
    </row>
    <row r="820" spans="1:9" x14ac:dyDescent="0.2">
      <c r="A820" t="str">
        <f>ObesityDataSet_raw_and_data_sin!A820</f>
        <v>Male</v>
      </c>
      <c r="B820">
        <f>ObesityDataSet_raw_and_data_sin!C820</f>
        <v>1.750359</v>
      </c>
      <c r="C820">
        <f>ObesityDataSet_raw_and_data_sin!D820</f>
        <v>79.828725000000006</v>
      </c>
      <c r="D820" t="str">
        <f>ObesityDataSet_raw_and_data_sin!Q820</f>
        <v>Overweight_Level_I</v>
      </c>
      <c r="E820" t="b">
        <f t="shared" si="49"/>
        <v>0</v>
      </c>
      <c r="F820">
        <f>C820/(B820*B820)</f>
        <v>26.05583101721643</v>
      </c>
      <c r="G820" t="str">
        <f t="shared" si="50"/>
        <v>Overweight</v>
      </c>
      <c r="H820" t="str">
        <f t="shared" si="51"/>
        <v>OK</v>
      </c>
      <c r="I820" t="str">
        <f t="shared" si="48"/>
        <v>OK</v>
      </c>
    </row>
    <row r="821" spans="1:9" x14ac:dyDescent="0.2">
      <c r="A821" t="str">
        <f>ObesityDataSet_raw_and_data_sin!A821</f>
        <v>Male</v>
      </c>
      <c r="B821">
        <f>ObesityDataSet_raw_and_data_sin!C821</f>
        <v>1.707557</v>
      </c>
      <c r="C821">
        <f>ObesityDataSet_raw_and_data_sin!D821</f>
        <v>75.306702000000001</v>
      </c>
      <c r="D821" t="str">
        <f>ObesityDataSet_raw_and_data_sin!Q821</f>
        <v>Overweight_Level_I</v>
      </c>
      <c r="E821" t="b">
        <f t="shared" si="49"/>
        <v>0</v>
      </c>
      <c r="F821">
        <f>C821/(B821*B821)</f>
        <v>25.827549872984189</v>
      </c>
      <c r="G821" t="str">
        <f t="shared" si="50"/>
        <v>Overweight</v>
      </c>
      <c r="H821" t="str">
        <f t="shared" si="51"/>
        <v>OK</v>
      </c>
      <c r="I821" t="str">
        <f t="shared" si="48"/>
        <v>OK</v>
      </c>
    </row>
    <row r="822" spans="1:9" x14ac:dyDescent="0.2">
      <c r="A822" t="str">
        <f>ObesityDataSet_raw_and_data_sin!A822</f>
        <v>Female</v>
      </c>
      <c r="B822">
        <f>ObesityDataSet_raw_and_data_sin!C822</f>
        <v>1.6724460000000001</v>
      </c>
      <c r="C822">
        <f>ObesityDataSet_raw_and_data_sin!D822</f>
        <v>74.812707000000003</v>
      </c>
      <c r="D822" t="str">
        <f>ObesityDataSet_raw_and_data_sin!Q822</f>
        <v>Overweight_Level_I</v>
      </c>
      <c r="E822" t="b">
        <f t="shared" si="49"/>
        <v>0</v>
      </c>
      <c r="F822">
        <f>C822/(B822*B822)</f>
        <v>26.746758788740376</v>
      </c>
      <c r="G822" t="str">
        <f t="shared" si="50"/>
        <v>Overweight</v>
      </c>
      <c r="H822" t="str">
        <f t="shared" si="51"/>
        <v>OK</v>
      </c>
      <c r="I822" t="str">
        <f t="shared" si="48"/>
        <v>OK</v>
      </c>
    </row>
    <row r="823" spans="1:9" x14ac:dyDescent="0.2">
      <c r="A823" t="str">
        <f>ObesityDataSet_raw_and_data_sin!A823</f>
        <v>Female</v>
      </c>
      <c r="B823">
        <f>ObesityDataSet_raw_and_data_sin!C823</f>
        <v>1.6759790000000001</v>
      </c>
      <c r="C823">
        <f>ObesityDataSet_raw_and_data_sin!D823</f>
        <v>74.959746999999993</v>
      </c>
      <c r="D823" t="str">
        <f>ObesityDataSet_raw_and_data_sin!Q823</f>
        <v>Overweight_Level_I</v>
      </c>
      <c r="E823" t="b">
        <f t="shared" si="49"/>
        <v>0</v>
      </c>
      <c r="F823">
        <f>C823/(B823*B823)</f>
        <v>26.68645994181491</v>
      </c>
      <c r="G823" t="str">
        <f t="shared" si="50"/>
        <v>Overweight</v>
      </c>
      <c r="H823" t="str">
        <f t="shared" si="51"/>
        <v>OK</v>
      </c>
      <c r="I823" t="str">
        <f t="shared" si="48"/>
        <v>OK</v>
      </c>
    </row>
    <row r="824" spans="1:9" x14ac:dyDescent="0.2">
      <c r="A824" t="str">
        <f>ObesityDataSet_raw_and_data_sin!A824</f>
        <v>Female</v>
      </c>
      <c r="B824">
        <f>ObesityDataSet_raw_and_data_sin!C824</f>
        <v>1.6112390000000001</v>
      </c>
      <c r="C824">
        <f>ObesityDataSet_raw_and_data_sin!D824</f>
        <v>67.939653000000007</v>
      </c>
      <c r="D824" t="str">
        <f>ObesityDataSet_raw_and_data_sin!Q824</f>
        <v>Overweight_Level_I</v>
      </c>
      <c r="E824" t="b">
        <f t="shared" si="49"/>
        <v>0</v>
      </c>
      <c r="F824">
        <f>C824/(B824*B824)</f>
        <v>26.169980169141109</v>
      </c>
      <c r="G824" t="str">
        <f t="shared" si="50"/>
        <v>Overweight</v>
      </c>
      <c r="H824" t="str">
        <f t="shared" si="51"/>
        <v>OK</v>
      </c>
      <c r="I824" t="str">
        <f t="shared" si="48"/>
        <v>OK</v>
      </c>
    </row>
    <row r="825" spans="1:9" x14ac:dyDescent="0.2">
      <c r="A825" t="str">
        <f>ObesityDataSet_raw_and_data_sin!A825</f>
        <v>Female</v>
      </c>
      <c r="B825">
        <f>ObesityDataSet_raw_and_data_sin!C825</f>
        <v>1.611356</v>
      </c>
      <c r="C825">
        <f>ObesityDataSet_raw_and_data_sin!D825</f>
        <v>68.066090000000003</v>
      </c>
      <c r="D825" t="str">
        <f>ObesityDataSet_raw_and_data_sin!Q825</f>
        <v>Overweight_Level_I</v>
      </c>
      <c r="E825" t="b">
        <f t="shared" si="49"/>
        <v>0</v>
      </c>
      <c r="F825">
        <f>C825/(B825*B825)</f>
        <v>26.214875684489659</v>
      </c>
      <c r="G825" t="str">
        <f t="shared" si="50"/>
        <v>Overweight</v>
      </c>
      <c r="H825" t="str">
        <f t="shared" si="51"/>
        <v>OK</v>
      </c>
      <c r="I825" t="str">
        <f t="shared" si="48"/>
        <v>OK</v>
      </c>
    </row>
    <row r="826" spans="1:9" x14ac:dyDescent="0.2">
      <c r="A826" t="str">
        <f>ObesityDataSet_raw_and_data_sin!A826</f>
        <v>Male</v>
      </c>
      <c r="B826">
        <f>ObesityDataSet_raw_and_data_sin!C826</f>
        <v>1.62</v>
      </c>
      <c r="C826">
        <f>ObesityDataSet_raw_and_data_sin!D826</f>
        <v>70</v>
      </c>
      <c r="D826" t="str">
        <f>ObesityDataSet_raw_and_data_sin!Q826</f>
        <v>Overweight_Level_I</v>
      </c>
      <c r="E826" t="b">
        <f t="shared" si="49"/>
        <v>0</v>
      </c>
      <c r="F826">
        <f>C826/(B826*B826)</f>
        <v>26.672763298277697</v>
      </c>
      <c r="G826" t="str">
        <f t="shared" si="50"/>
        <v>Overweight</v>
      </c>
      <c r="H826" t="str">
        <f t="shared" si="51"/>
        <v>OK</v>
      </c>
      <c r="I826" t="str">
        <f t="shared" si="48"/>
        <v>OK</v>
      </c>
    </row>
    <row r="827" spans="1:9" x14ac:dyDescent="0.2">
      <c r="A827" t="str">
        <f>ObesityDataSet_raw_and_data_sin!A827</f>
        <v>Female</v>
      </c>
      <c r="B827">
        <f>ObesityDataSet_raw_and_data_sin!C827</f>
        <v>1.5089079999999999</v>
      </c>
      <c r="C827">
        <f>ObesityDataSet_raw_and_data_sin!D827</f>
        <v>63.183846000000003</v>
      </c>
      <c r="D827" t="str">
        <f>ObesityDataSet_raw_and_data_sin!Q827</f>
        <v>Overweight_Level_I</v>
      </c>
      <c r="E827" t="b">
        <f t="shared" si="49"/>
        <v>0</v>
      </c>
      <c r="F827">
        <f>C827/(B827*B827)</f>
        <v>27.751121295399201</v>
      </c>
      <c r="G827" t="str">
        <f t="shared" si="50"/>
        <v>Overweight</v>
      </c>
      <c r="H827" t="str">
        <f t="shared" si="51"/>
        <v>OK</v>
      </c>
      <c r="I827" t="str">
        <f t="shared" si="48"/>
        <v>OK</v>
      </c>
    </row>
    <row r="828" spans="1:9" x14ac:dyDescent="0.2">
      <c r="A828" t="str">
        <f>ObesityDataSet_raw_and_data_sin!A828</f>
        <v>Female</v>
      </c>
      <c r="B828">
        <f>ObesityDataSet_raw_and_data_sin!C828</f>
        <v>1.5611090000000001</v>
      </c>
      <c r="C828">
        <f>ObesityDataSet_raw_and_data_sin!D828</f>
        <v>62.871794000000001</v>
      </c>
      <c r="D828" t="str">
        <f>ObesityDataSet_raw_and_data_sin!Q828</f>
        <v>Overweight_Level_I</v>
      </c>
      <c r="E828" t="b">
        <f t="shared" si="49"/>
        <v>0</v>
      </c>
      <c r="F828">
        <f>C828/(B828*B828)</f>
        <v>25.79819955496728</v>
      </c>
      <c r="G828" t="str">
        <f t="shared" si="50"/>
        <v>Overweight</v>
      </c>
      <c r="H828" t="str">
        <f t="shared" si="51"/>
        <v>OK</v>
      </c>
      <c r="I828" t="str">
        <f t="shared" si="48"/>
        <v>OK</v>
      </c>
    </row>
    <row r="829" spans="1:9" x14ac:dyDescent="0.2">
      <c r="A829" t="str">
        <f>ObesityDataSet_raw_and_data_sin!A829</f>
        <v>Female</v>
      </c>
      <c r="B829">
        <f>ObesityDataSet_raw_and_data_sin!C829</f>
        <v>1.5547280000000001</v>
      </c>
      <c r="C829">
        <f>ObesityDataSet_raw_and_data_sin!D829</f>
        <v>63.011645000000001</v>
      </c>
      <c r="D829" t="str">
        <f>ObesityDataSet_raw_and_data_sin!Q829</f>
        <v>Overweight_Level_I</v>
      </c>
      <c r="E829" t="b">
        <f t="shared" si="49"/>
        <v>0</v>
      </c>
      <c r="F829">
        <f>C829/(B829*B829)</f>
        <v>26.068256006653073</v>
      </c>
      <c r="G829" t="str">
        <f t="shared" si="50"/>
        <v>Overweight</v>
      </c>
      <c r="H829" t="str">
        <f t="shared" si="51"/>
        <v>OK</v>
      </c>
      <c r="I829" t="str">
        <f t="shared" si="48"/>
        <v>OK</v>
      </c>
    </row>
    <row r="830" spans="1:9" x14ac:dyDescent="0.2">
      <c r="A830" t="str">
        <f>ObesityDataSet_raw_and_data_sin!A830</f>
        <v>Female</v>
      </c>
      <c r="B830">
        <f>ObesityDataSet_raw_and_data_sin!C830</f>
        <v>1.7301820000000001</v>
      </c>
      <c r="C830">
        <f>ObesityDataSet_raw_and_data_sin!D830</f>
        <v>78.55444</v>
      </c>
      <c r="D830" t="str">
        <f>ObesityDataSet_raw_and_data_sin!Q830</f>
        <v>Overweight_Level_I</v>
      </c>
      <c r="E830" t="b">
        <f t="shared" si="49"/>
        <v>0</v>
      </c>
      <c r="F830">
        <f>C830/(B830*B830)</f>
        <v>26.241409465872799</v>
      </c>
      <c r="G830" t="str">
        <f t="shared" si="50"/>
        <v>Overweight</v>
      </c>
      <c r="H830" t="str">
        <f t="shared" si="51"/>
        <v>OK</v>
      </c>
      <c r="I830" t="str">
        <f t="shared" si="48"/>
        <v>OK</v>
      </c>
    </row>
    <row r="831" spans="1:9" x14ac:dyDescent="0.2">
      <c r="A831" t="str">
        <f>ObesityDataSet_raw_and_data_sin!A831</f>
        <v>Female</v>
      </c>
      <c r="B831">
        <f>ObesityDataSet_raw_and_data_sin!C831</f>
        <v>1.743841</v>
      </c>
      <c r="C831">
        <f>ObesityDataSet_raw_and_data_sin!D831</f>
        <v>78.880359999999996</v>
      </c>
      <c r="D831" t="str">
        <f>ObesityDataSet_raw_and_data_sin!Q831</f>
        <v>Overweight_Level_I</v>
      </c>
      <c r="E831" t="b">
        <f t="shared" si="49"/>
        <v>0</v>
      </c>
      <c r="F831">
        <f>C831/(B831*B831)</f>
        <v>25.939112661695461</v>
      </c>
      <c r="G831" t="str">
        <f t="shared" si="50"/>
        <v>Overweight</v>
      </c>
      <c r="H831" t="str">
        <f t="shared" si="51"/>
        <v>OK</v>
      </c>
      <c r="I831" t="str">
        <f t="shared" si="48"/>
        <v>OK</v>
      </c>
    </row>
    <row r="832" spans="1:9" x14ac:dyDescent="0.2">
      <c r="A832" t="str">
        <f>ObesityDataSet_raw_and_data_sin!A832</f>
        <v>Male</v>
      </c>
      <c r="B832">
        <f>ObesityDataSet_raw_and_data_sin!C832</f>
        <v>1.62</v>
      </c>
      <c r="C832">
        <f>ObesityDataSet_raw_and_data_sin!D832</f>
        <v>70</v>
      </c>
      <c r="D832" t="str">
        <f>ObesityDataSet_raw_and_data_sin!Q832</f>
        <v>Overweight_Level_I</v>
      </c>
      <c r="E832" t="b">
        <f t="shared" si="49"/>
        <v>0</v>
      </c>
      <c r="F832">
        <f>C832/(B832*B832)</f>
        <v>26.672763298277697</v>
      </c>
      <c r="G832" t="str">
        <f t="shared" si="50"/>
        <v>Overweight</v>
      </c>
      <c r="H832" t="str">
        <f t="shared" si="51"/>
        <v>OK</v>
      </c>
      <c r="I832" t="str">
        <f t="shared" si="48"/>
        <v>OK</v>
      </c>
    </row>
    <row r="833" spans="1:9" x14ac:dyDescent="0.2">
      <c r="A833" t="str">
        <f>ObesityDataSet_raw_and_data_sin!A833</f>
        <v>Male</v>
      </c>
      <c r="B833">
        <f>ObesityDataSet_raw_and_data_sin!C833</f>
        <v>1.62</v>
      </c>
      <c r="C833">
        <f>ObesityDataSet_raw_and_data_sin!D833</f>
        <v>70</v>
      </c>
      <c r="D833" t="str">
        <f>ObesityDataSet_raw_and_data_sin!Q833</f>
        <v>Overweight_Level_I</v>
      </c>
      <c r="E833" t="b">
        <f t="shared" si="49"/>
        <v>0</v>
      </c>
      <c r="F833">
        <f>C833/(B833*B833)</f>
        <v>26.672763298277697</v>
      </c>
      <c r="G833" t="str">
        <f t="shared" si="50"/>
        <v>Overweight</v>
      </c>
      <c r="H833" t="str">
        <f t="shared" si="51"/>
        <v>OK</v>
      </c>
      <c r="I833" t="str">
        <f t="shared" si="48"/>
        <v>OK</v>
      </c>
    </row>
    <row r="834" spans="1:9" x14ac:dyDescent="0.2">
      <c r="A834" t="str">
        <f>ObesityDataSet_raw_and_data_sin!A834</f>
        <v>Male</v>
      </c>
      <c r="B834">
        <f>ObesityDataSet_raw_and_data_sin!C834</f>
        <v>1.62</v>
      </c>
      <c r="C834">
        <f>ObesityDataSet_raw_and_data_sin!D834</f>
        <v>70</v>
      </c>
      <c r="D834" t="str">
        <f>ObesityDataSet_raw_and_data_sin!Q834</f>
        <v>Overweight_Level_I</v>
      </c>
      <c r="E834" t="b">
        <f t="shared" si="49"/>
        <v>0</v>
      </c>
      <c r="F834">
        <f>C834/(B834*B834)</f>
        <v>26.672763298277697</v>
      </c>
      <c r="G834" t="str">
        <f t="shared" si="50"/>
        <v>Overweight</v>
      </c>
      <c r="H834" t="str">
        <f t="shared" si="51"/>
        <v>OK</v>
      </c>
      <c r="I834" t="str">
        <f t="shared" ref="I834:I897" si="52">IF(AND(LEFT(D834,10)="Overweight",G834&lt;&gt;"Overweight"),"ERROR","OK")</f>
        <v>OK</v>
      </c>
    </row>
    <row r="835" spans="1:9" x14ac:dyDescent="0.2">
      <c r="A835" t="str">
        <f>ObesityDataSet_raw_and_data_sin!A835</f>
        <v>Male</v>
      </c>
      <c r="B835">
        <f>ObesityDataSet_raw_and_data_sin!C835</f>
        <v>1.62</v>
      </c>
      <c r="C835">
        <f>ObesityDataSet_raw_and_data_sin!D835</f>
        <v>70</v>
      </c>
      <c r="D835" t="str">
        <f>ObesityDataSet_raw_and_data_sin!Q835</f>
        <v>Overweight_Level_I</v>
      </c>
      <c r="E835" t="b">
        <f t="shared" ref="E835:E898" si="53">IF(AND(A835="Female", B835&lt;1.5), TRUE, IF(AND(A835="Male",B835&lt;1.6),TRUE, FALSE))</f>
        <v>0</v>
      </c>
      <c r="F835">
        <f>C835/(B835*B835)</f>
        <v>26.672763298277697</v>
      </c>
      <c r="G835" t="str">
        <f t="shared" ref="G835:G898" si="54">IF(E835=TRUE,IF(F835&lt;23,"Normal",IF(F835&lt;25,"Overweight","Obese")),IF(F835&lt;25,"Normal",IF(F835&lt;30,"Overweight","Obese")))</f>
        <v>Overweight</v>
      </c>
      <c r="H835" t="str">
        <f t="shared" ref="H835:H898" si="55">IF(AND(D835="Normal_Weight",G835&lt;&gt;"Normal"),"ERROR","OK")</f>
        <v>OK</v>
      </c>
      <c r="I835" t="str">
        <f t="shared" si="52"/>
        <v>OK</v>
      </c>
    </row>
    <row r="836" spans="1:9" x14ac:dyDescent="0.2">
      <c r="A836" t="str">
        <f>ObesityDataSet_raw_and_data_sin!A836</f>
        <v>Male</v>
      </c>
      <c r="B836">
        <f>ObesityDataSet_raw_and_data_sin!C836</f>
        <v>1.62</v>
      </c>
      <c r="C836">
        <f>ObesityDataSet_raw_and_data_sin!D836</f>
        <v>70</v>
      </c>
      <c r="D836" t="str">
        <f>ObesityDataSet_raw_and_data_sin!Q836</f>
        <v>Overweight_Level_I</v>
      </c>
      <c r="E836" t="b">
        <f t="shared" si="53"/>
        <v>0</v>
      </c>
      <c r="F836">
        <f>C836/(B836*B836)</f>
        <v>26.672763298277697</v>
      </c>
      <c r="G836" t="str">
        <f t="shared" si="54"/>
        <v>Overweight</v>
      </c>
      <c r="H836" t="str">
        <f t="shared" si="55"/>
        <v>OK</v>
      </c>
      <c r="I836" t="str">
        <f t="shared" si="52"/>
        <v>OK</v>
      </c>
    </row>
    <row r="837" spans="1:9" x14ac:dyDescent="0.2">
      <c r="A837" t="str">
        <f>ObesityDataSet_raw_and_data_sin!A837</f>
        <v>Female</v>
      </c>
      <c r="B837">
        <f>ObesityDataSet_raw_and_data_sin!C837</f>
        <v>1.642506</v>
      </c>
      <c r="C837">
        <f>ObesityDataSet_raw_and_data_sin!D837</f>
        <v>69.906707999999995</v>
      </c>
      <c r="D837" t="str">
        <f>ObesityDataSet_raw_and_data_sin!Q837</f>
        <v>Overweight_Level_I</v>
      </c>
      <c r="E837" t="b">
        <f t="shared" si="53"/>
        <v>0</v>
      </c>
      <c r="F837">
        <f>C837/(B837*B837)</f>
        <v>25.912237866918279</v>
      </c>
      <c r="G837" t="str">
        <f t="shared" si="54"/>
        <v>Overweight</v>
      </c>
      <c r="H837" t="str">
        <f t="shared" si="55"/>
        <v>OK</v>
      </c>
      <c r="I837" t="str">
        <f t="shared" si="52"/>
        <v>OK</v>
      </c>
    </row>
    <row r="838" spans="1:9" x14ac:dyDescent="0.2">
      <c r="A838" t="str">
        <f>ObesityDataSet_raw_and_data_sin!A838</f>
        <v>Female</v>
      </c>
      <c r="B838">
        <f>ObesityDataSet_raw_and_data_sin!C838</f>
        <v>1.6930799999999999</v>
      </c>
      <c r="C838">
        <f>ObesityDataSet_raw_and_data_sin!D838</f>
        <v>71.927379000000002</v>
      </c>
      <c r="D838" t="str">
        <f>ObesityDataSet_raw_and_data_sin!Q838</f>
        <v>Overweight_Level_I</v>
      </c>
      <c r="E838" t="b">
        <f t="shared" si="53"/>
        <v>0</v>
      </c>
      <c r="F838">
        <f>C838/(B838*B838)</f>
        <v>25.092230945703307</v>
      </c>
      <c r="G838" t="str">
        <f t="shared" si="54"/>
        <v>Overweight</v>
      </c>
      <c r="H838" t="str">
        <f t="shared" si="55"/>
        <v>OK</v>
      </c>
      <c r="I838" t="str">
        <f t="shared" si="52"/>
        <v>OK</v>
      </c>
    </row>
    <row r="839" spans="1:9" x14ac:dyDescent="0.2">
      <c r="A839" t="str">
        <f>ObesityDataSet_raw_and_data_sin!A839</f>
        <v>Male</v>
      </c>
      <c r="B839">
        <f>ObesityDataSet_raw_and_data_sin!C839</f>
        <v>1.7521150000000001</v>
      </c>
      <c r="C839">
        <f>ObesityDataSet_raw_and_data_sin!D839</f>
        <v>79.414603</v>
      </c>
      <c r="D839" t="str">
        <f>ObesityDataSet_raw_and_data_sin!Q839</f>
        <v>Overweight_Level_I</v>
      </c>
      <c r="E839" t="b">
        <f t="shared" si="53"/>
        <v>0</v>
      </c>
      <c r="F839">
        <f>C839/(B839*B839)</f>
        <v>25.868732731198474</v>
      </c>
      <c r="G839" t="str">
        <f t="shared" si="54"/>
        <v>Overweight</v>
      </c>
      <c r="H839" t="str">
        <f t="shared" si="55"/>
        <v>OK</v>
      </c>
      <c r="I839" t="str">
        <f t="shared" si="52"/>
        <v>OK</v>
      </c>
    </row>
    <row r="840" spans="1:9" x14ac:dyDescent="0.2">
      <c r="A840" t="str">
        <f>ObesityDataSet_raw_and_data_sin!A840</f>
        <v>Male</v>
      </c>
      <c r="B840">
        <f>ObesityDataSet_raw_and_data_sin!C840</f>
        <v>1.7450330000000001</v>
      </c>
      <c r="C840">
        <f>ObesityDataSet_raw_and_data_sin!D840</f>
        <v>80</v>
      </c>
      <c r="D840" t="str">
        <f>ObesityDataSet_raw_and_data_sin!Q840</f>
        <v>Overweight_Level_I</v>
      </c>
      <c r="E840" t="b">
        <f t="shared" si="53"/>
        <v>0</v>
      </c>
      <c r="F840">
        <f>C840/(B840*B840)</f>
        <v>26.271368641592112</v>
      </c>
      <c r="G840" t="str">
        <f t="shared" si="54"/>
        <v>Overweight</v>
      </c>
      <c r="H840" t="str">
        <f t="shared" si="55"/>
        <v>OK</v>
      </c>
      <c r="I840" t="str">
        <f t="shared" si="52"/>
        <v>OK</v>
      </c>
    </row>
    <row r="841" spans="1:9" x14ac:dyDescent="0.2">
      <c r="A841" t="str">
        <f>ObesityDataSet_raw_and_data_sin!A841</f>
        <v>Male</v>
      </c>
      <c r="B841">
        <f>ObesityDataSet_raw_and_data_sin!C841</f>
        <v>1.820643</v>
      </c>
      <c r="C841">
        <f>ObesityDataSet_raw_and_data_sin!D841</f>
        <v>85</v>
      </c>
      <c r="D841" t="str">
        <f>ObesityDataSet_raw_and_data_sin!Q841</f>
        <v>Overweight_Level_I</v>
      </c>
      <c r="E841" t="b">
        <f t="shared" si="53"/>
        <v>0</v>
      </c>
      <c r="F841">
        <f>C841/(B841*B841)</f>
        <v>25.6430296383848</v>
      </c>
      <c r="G841" t="str">
        <f t="shared" si="54"/>
        <v>Overweight</v>
      </c>
      <c r="H841" t="str">
        <f t="shared" si="55"/>
        <v>OK</v>
      </c>
      <c r="I841" t="str">
        <f t="shared" si="52"/>
        <v>OK</v>
      </c>
    </row>
    <row r="842" spans="1:9" x14ac:dyDescent="0.2">
      <c r="A842" t="str">
        <f>ObesityDataSet_raw_and_data_sin!A842</f>
        <v>Male</v>
      </c>
      <c r="B842">
        <f>ObesityDataSet_raw_and_data_sin!C842</f>
        <v>1.8073300000000001</v>
      </c>
      <c r="C842">
        <f>ObesityDataSet_raw_and_data_sin!D842</f>
        <v>85.073801000000003</v>
      </c>
      <c r="D842" t="str">
        <f>ObesityDataSet_raw_and_data_sin!Q842</f>
        <v>Overweight_Level_I</v>
      </c>
      <c r="E842" t="b">
        <f t="shared" si="53"/>
        <v>0</v>
      </c>
      <c r="F842">
        <f>C842/(B842*B842)</f>
        <v>26.044793711550234</v>
      </c>
      <c r="G842" t="str">
        <f t="shared" si="54"/>
        <v>Overweight</v>
      </c>
      <c r="H842" t="str">
        <f t="shared" si="55"/>
        <v>OK</v>
      </c>
      <c r="I842" t="str">
        <f t="shared" si="52"/>
        <v>OK</v>
      </c>
    </row>
    <row r="843" spans="1:9" x14ac:dyDescent="0.2">
      <c r="A843" t="str">
        <f>ObesityDataSet_raw_and_data_sin!A843</f>
        <v>Male</v>
      </c>
      <c r="B843">
        <f>ObesityDataSet_raw_and_data_sin!C843</f>
        <v>1.8</v>
      </c>
      <c r="C843">
        <f>ObesityDataSet_raw_and_data_sin!D843</f>
        <v>85</v>
      </c>
      <c r="D843" t="str">
        <f>ObesityDataSet_raw_and_data_sin!Q843</f>
        <v>Overweight_Level_I</v>
      </c>
      <c r="E843" t="b">
        <f t="shared" si="53"/>
        <v>0</v>
      </c>
      <c r="F843">
        <f>C843/(B843*B843)</f>
        <v>26.234567901234566</v>
      </c>
      <c r="G843" t="str">
        <f t="shared" si="54"/>
        <v>Overweight</v>
      </c>
      <c r="H843" t="str">
        <f t="shared" si="55"/>
        <v>OK</v>
      </c>
      <c r="I843" t="str">
        <f t="shared" si="52"/>
        <v>OK</v>
      </c>
    </row>
    <row r="844" spans="1:9" x14ac:dyDescent="0.2">
      <c r="A844" t="str">
        <f>ObesityDataSet_raw_and_data_sin!A844</f>
        <v>Male</v>
      </c>
      <c r="B844">
        <f>ObesityDataSet_raw_and_data_sin!C844</f>
        <v>1.814255</v>
      </c>
      <c r="C844">
        <f>ObesityDataSet_raw_and_data_sin!D844</f>
        <v>85.255630999999994</v>
      </c>
      <c r="D844" t="str">
        <f>ObesityDataSet_raw_and_data_sin!Q844</f>
        <v>Overweight_Level_I</v>
      </c>
      <c r="E844" t="b">
        <f t="shared" si="53"/>
        <v>0</v>
      </c>
      <c r="F844">
        <f>C844/(B844*B844)</f>
        <v>25.901589474752434</v>
      </c>
      <c r="G844" t="str">
        <f t="shared" si="54"/>
        <v>Overweight</v>
      </c>
      <c r="H844" t="str">
        <f t="shared" si="55"/>
        <v>OK</v>
      </c>
      <c r="I844" t="str">
        <f t="shared" si="52"/>
        <v>OK</v>
      </c>
    </row>
    <row r="845" spans="1:9" x14ac:dyDescent="0.2">
      <c r="A845" t="str">
        <f>ObesityDataSet_raw_and_data_sin!A845</f>
        <v>Male</v>
      </c>
      <c r="B845">
        <f>ObesityDataSet_raw_and_data_sin!C845</f>
        <v>1.7001809999999999</v>
      </c>
      <c r="C845">
        <f>ObesityDataSet_raw_and_data_sin!D845</f>
        <v>75.057176999999996</v>
      </c>
      <c r="D845" t="str">
        <f>ObesityDataSet_raw_and_data_sin!Q845</f>
        <v>Overweight_Level_I</v>
      </c>
      <c r="E845" t="b">
        <f t="shared" si="53"/>
        <v>0</v>
      </c>
      <c r="F845">
        <f>C845/(B845*B845)</f>
        <v>25.965812037579965</v>
      </c>
      <c r="G845" t="str">
        <f t="shared" si="54"/>
        <v>Overweight</v>
      </c>
      <c r="H845" t="str">
        <f t="shared" si="55"/>
        <v>OK</v>
      </c>
      <c r="I845" t="str">
        <f t="shared" si="52"/>
        <v>OK</v>
      </c>
    </row>
    <row r="846" spans="1:9" x14ac:dyDescent="0.2">
      <c r="A846" t="str">
        <f>ObesityDataSet_raw_and_data_sin!A846</f>
        <v>Female</v>
      </c>
      <c r="B846">
        <f>ObesityDataSet_raw_and_data_sin!C846</f>
        <v>1.604697</v>
      </c>
      <c r="C846">
        <f>ObesityDataSet_raw_and_data_sin!D846</f>
        <v>68.016471999999993</v>
      </c>
      <c r="D846" t="str">
        <f>ObesityDataSet_raw_and_data_sin!Q846</f>
        <v>Overweight_Level_I</v>
      </c>
      <c r="E846" t="b">
        <f t="shared" si="53"/>
        <v>0</v>
      </c>
      <c r="F846">
        <f>C846/(B846*B846)</f>
        <v>26.413625745014041</v>
      </c>
      <c r="G846" t="str">
        <f t="shared" si="54"/>
        <v>Overweight</v>
      </c>
      <c r="H846" t="str">
        <f t="shared" si="55"/>
        <v>OK</v>
      </c>
      <c r="I846" t="str">
        <f t="shared" si="52"/>
        <v>OK</v>
      </c>
    </row>
    <row r="847" spans="1:9" x14ac:dyDescent="0.2">
      <c r="A847" t="str">
        <f>ObesityDataSet_raw_and_data_sin!A847</f>
        <v>Female</v>
      </c>
      <c r="B847">
        <f>ObesityDataSet_raw_and_data_sin!C847</f>
        <v>1.611</v>
      </c>
      <c r="C847">
        <f>ObesityDataSet_raw_and_data_sin!D847</f>
        <v>68.107866000000001</v>
      </c>
      <c r="D847" t="str">
        <f>ObesityDataSet_raw_and_data_sin!Q847</f>
        <v>Overweight_Level_I</v>
      </c>
      <c r="E847" t="b">
        <f t="shared" si="53"/>
        <v>0</v>
      </c>
      <c r="F847">
        <f>C847/(B847*B847)</f>
        <v>26.24255959089454</v>
      </c>
      <c r="G847" t="str">
        <f t="shared" si="54"/>
        <v>Overweight</v>
      </c>
      <c r="H847" t="str">
        <f t="shared" si="55"/>
        <v>OK</v>
      </c>
      <c r="I847" t="str">
        <f t="shared" si="52"/>
        <v>OK</v>
      </c>
    </row>
    <row r="848" spans="1:9" x14ac:dyDescent="0.2">
      <c r="A848" t="str">
        <f>ObesityDataSet_raw_and_data_sin!A848</f>
        <v>Female</v>
      </c>
      <c r="B848">
        <f>ObesityDataSet_raw_and_data_sin!C848</f>
        <v>1.754497</v>
      </c>
      <c r="C848">
        <f>ObesityDataSet_raw_and_data_sin!D848</f>
        <v>77.956920999999994</v>
      </c>
      <c r="D848" t="str">
        <f>ObesityDataSet_raw_and_data_sin!Q848</f>
        <v>Overweight_Level_I</v>
      </c>
      <c r="E848" t="b">
        <f t="shared" si="53"/>
        <v>0</v>
      </c>
      <c r="F848">
        <f>C848/(B848*B848)</f>
        <v>25.324997893224253</v>
      </c>
      <c r="G848" t="str">
        <f t="shared" si="54"/>
        <v>Overweight</v>
      </c>
      <c r="H848" t="str">
        <f t="shared" si="55"/>
        <v>OK</v>
      </c>
      <c r="I848" t="str">
        <f t="shared" si="52"/>
        <v>OK</v>
      </c>
    </row>
    <row r="849" spans="1:9" x14ac:dyDescent="0.2">
      <c r="A849" t="str">
        <f>ObesityDataSet_raw_and_data_sin!A849</f>
        <v>Female</v>
      </c>
      <c r="B849">
        <f>ObesityDataSet_raw_and_data_sin!C849</f>
        <v>1.7529440000000001</v>
      </c>
      <c r="C849">
        <f>ObesityDataSet_raw_and_data_sin!D849</f>
        <v>77.965531999999996</v>
      </c>
      <c r="D849" t="str">
        <f>ObesityDataSet_raw_and_data_sin!Q849</f>
        <v>Overweight_Level_I</v>
      </c>
      <c r="E849" t="b">
        <f t="shared" si="53"/>
        <v>0</v>
      </c>
      <c r="F849">
        <f>C849/(B849*B849)</f>
        <v>25.372692853634774</v>
      </c>
      <c r="G849" t="str">
        <f t="shared" si="54"/>
        <v>Overweight</v>
      </c>
      <c r="H849" t="str">
        <f t="shared" si="55"/>
        <v>OK</v>
      </c>
      <c r="I849" t="str">
        <f t="shared" si="52"/>
        <v>OK</v>
      </c>
    </row>
    <row r="850" spans="1:9" x14ac:dyDescent="0.2">
      <c r="A850" t="str">
        <f>ObesityDataSet_raw_and_data_sin!A850</f>
        <v>Male</v>
      </c>
      <c r="B850">
        <f>ObesityDataSet_raw_and_data_sin!C850</f>
        <v>1.8599270000000001</v>
      </c>
      <c r="C850">
        <f>ObesityDataSet_raw_and_data_sin!D850</f>
        <v>87.105828000000002</v>
      </c>
      <c r="D850" t="str">
        <f>ObesityDataSet_raw_and_data_sin!Q850</f>
        <v>Overweight_Level_I</v>
      </c>
      <c r="E850" t="b">
        <f t="shared" si="53"/>
        <v>0</v>
      </c>
      <c r="F850">
        <f>C850/(B850*B850)</f>
        <v>25.179982004199598</v>
      </c>
      <c r="G850" t="str">
        <f t="shared" si="54"/>
        <v>Overweight</v>
      </c>
      <c r="H850" t="str">
        <f t="shared" si="55"/>
        <v>OK</v>
      </c>
      <c r="I850" t="str">
        <f t="shared" si="52"/>
        <v>OK</v>
      </c>
    </row>
    <row r="851" spans="1:9" x14ac:dyDescent="0.2">
      <c r="A851" t="str">
        <f>ObesityDataSet_raw_and_data_sin!A851</f>
        <v>Male</v>
      </c>
      <c r="B851">
        <f>ObesityDataSet_raw_and_data_sin!C851</f>
        <v>1.8960729999999999</v>
      </c>
      <c r="C851">
        <f>ObesityDataSet_raw_and_data_sin!D851</f>
        <v>90.524460000000005</v>
      </c>
      <c r="D851" t="str">
        <f>ObesityDataSet_raw_and_data_sin!Q851</f>
        <v>Overweight_Level_I</v>
      </c>
      <c r="E851" t="b">
        <f t="shared" si="53"/>
        <v>0</v>
      </c>
      <c r="F851">
        <f>C851/(B851*B851)</f>
        <v>25.180006330555823</v>
      </c>
      <c r="G851" t="str">
        <f t="shared" si="54"/>
        <v>Overweight</v>
      </c>
      <c r="H851" t="str">
        <f t="shared" si="55"/>
        <v>OK</v>
      </c>
      <c r="I851" t="str">
        <f t="shared" si="52"/>
        <v>OK</v>
      </c>
    </row>
    <row r="852" spans="1:9" x14ac:dyDescent="0.2">
      <c r="A852" t="str">
        <f>ObesityDataSet_raw_and_data_sin!A852</f>
        <v>Male</v>
      </c>
      <c r="B852">
        <f>ObesityDataSet_raw_and_data_sin!C852</f>
        <v>1.6053139999999999</v>
      </c>
      <c r="C852">
        <f>ObesityDataSet_raw_and_data_sin!D852</f>
        <v>66.621645999999998</v>
      </c>
      <c r="D852" t="str">
        <f>ObesityDataSet_raw_and_data_sin!Q852</f>
        <v>Overweight_Level_I</v>
      </c>
      <c r="E852" t="b">
        <f t="shared" si="53"/>
        <v>0</v>
      </c>
      <c r="F852">
        <f>C852/(B852*B852)</f>
        <v>25.852072907957872</v>
      </c>
      <c r="G852" t="str">
        <f t="shared" si="54"/>
        <v>Overweight</v>
      </c>
      <c r="H852" t="str">
        <f t="shared" si="55"/>
        <v>OK</v>
      </c>
      <c r="I852" t="str">
        <f t="shared" si="52"/>
        <v>OK</v>
      </c>
    </row>
    <row r="853" spans="1:9" x14ac:dyDescent="0.2">
      <c r="A853" t="str">
        <f>ObesityDataSet_raw_and_data_sin!A853</f>
        <v>Female</v>
      </c>
      <c r="B853">
        <f>ObesityDataSet_raw_and_data_sin!C853</f>
        <v>1.7586280000000001</v>
      </c>
      <c r="C853">
        <f>ObesityDataSet_raw_and_data_sin!D853</f>
        <v>78.370039000000006</v>
      </c>
      <c r="D853" t="str">
        <f>ObesityDataSet_raw_and_data_sin!Q853</f>
        <v>Overweight_Level_I</v>
      </c>
      <c r="E853" t="b">
        <f t="shared" si="53"/>
        <v>0</v>
      </c>
      <c r="F853">
        <f>C853/(B853*B853)</f>
        <v>25.339736582621018</v>
      </c>
      <c r="G853" t="str">
        <f t="shared" si="54"/>
        <v>Overweight</v>
      </c>
      <c r="H853" t="str">
        <f t="shared" si="55"/>
        <v>OK</v>
      </c>
      <c r="I853" t="str">
        <f t="shared" si="52"/>
        <v>OK</v>
      </c>
    </row>
    <row r="854" spans="1:9" x14ac:dyDescent="0.2">
      <c r="A854" t="str">
        <f>ObesityDataSet_raw_and_data_sin!A854</f>
        <v>Female</v>
      </c>
      <c r="B854">
        <f>ObesityDataSet_raw_and_data_sin!C854</f>
        <v>1.7554270000000001</v>
      </c>
      <c r="C854">
        <f>ObesityDataSet_raw_and_data_sin!D854</f>
        <v>78.300083999999998</v>
      </c>
      <c r="D854" t="str">
        <f>ObesityDataSet_raw_and_data_sin!Q854</f>
        <v>Overweight_Level_I</v>
      </c>
      <c r="E854" t="b">
        <f t="shared" si="53"/>
        <v>0</v>
      </c>
      <c r="F854">
        <f>C854/(B854*B854)</f>
        <v>25.409532819247175</v>
      </c>
      <c r="G854" t="str">
        <f t="shared" si="54"/>
        <v>Overweight</v>
      </c>
      <c r="H854" t="str">
        <f t="shared" si="55"/>
        <v>OK</v>
      </c>
      <c r="I854" t="str">
        <f t="shared" si="52"/>
        <v>OK</v>
      </c>
    </row>
    <row r="855" spans="1:9" x14ac:dyDescent="0.2">
      <c r="A855" t="str">
        <f>ObesityDataSet_raw_and_data_sin!A855</f>
        <v>Female</v>
      </c>
      <c r="B855">
        <f>ObesityDataSet_raw_and_data_sin!C855</f>
        <v>1.779882</v>
      </c>
      <c r="C855">
        <f>ObesityDataSet_raw_and_data_sin!D855</f>
        <v>80.091886000000002</v>
      </c>
      <c r="D855" t="str">
        <f>ObesityDataSet_raw_and_data_sin!Q855</f>
        <v>Overweight_Level_I</v>
      </c>
      <c r="E855" t="b">
        <f t="shared" si="53"/>
        <v>0</v>
      </c>
      <c r="F855">
        <f>C855/(B855*B855)</f>
        <v>25.281689805653112</v>
      </c>
      <c r="G855" t="str">
        <f t="shared" si="54"/>
        <v>Overweight</v>
      </c>
      <c r="H855" t="str">
        <f t="shared" si="55"/>
        <v>OK</v>
      </c>
      <c r="I855" t="str">
        <f t="shared" si="52"/>
        <v>OK</v>
      </c>
    </row>
    <row r="856" spans="1:9" x14ac:dyDescent="0.2">
      <c r="A856" t="str">
        <f>ObesityDataSet_raw_and_data_sin!A856</f>
        <v>Male</v>
      </c>
      <c r="B856">
        <f>ObesityDataSet_raw_and_data_sin!C856</f>
        <v>1.7120610000000001</v>
      </c>
      <c r="C856">
        <f>ObesityDataSet_raw_and_data_sin!D856</f>
        <v>75</v>
      </c>
      <c r="D856" t="str">
        <f>ObesityDataSet_raw_and_data_sin!Q856</f>
        <v>Overweight_Level_I</v>
      </c>
      <c r="E856" t="b">
        <f t="shared" si="53"/>
        <v>0</v>
      </c>
      <c r="F856">
        <f>C856/(B856*B856)</f>
        <v>25.58720182284905</v>
      </c>
      <c r="G856" t="str">
        <f t="shared" si="54"/>
        <v>Overweight</v>
      </c>
      <c r="H856" t="str">
        <f t="shared" si="55"/>
        <v>OK</v>
      </c>
      <c r="I856" t="str">
        <f t="shared" si="52"/>
        <v>OK</v>
      </c>
    </row>
    <row r="857" spans="1:9" x14ac:dyDescent="0.2">
      <c r="A857" t="str">
        <f>ObesityDataSet_raw_and_data_sin!A857</f>
        <v>Male</v>
      </c>
      <c r="B857">
        <f>ObesityDataSet_raw_and_data_sin!C857</f>
        <v>1.6760139999999999</v>
      </c>
      <c r="C857">
        <f>ObesityDataSet_raw_and_data_sin!D857</f>
        <v>75</v>
      </c>
      <c r="D857" t="str">
        <f>ObesityDataSet_raw_and_data_sin!Q857</f>
        <v>Overweight_Level_I</v>
      </c>
      <c r="E857" t="b">
        <f t="shared" si="53"/>
        <v>0</v>
      </c>
      <c r="F857">
        <f>C857/(B857*B857)</f>
        <v>26.699675266860929</v>
      </c>
      <c r="G857" t="str">
        <f t="shared" si="54"/>
        <v>Overweight</v>
      </c>
      <c r="H857" t="str">
        <f t="shared" si="55"/>
        <v>OK</v>
      </c>
      <c r="I857" t="str">
        <f t="shared" si="52"/>
        <v>OK</v>
      </c>
    </row>
    <row r="858" spans="1:9" x14ac:dyDescent="0.2">
      <c r="A858" t="str">
        <f>ObesityDataSet_raw_and_data_sin!A858</f>
        <v>Female</v>
      </c>
      <c r="B858">
        <f>ObesityDataSet_raw_and_data_sin!C858</f>
        <v>1.7</v>
      </c>
      <c r="C858">
        <f>ObesityDataSet_raw_and_data_sin!D858</f>
        <v>74.244004000000004</v>
      </c>
      <c r="D858" t="str">
        <f>ObesityDataSet_raw_and_data_sin!Q858</f>
        <v>Overweight_Level_I</v>
      </c>
      <c r="E858" t="b">
        <f t="shared" si="53"/>
        <v>0</v>
      </c>
      <c r="F858">
        <f>C858/(B858*B858)</f>
        <v>25.689966782006923</v>
      </c>
      <c r="G858" t="str">
        <f t="shared" si="54"/>
        <v>Overweight</v>
      </c>
      <c r="H858" t="str">
        <f t="shared" si="55"/>
        <v>OK</v>
      </c>
      <c r="I858" t="str">
        <f t="shared" si="52"/>
        <v>OK</v>
      </c>
    </row>
    <row r="859" spans="1:9" x14ac:dyDescent="0.2">
      <c r="A859" t="str">
        <f>ObesityDataSet_raw_and_data_sin!A859</f>
        <v>Male</v>
      </c>
      <c r="B859">
        <f>ObesityDataSet_raw_and_data_sin!C859</f>
        <v>1.7658739999999999</v>
      </c>
      <c r="C859">
        <f>ObesityDataSet_raw_and_data_sin!D859</f>
        <v>82.045045000000002</v>
      </c>
      <c r="D859" t="str">
        <f>ObesityDataSet_raw_and_data_sin!Q859</f>
        <v>Overweight_Level_I</v>
      </c>
      <c r="E859" t="b">
        <f t="shared" si="53"/>
        <v>0</v>
      </c>
      <c r="F859">
        <f>C859/(B859*B859)</f>
        <v>26.310732131668153</v>
      </c>
      <c r="G859" t="str">
        <f t="shared" si="54"/>
        <v>Overweight</v>
      </c>
      <c r="H859" t="str">
        <f t="shared" si="55"/>
        <v>OK</v>
      </c>
      <c r="I859" t="str">
        <f t="shared" si="52"/>
        <v>OK</v>
      </c>
    </row>
    <row r="860" spans="1:9" x14ac:dyDescent="0.2">
      <c r="A860" t="str">
        <f>ObesityDataSet_raw_and_data_sin!A860</f>
        <v>Male</v>
      </c>
      <c r="B860">
        <f>ObesityDataSet_raw_and_data_sin!C860</f>
        <v>1.7459499999999999</v>
      </c>
      <c r="C860">
        <f>ObesityDataSet_raw_and_data_sin!D860</f>
        <v>80.018570999999994</v>
      </c>
      <c r="D860" t="str">
        <f>ObesityDataSet_raw_and_data_sin!Q860</f>
        <v>Overweight_Level_I</v>
      </c>
      <c r="E860" t="b">
        <f t="shared" si="53"/>
        <v>0</v>
      </c>
      <c r="F860">
        <f>C860/(B860*B860)</f>
        <v>26.249871794010776</v>
      </c>
      <c r="G860" t="str">
        <f t="shared" si="54"/>
        <v>Overweight</v>
      </c>
      <c r="H860" t="str">
        <f t="shared" si="55"/>
        <v>OK</v>
      </c>
      <c r="I860" t="str">
        <f t="shared" si="52"/>
        <v>OK</v>
      </c>
    </row>
    <row r="861" spans="1:9" x14ac:dyDescent="0.2">
      <c r="A861" t="str">
        <f>ObesityDataSet_raw_and_data_sin!A861</f>
        <v>Male</v>
      </c>
      <c r="B861">
        <f>ObesityDataSet_raw_and_data_sin!C861</f>
        <v>1.690196</v>
      </c>
      <c r="C861">
        <f>ObesityDataSet_raw_and_data_sin!D861</f>
        <v>75</v>
      </c>
      <c r="D861" t="str">
        <f>ObesityDataSet_raw_and_data_sin!Q861</f>
        <v>Overweight_Level_I</v>
      </c>
      <c r="E861" t="b">
        <f t="shared" si="53"/>
        <v>0</v>
      </c>
      <c r="F861">
        <f>C861/(B861*B861)</f>
        <v>26.253494827279354</v>
      </c>
      <c r="G861" t="str">
        <f t="shared" si="54"/>
        <v>Overweight</v>
      </c>
      <c r="H861" t="str">
        <f t="shared" si="55"/>
        <v>OK</v>
      </c>
      <c r="I861" t="str">
        <f t="shared" si="52"/>
        <v>OK</v>
      </c>
    </row>
    <row r="862" spans="1:9" x14ac:dyDescent="0.2">
      <c r="A862" t="str">
        <f>ObesityDataSet_raw_and_data_sin!A862</f>
        <v>Male</v>
      </c>
      <c r="B862">
        <f>ObesityDataSet_raw_and_data_sin!C862</f>
        <v>1.81748</v>
      </c>
      <c r="C862">
        <f>ObesityDataSet_raw_and_data_sin!D862</f>
        <v>85</v>
      </c>
      <c r="D862" t="str">
        <f>ObesityDataSet_raw_and_data_sin!Q862</f>
        <v>Overweight_Level_I</v>
      </c>
      <c r="E862" t="b">
        <f t="shared" si="53"/>
        <v>0</v>
      </c>
      <c r="F862">
        <f>C862/(B862*B862)</f>
        <v>25.732361549096961</v>
      </c>
      <c r="G862" t="str">
        <f t="shared" si="54"/>
        <v>Overweight</v>
      </c>
      <c r="H862" t="str">
        <f t="shared" si="55"/>
        <v>OK</v>
      </c>
      <c r="I862" t="str">
        <f t="shared" si="52"/>
        <v>OK</v>
      </c>
    </row>
    <row r="863" spans="1:9" x14ac:dyDescent="0.2">
      <c r="A863" t="str">
        <f>ObesityDataSet_raw_and_data_sin!A863</f>
        <v>Female</v>
      </c>
      <c r="B863">
        <f>ObesityDataSet_raw_and_data_sin!C863</f>
        <v>1.580964</v>
      </c>
      <c r="C863">
        <f>ObesityDataSet_raw_and_data_sin!D863</f>
        <v>65.363940999999997</v>
      </c>
      <c r="D863" t="str">
        <f>ObesityDataSet_raw_and_data_sin!Q863</f>
        <v>Overweight_Level_I</v>
      </c>
      <c r="E863" t="b">
        <f t="shared" si="53"/>
        <v>0</v>
      </c>
      <c r="F863">
        <f>C863/(B863*B863)</f>
        <v>26.151359309751101</v>
      </c>
      <c r="G863" t="str">
        <f t="shared" si="54"/>
        <v>Overweight</v>
      </c>
      <c r="H863" t="str">
        <f t="shared" si="55"/>
        <v>OK</v>
      </c>
      <c r="I863" t="str">
        <f t="shared" si="52"/>
        <v>OK</v>
      </c>
    </row>
    <row r="864" spans="1:9" x14ac:dyDescent="0.2">
      <c r="A864" t="str">
        <f>ObesityDataSet_raw_and_data_sin!A864</f>
        <v>Female</v>
      </c>
      <c r="B864">
        <f>ObesityDataSet_raw_and_data_sin!C864</f>
        <v>1.6520840000000001</v>
      </c>
      <c r="C864">
        <f>ObesityDataSet_raw_and_data_sin!D864</f>
        <v>73.575980999999999</v>
      </c>
      <c r="D864" t="str">
        <f>ObesityDataSet_raw_and_data_sin!Q864</f>
        <v>Overweight_Level_I</v>
      </c>
      <c r="E864" t="b">
        <f t="shared" si="53"/>
        <v>0</v>
      </c>
      <c r="F864">
        <f>C864/(B864*B864)</f>
        <v>26.957015660631804</v>
      </c>
      <c r="G864" t="str">
        <f t="shared" si="54"/>
        <v>Overweight</v>
      </c>
      <c r="H864" t="str">
        <f t="shared" si="55"/>
        <v>OK</v>
      </c>
      <c r="I864" t="str">
        <f t="shared" si="52"/>
        <v>OK</v>
      </c>
    </row>
    <row r="865" spans="1:9" x14ac:dyDescent="0.2">
      <c r="A865" t="str">
        <f>ObesityDataSet_raw_and_data_sin!A865</f>
        <v>Female</v>
      </c>
      <c r="B865">
        <f>ObesityDataSet_raw_and_data_sin!C865</f>
        <v>1.6455109999999999</v>
      </c>
      <c r="C865">
        <f>ObesityDataSet_raw_and_data_sin!D865</f>
        <v>69.168977999999996</v>
      </c>
      <c r="D865" t="str">
        <f>ObesityDataSet_raw_and_data_sin!Q865</f>
        <v>Overweight_Level_I</v>
      </c>
      <c r="E865" t="b">
        <f t="shared" si="53"/>
        <v>0</v>
      </c>
      <c r="F865">
        <f>C865/(B865*B865)</f>
        <v>25.545227759591075</v>
      </c>
      <c r="G865" t="str">
        <f t="shared" si="54"/>
        <v>Overweight</v>
      </c>
      <c r="H865" t="str">
        <f t="shared" si="55"/>
        <v>OK</v>
      </c>
      <c r="I865" t="str">
        <f t="shared" si="52"/>
        <v>OK</v>
      </c>
    </row>
    <row r="866" spans="1:9" x14ac:dyDescent="0.2">
      <c r="A866" t="str">
        <f>ObesityDataSet_raw_and_data_sin!A866</f>
        <v>Male</v>
      </c>
      <c r="B866">
        <f>ObesityDataSet_raw_and_data_sin!C866</f>
        <v>1.7079679999999999</v>
      </c>
      <c r="C866">
        <f>ObesityDataSet_raw_and_data_sin!D866</f>
        <v>75.383716000000007</v>
      </c>
      <c r="D866" t="str">
        <f>ObesityDataSet_raw_and_data_sin!Q866</f>
        <v>Overweight_Level_I</v>
      </c>
      <c r="E866" t="b">
        <f t="shared" si="53"/>
        <v>0</v>
      </c>
      <c r="F866">
        <f>C866/(B866*B866)</f>
        <v>25.841521631895819</v>
      </c>
      <c r="G866" t="str">
        <f t="shared" si="54"/>
        <v>Overweight</v>
      </c>
      <c r="H866" t="str">
        <f t="shared" si="55"/>
        <v>OK</v>
      </c>
      <c r="I866" t="str">
        <f t="shared" si="52"/>
        <v>OK</v>
      </c>
    </row>
    <row r="867" spans="1:9" x14ac:dyDescent="0.2">
      <c r="A867" t="str">
        <f>ObesityDataSet_raw_and_data_sin!A867</f>
        <v>Female</v>
      </c>
      <c r="B867">
        <f>ObesityDataSet_raw_and_data_sin!C867</f>
        <v>1.4563459999999999</v>
      </c>
      <c r="C867">
        <f>ObesityDataSet_raw_and_data_sin!D867</f>
        <v>55.523480999999997</v>
      </c>
      <c r="D867" t="str">
        <f>ObesityDataSet_raw_and_data_sin!Q867</f>
        <v>Overweight_Level_I</v>
      </c>
      <c r="E867" t="b">
        <f t="shared" si="53"/>
        <v>1</v>
      </c>
      <c r="F867">
        <f>C867/(B867*B867)</f>
        <v>26.178668363727645</v>
      </c>
      <c r="G867" t="str">
        <f t="shared" si="54"/>
        <v>Obese</v>
      </c>
      <c r="H867" t="str">
        <f t="shared" si="55"/>
        <v>OK</v>
      </c>
      <c r="I867" t="str">
        <f t="shared" si="52"/>
        <v>ERROR</v>
      </c>
    </row>
    <row r="868" spans="1:9" x14ac:dyDescent="0.2">
      <c r="A868" t="str">
        <f>ObesityDataSet_raw_and_data_sin!A868</f>
        <v>Female</v>
      </c>
      <c r="B868">
        <f>ObesityDataSet_raw_and_data_sin!C868</f>
        <v>1.498561</v>
      </c>
      <c r="C868">
        <f>ObesityDataSet_raw_and_data_sin!D868</f>
        <v>55.376511999999998</v>
      </c>
      <c r="D868" t="str">
        <f>ObesityDataSet_raw_and_data_sin!Q868</f>
        <v>Overweight_Level_I</v>
      </c>
      <c r="E868" t="b">
        <f t="shared" si="53"/>
        <v>1</v>
      </c>
      <c r="F868">
        <f>C868/(B868*B868)</f>
        <v>24.659072958177884</v>
      </c>
      <c r="G868" t="str">
        <f t="shared" si="54"/>
        <v>Overweight</v>
      </c>
      <c r="H868" t="str">
        <f t="shared" si="55"/>
        <v>OK</v>
      </c>
      <c r="I868" t="str">
        <f t="shared" si="52"/>
        <v>OK</v>
      </c>
    </row>
    <row r="869" spans="1:9" x14ac:dyDescent="0.2">
      <c r="A869" t="str">
        <f>ObesityDataSet_raw_and_data_sin!A869</f>
        <v>Female</v>
      </c>
      <c r="B869">
        <f>ObesityDataSet_raw_and_data_sin!C869</f>
        <v>1.6035010000000001</v>
      </c>
      <c r="C869">
        <f>ObesityDataSet_raw_and_data_sin!D869</f>
        <v>65</v>
      </c>
      <c r="D869" t="str">
        <f>ObesityDataSet_raw_and_data_sin!Q869</f>
        <v>Overweight_Level_I</v>
      </c>
      <c r="E869" t="b">
        <f t="shared" si="53"/>
        <v>0</v>
      </c>
      <c r="F869">
        <f>C869/(B869*B869)</f>
        <v>25.279872918862402</v>
      </c>
      <c r="G869" t="str">
        <f t="shared" si="54"/>
        <v>Overweight</v>
      </c>
      <c r="H869" t="str">
        <f t="shared" si="55"/>
        <v>OK</v>
      </c>
      <c r="I869" t="str">
        <f t="shared" si="52"/>
        <v>OK</v>
      </c>
    </row>
    <row r="870" spans="1:9" x14ac:dyDescent="0.2">
      <c r="A870" t="str">
        <f>ObesityDataSet_raw_and_data_sin!A870</f>
        <v>Female</v>
      </c>
      <c r="B870">
        <f>ObesityDataSet_raw_and_data_sin!C870</f>
        <v>1.5580449999999999</v>
      </c>
      <c r="C870">
        <f>ObesityDataSet_raw_and_data_sin!D870</f>
        <v>63.597633000000002</v>
      </c>
      <c r="D870" t="str">
        <f>ObesityDataSet_raw_and_data_sin!Q870</f>
        <v>Overweight_Level_I</v>
      </c>
      <c r="E870" t="b">
        <f t="shared" si="53"/>
        <v>0</v>
      </c>
      <c r="F870">
        <f>C870/(B870*B870)</f>
        <v>26.198773383367175</v>
      </c>
      <c r="G870" t="str">
        <f t="shared" si="54"/>
        <v>Overweight</v>
      </c>
      <c r="H870" t="str">
        <f t="shared" si="55"/>
        <v>OK</v>
      </c>
      <c r="I870" t="str">
        <f t="shared" si="52"/>
        <v>OK</v>
      </c>
    </row>
    <row r="871" spans="1:9" x14ac:dyDescent="0.2">
      <c r="A871" t="str">
        <f>ObesityDataSet_raw_and_data_sin!A871</f>
        <v>Female</v>
      </c>
      <c r="B871">
        <f>ObesityDataSet_raw_and_data_sin!C871</f>
        <v>1.55</v>
      </c>
      <c r="C871">
        <f>ObesityDataSet_raw_and_data_sin!D871</f>
        <v>62.877347</v>
      </c>
      <c r="D871" t="str">
        <f>ObesityDataSet_raw_and_data_sin!Q871</f>
        <v>Overweight_Level_I</v>
      </c>
      <c r="E871" t="b">
        <f t="shared" si="53"/>
        <v>0</v>
      </c>
      <c r="F871">
        <f>C871/(B871*B871)</f>
        <v>26.171632466181059</v>
      </c>
      <c r="G871" t="str">
        <f t="shared" si="54"/>
        <v>Overweight</v>
      </c>
      <c r="H871" t="str">
        <f t="shared" si="55"/>
        <v>OK</v>
      </c>
      <c r="I871" t="str">
        <f t="shared" si="52"/>
        <v>OK</v>
      </c>
    </row>
    <row r="872" spans="1:9" x14ac:dyDescent="0.2">
      <c r="A872" t="str">
        <f>ObesityDataSet_raw_and_data_sin!A872</f>
        <v>Female</v>
      </c>
      <c r="B872">
        <f>ObesityDataSet_raw_and_data_sin!C872</f>
        <v>1.6475139999999999</v>
      </c>
      <c r="C872">
        <f>ObesityDataSet_raw_and_data_sin!D872</f>
        <v>73.916920000000005</v>
      </c>
      <c r="D872" t="str">
        <f>ObesityDataSet_raw_and_data_sin!Q872</f>
        <v>Overweight_Level_I</v>
      </c>
      <c r="E872" t="b">
        <f t="shared" si="53"/>
        <v>0</v>
      </c>
      <c r="F872">
        <f>C872/(B872*B872)</f>
        <v>27.232382264890646</v>
      </c>
      <c r="G872" t="str">
        <f t="shared" si="54"/>
        <v>Overweight</v>
      </c>
      <c r="H872" t="str">
        <f t="shared" si="55"/>
        <v>OK</v>
      </c>
      <c r="I872" t="str">
        <f t="shared" si="52"/>
        <v>OK</v>
      </c>
    </row>
    <row r="873" spans="1:9" x14ac:dyDescent="0.2">
      <c r="A873" t="str">
        <f>ObesityDataSet_raw_and_data_sin!A873</f>
        <v>Male</v>
      </c>
      <c r="B873">
        <f>ObesityDataSet_raw_and_data_sin!C873</f>
        <v>1.8557790000000001</v>
      </c>
      <c r="C873">
        <f>ObesityDataSet_raw_and_data_sin!D873</f>
        <v>86.098523</v>
      </c>
      <c r="D873" t="str">
        <f>ObesityDataSet_raw_and_data_sin!Q873</f>
        <v>Overweight_Level_I</v>
      </c>
      <c r="E873" t="b">
        <f t="shared" si="53"/>
        <v>0</v>
      </c>
      <c r="F873">
        <f>C873/(B873*B873)</f>
        <v>25.000183099422433</v>
      </c>
      <c r="G873" t="str">
        <f t="shared" si="54"/>
        <v>Overweight</v>
      </c>
      <c r="H873" t="str">
        <f t="shared" si="55"/>
        <v>OK</v>
      </c>
      <c r="I873" t="str">
        <f t="shared" si="52"/>
        <v>OK</v>
      </c>
    </row>
    <row r="874" spans="1:9" x14ac:dyDescent="0.2">
      <c r="A874" t="str">
        <f>ObesityDataSet_raw_and_data_sin!A874</f>
        <v>Male</v>
      </c>
      <c r="B874">
        <f>ObesityDataSet_raw_and_data_sin!C874</f>
        <v>1.8532230000000001</v>
      </c>
      <c r="C874">
        <f>ObesityDataSet_raw_and_data_sin!D874</f>
        <v>87.083265999999995</v>
      </c>
      <c r="D874" t="str">
        <f>ObesityDataSet_raw_and_data_sin!Q874</f>
        <v>Overweight_Level_I</v>
      </c>
      <c r="E874" t="b">
        <f t="shared" si="53"/>
        <v>0</v>
      </c>
      <c r="F874">
        <f>C874/(B874*B874)</f>
        <v>25.355918406719958</v>
      </c>
      <c r="G874" t="str">
        <f t="shared" si="54"/>
        <v>Overweight</v>
      </c>
      <c r="H874" t="str">
        <f t="shared" si="55"/>
        <v>OK</v>
      </c>
      <c r="I874" t="str">
        <f t="shared" si="52"/>
        <v>OK</v>
      </c>
    </row>
    <row r="875" spans="1:9" x14ac:dyDescent="0.2">
      <c r="A875" t="str">
        <f>ObesityDataSet_raw_and_data_sin!A875</f>
        <v>Female</v>
      </c>
      <c r="B875">
        <f>ObesityDataSet_raw_and_data_sin!C875</f>
        <v>1.570811</v>
      </c>
      <c r="C875">
        <f>ObesityDataSet_raw_and_data_sin!D875</f>
        <v>62.211571999999997</v>
      </c>
      <c r="D875" t="str">
        <f>ObesityDataSet_raw_and_data_sin!Q875</f>
        <v>Overweight_Level_I</v>
      </c>
      <c r="E875" t="b">
        <f t="shared" si="53"/>
        <v>0</v>
      </c>
      <c r="F875">
        <f>C875/(B875*B875)</f>
        <v>25.212929402282757</v>
      </c>
      <c r="G875" t="str">
        <f t="shared" si="54"/>
        <v>Overweight</v>
      </c>
      <c r="H875" t="str">
        <f t="shared" si="55"/>
        <v>OK</v>
      </c>
      <c r="I875" t="str">
        <f t="shared" si="52"/>
        <v>OK</v>
      </c>
    </row>
    <row r="876" spans="1:9" x14ac:dyDescent="0.2">
      <c r="A876" t="str">
        <f>ObesityDataSet_raw_and_data_sin!A876</f>
        <v>Female</v>
      </c>
      <c r="B876">
        <f>ObesityDataSet_raw_and_data_sin!C876</f>
        <v>1.617124</v>
      </c>
      <c r="C876">
        <f>ObesityDataSet_raw_and_data_sin!D876</f>
        <v>67.913561000000001</v>
      </c>
      <c r="D876" t="str">
        <f>ObesityDataSet_raw_and_data_sin!Q876</f>
        <v>Overweight_Level_I</v>
      </c>
      <c r="E876" t="b">
        <f t="shared" si="53"/>
        <v>0</v>
      </c>
      <c r="F876">
        <f>C876/(B876*B876)</f>
        <v>25.969874912591617</v>
      </c>
      <c r="G876" t="str">
        <f t="shared" si="54"/>
        <v>Overweight</v>
      </c>
      <c r="H876" t="str">
        <f t="shared" si="55"/>
        <v>OK</v>
      </c>
      <c r="I876" t="str">
        <f t="shared" si="52"/>
        <v>OK</v>
      </c>
    </row>
    <row r="877" spans="1:9" x14ac:dyDescent="0.2">
      <c r="A877" t="str">
        <f>ObesityDataSet_raw_and_data_sin!A877</f>
        <v>Female</v>
      </c>
      <c r="B877">
        <f>ObesityDataSet_raw_and_data_sin!C877</f>
        <v>1.644053</v>
      </c>
      <c r="C877">
        <f>ObesityDataSet_raw_and_data_sin!D877</f>
        <v>67.439588999999998</v>
      </c>
      <c r="D877" t="str">
        <f>ObesityDataSet_raw_and_data_sin!Q877</f>
        <v>Overweight_Level_I</v>
      </c>
      <c r="E877" t="b">
        <f t="shared" si="53"/>
        <v>0</v>
      </c>
      <c r="F877">
        <f>C877/(B877*B877)</f>
        <v>24.950731745755579</v>
      </c>
      <c r="G877" t="str">
        <f t="shared" si="54"/>
        <v>Normal</v>
      </c>
      <c r="H877" t="str">
        <f t="shared" si="55"/>
        <v>OK</v>
      </c>
      <c r="I877" t="str">
        <f t="shared" si="52"/>
        <v>ERROR</v>
      </c>
    </row>
    <row r="878" spans="1:9" x14ac:dyDescent="0.2">
      <c r="A878" t="str">
        <f>ObesityDataSet_raw_and_data_sin!A878</f>
        <v>Female</v>
      </c>
      <c r="B878">
        <f>ObesityDataSet_raw_and_data_sin!C878</f>
        <v>1.608914</v>
      </c>
      <c r="C878">
        <f>ObesityDataSet_raw_and_data_sin!D878</f>
        <v>65</v>
      </c>
      <c r="D878" t="str">
        <f>ObesityDataSet_raw_and_data_sin!Q878</f>
        <v>Overweight_Level_I</v>
      </c>
      <c r="E878" t="b">
        <f t="shared" si="53"/>
        <v>0</v>
      </c>
      <c r="F878">
        <f>C878/(B878*B878)</f>
        <v>25.11005680534825</v>
      </c>
      <c r="G878" t="str">
        <f t="shared" si="54"/>
        <v>Overweight</v>
      </c>
      <c r="H878" t="str">
        <f t="shared" si="55"/>
        <v>OK</v>
      </c>
      <c r="I878" t="str">
        <f t="shared" si="52"/>
        <v>OK</v>
      </c>
    </row>
    <row r="879" spans="1:9" x14ac:dyDescent="0.2">
      <c r="A879" t="str">
        <f>ObesityDataSet_raw_and_data_sin!A879</f>
        <v>Female</v>
      </c>
      <c r="B879">
        <f>ObesityDataSet_raw_and_data_sin!C879</f>
        <v>1.6479710000000001</v>
      </c>
      <c r="C879">
        <f>ObesityDataSet_raw_and_data_sin!D879</f>
        <v>68.818893000000003</v>
      </c>
      <c r="D879" t="str">
        <f>ObesityDataSet_raw_and_data_sin!Q879</f>
        <v>Overweight_Level_I</v>
      </c>
      <c r="E879" t="b">
        <f t="shared" si="53"/>
        <v>0</v>
      </c>
      <c r="F879">
        <f>C879/(B879*B879)</f>
        <v>25.340113305948663</v>
      </c>
      <c r="G879" t="str">
        <f t="shared" si="54"/>
        <v>Overweight</v>
      </c>
      <c r="H879" t="str">
        <f t="shared" si="55"/>
        <v>OK</v>
      </c>
      <c r="I879" t="str">
        <f t="shared" si="52"/>
        <v>OK</v>
      </c>
    </row>
    <row r="880" spans="1:9" x14ac:dyDescent="0.2">
      <c r="A880" t="str">
        <f>ObesityDataSet_raw_and_data_sin!A880</f>
        <v>Female</v>
      </c>
      <c r="B880">
        <f>ObesityDataSet_raw_and_data_sin!C880</f>
        <v>1.6248309999999999</v>
      </c>
      <c r="C880">
        <f>ObesityDataSet_raw_and_data_sin!D880</f>
        <v>69.975606999999997</v>
      </c>
      <c r="D880" t="str">
        <f>ObesityDataSet_raw_and_data_sin!Q880</f>
        <v>Overweight_Level_I</v>
      </c>
      <c r="E880" t="b">
        <f t="shared" si="53"/>
        <v>0</v>
      </c>
      <c r="F880">
        <f>C880/(B880*B880)</f>
        <v>26.505150938561666</v>
      </c>
      <c r="G880" t="str">
        <f t="shared" si="54"/>
        <v>Overweight</v>
      </c>
      <c r="H880" t="str">
        <f t="shared" si="55"/>
        <v>OK</v>
      </c>
      <c r="I880" t="str">
        <f t="shared" si="52"/>
        <v>OK</v>
      </c>
    </row>
    <row r="881" spans="1:9" x14ac:dyDescent="0.2">
      <c r="A881" t="str">
        <f>ObesityDataSet_raw_and_data_sin!A881</f>
        <v>Female</v>
      </c>
      <c r="B881">
        <f>ObesityDataSet_raw_and_data_sin!C881</f>
        <v>1.508267</v>
      </c>
      <c r="C881">
        <f>ObesityDataSet_raw_and_data_sin!D881</f>
        <v>61.104030000000002</v>
      </c>
      <c r="D881" t="str">
        <f>ObesityDataSet_raw_and_data_sin!Q881</f>
        <v>Overweight_Level_I</v>
      </c>
      <c r="E881" t="b">
        <f t="shared" si="53"/>
        <v>0</v>
      </c>
      <c r="F881">
        <f>C881/(B881*B881)</f>
        <v>26.860456922618667</v>
      </c>
      <c r="G881" t="str">
        <f t="shared" si="54"/>
        <v>Overweight</v>
      </c>
      <c r="H881" t="str">
        <f t="shared" si="55"/>
        <v>OK</v>
      </c>
      <c r="I881" t="str">
        <f t="shared" si="52"/>
        <v>OK</v>
      </c>
    </row>
    <row r="882" spans="1:9" x14ac:dyDescent="0.2">
      <c r="A882" t="str">
        <f>ObesityDataSet_raw_and_data_sin!A882</f>
        <v>Female</v>
      </c>
      <c r="B882">
        <f>ObesityDataSet_raw_and_data_sin!C882</f>
        <v>1.5189170000000001</v>
      </c>
      <c r="C882">
        <f>ObesityDataSet_raw_and_data_sin!D882</f>
        <v>60.267426999999998</v>
      </c>
      <c r="D882" t="str">
        <f>ObesityDataSet_raw_and_data_sin!Q882</f>
        <v>Overweight_Level_I</v>
      </c>
      <c r="E882" t="b">
        <f t="shared" si="53"/>
        <v>0</v>
      </c>
      <c r="F882">
        <f>C882/(B882*B882)</f>
        <v>26.12248959321192</v>
      </c>
      <c r="G882" t="str">
        <f t="shared" si="54"/>
        <v>Overweight</v>
      </c>
      <c r="H882" t="str">
        <f t="shared" si="55"/>
        <v>OK</v>
      </c>
      <c r="I882" t="str">
        <f t="shared" si="52"/>
        <v>OK</v>
      </c>
    </row>
    <row r="883" spans="1:9" x14ac:dyDescent="0.2">
      <c r="A883" t="str">
        <f>ObesityDataSet_raw_and_data_sin!A883</f>
        <v>Female</v>
      </c>
      <c r="B883">
        <f>ObesityDataSet_raw_and_data_sin!C883</f>
        <v>1.6</v>
      </c>
      <c r="C883">
        <f>ObesityDataSet_raw_and_data_sin!D883</f>
        <v>65</v>
      </c>
      <c r="D883" t="str">
        <f>ObesityDataSet_raw_and_data_sin!Q883</f>
        <v>Overweight_Level_I</v>
      </c>
      <c r="E883" t="b">
        <f t="shared" si="53"/>
        <v>0</v>
      </c>
      <c r="F883">
        <f>C883/(B883*B883)</f>
        <v>25.390624999999996</v>
      </c>
      <c r="G883" t="str">
        <f t="shared" si="54"/>
        <v>Overweight</v>
      </c>
      <c r="H883" t="str">
        <f t="shared" si="55"/>
        <v>OK</v>
      </c>
      <c r="I883" t="str">
        <f t="shared" si="52"/>
        <v>OK</v>
      </c>
    </row>
    <row r="884" spans="1:9" x14ac:dyDescent="0.2">
      <c r="A884" t="str">
        <f>ObesityDataSet_raw_and_data_sin!A884</f>
        <v>Male</v>
      </c>
      <c r="B884">
        <f>ObesityDataSet_raw_and_data_sin!C884</f>
        <v>1.8387910000000001</v>
      </c>
      <c r="C884">
        <f>ObesityDataSet_raw_and_data_sin!D884</f>
        <v>87.857849999999999</v>
      </c>
      <c r="D884" t="str">
        <f>ObesityDataSet_raw_and_data_sin!Q884</f>
        <v>Overweight_Level_I</v>
      </c>
      <c r="E884" t="b">
        <f t="shared" si="53"/>
        <v>0</v>
      </c>
      <c r="F884">
        <f>C884/(B884*B884)</f>
        <v>25.984587833247378</v>
      </c>
      <c r="G884" t="str">
        <f t="shared" si="54"/>
        <v>Overweight</v>
      </c>
      <c r="H884" t="str">
        <f t="shared" si="55"/>
        <v>OK</v>
      </c>
      <c r="I884" t="str">
        <f t="shared" si="52"/>
        <v>OK</v>
      </c>
    </row>
    <row r="885" spans="1:9" x14ac:dyDescent="0.2">
      <c r="A885" t="str">
        <f>ObesityDataSet_raw_and_data_sin!A885</f>
        <v>Female</v>
      </c>
      <c r="B885">
        <f>ObesityDataSet_raw_and_data_sin!C885</f>
        <v>1.7303789999999999</v>
      </c>
      <c r="C885">
        <f>ObesityDataSet_raw_and_data_sin!D885</f>
        <v>75.920518999999999</v>
      </c>
      <c r="D885" t="str">
        <f>ObesityDataSet_raw_and_data_sin!Q885</f>
        <v>Overweight_Level_I</v>
      </c>
      <c r="E885" t="b">
        <f t="shared" si="53"/>
        <v>0</v>
      </c>
      <c r="F885">
        <f>C885/(B885*B885)</f>
        <v>25.355763751089377</v>
      </c>
      <c r="G885" t="str">
        <f t="shared" si="54"/>
        <v>Overweight</v>
      </c>
      <c r="H885" t="str">
        <f t="shared" si="55"/>
        <v>OK</v>
      </c>
      <c r="I885" t="str">
        <f t="shared" si="52"/>
        <v>OK</v>
      </c>
    </row>
    <row r="886" spans="1:9" x14ac:dyDescent="0.2">
      <c r="A886" t="str">
        <f>ObesityDataSet_raw_and_data_sin!A886</f>
        <v>Female</v>
      </c>
      <c r="B886">
        <f>ObesityDataSet_raw_and_data_sin!C886</f>
        <v>1.759117</v>
      </c>
      <c r="C886">
        <f>ObesityDataSet_raw_and_data_sin!D886</f>
        <v>80</v>
      </c>
      <c r="D886" t="str">
        <f>ObesityDataSet_raw_and_data_sin!Q886</f>
        <v>Overweight_Level_I</v>
      </c>
      <c r="E886" t="b">
        <f t="shared" si="53"/>
        <v>0</v>
      </c>
      <c r="F886">
        <f>C886/(B886*B886)</f>
        <v>25.852380287156763</v>
      </c>
      <c r="G886" t="str">
        <f t="shared" si="54"/>
        <v>Overweight</v>
      </c>
      <c r="H886" t="str">
        <f t="shared" si="55"/>
        <v>OK</v>
      </c>
      <c r="I886" t="str">
        <f t="shared" si="52"/>
        <v>OK</v>
      </c>
    </row>
    <row r="887" spans="1:9" x14ac:dyDescent="0.2">
      <c r="A887" t="str">
        <f>ObesityDataSet_raw_and_data_sin!A887</f>
        <v>Female</v>
      </c>
      <c r="B887">
        <f>ObesityDataSet_raw_and_data_sin!C887</f>
        <v>1.7552540000000001</v>
      </c>
      <c r="C887">
        <f>ObesityDataSet_raw_and_data_sin!D887</f>
        <v>80</v>
      </c>
      <c r="D887" t="str">
        <f>ObesityDataSet_raw_and_data_sin!Q887</f>
        <v>Overweight_Level_I</v>
      </c>
      <c r="E887" t="b">
        <f t="shared" si="53"/>
        <v>0</v>
      </c>
      <c r="F887">
        <f>C887/(B887*B887)</f>
        <v>25.966298432984583</v>
      </c>
      <c r="G887" t="str">
        <f t="shared" si="54"/>
        <v>Overweight</v>
      </c>
      <c r="H887" t="str">
        <f t="shared" si="55"/>
        <v>OK</v>
      </c>
      <c r="I887" t="str">
        <f t="shared" si="52"/>
        <v>OK</v>
      </c>
    </row>
    <row r="888" spans="1:9" x14ac:dyDescent="0.2">
      <c r="A888" t="str">
        <f>ObesityDataSet_raw_and_data_sin!A888</f>
        <v>Male</v>
      </c>
      <c r="B888">
        <f>ObesityDataSet_raw_and_data_sin!C888</f>
        <v>1.8040989999999999</v>
      </c>
      <c r="C888">
        <f>ObesityDataSet_raw_and_data_sin!D888</f>
        <v>85.196279000000004</v>
      </c>
      <c r="D888" t="str">
        <f>ObesityDataSet_raw_and_data_sin!Q888</f>
        <v>Overweight_Level_I</v>
      </c>
      <c r="E888" t="b">
        <f t="shared" si="53"/>
        <v>0</v>
      </c>
      <c r="F888">
        <f>C888/(B888*B888)</f>
        <v>26.175795890434827</v>
      </c>
      <c r="G888" t="str">
        <f t="shared" si="54"/>
        <v>Overweight</v>
      </c>
      <c r="H888" t="str">
        <f t="shared" si="55"/>
        <v>OK</v>
      </c>
      <c r="I888" t="str">
        <f t="shared" si="52"/>
        <v>OK</v>
      </c>
    </row>
    <row r="889" spans="1:9" x14ac:dyDescent="0.2">
      <c r="A889" t="str">
        <f>ObesityDataSet_raw_and_data_sin!A889</f>
        <v>Male</v>
      </c>
      <c r="B889">
        <f>ObesityDataSet_raw_and_data_sin!C889</f>
        <v>1.8135669999999999</v>
      </c>
      <c r="C889">
        <f>ObesityDataSet_raw_and_data_sin!D889</f>
        <v>86.144903999999997</v>
      </c>
      <c r="D889" t="str">
        <f>ObesityDataSet_raw_and_data_sin!Q889</f>
        <v>Overweight_Level_I</v>
      </c>
      <c r="E889" t="b">
        <f t="shared" si="53"/>
        <v>0</v>
      </c>
      <c r="F889">
        <f>C889/(B889*B889)</f>
        <v>26.191621255173164</v>
      </c>
      <c r="G889" t="str">
        <f t="shared" si="54"/>
        <v>Overweight</v>
      </c>
      <c r="H889" t="str">
        <f t="shared" si="55"/>
        <v>OK</v>
      </c>
      <c r="I889" t="str">
        <f t="shared" si="52"/>
        <v>OK</v>
      </c>
    </row>
    <row r="890" spans="1:9" x14ac:dyDescent="0.2">
      <c r="A890" t="str">
        <f>ObesityDataSet_raw_and_data_sin!A890</f>
        <v>Female</v>
      </c>
      <c r="B890">
        <f>ObesityDataSet_raw_and_data_sin!C890</f>
        <v>1.7565500000000001</v>
      </c>
      <c r="C890">
        <f>ObesityDataSet_raw_and_data_sin!D890</f>
        <v>78.721695999999994</v>
      </c>
      <c r="D890" t="str">
        <f>ObesityDataSet_raw_and_data_sin!Q890</f>
        <v>Overweight_Level_I</v>
      </c>
      <c r="E890" t="b">
        <f t="shared" si="53"/>
        <v>0</v>
      </c>
      <c r="F890">
        <f>C890/(B890*B890)</f>
        <v>25.513697917977286</v>
      </c>
      <c r="G890" t="str">
        <f t="shared" si="54"/>
        <v>Overweight</v>
      </c>
      <c r="H890" t="str">
        <f t="shared" si="55"/>
        <v>OK</v>
      </c>
      <c r="I890" t="str">
        <f t="shared" si="52"/>
        <v>OK</v>
      </c>
    </row>
    <row r="891" spans="1:9" x14ac:dyDescent="0.2">
      <c r="A891" t="str">
        <f>ObesityDataSet_raw_and_data_sin!A891</f>
        <v>Female</v>
      </c>
      <c r="B891">
        <f>ObesityDataSet_raw_and_data_sin!C891</f>
        <v>1.7567740000000001</v>
      </c>
      <c r="C891">
        <f>ObesityDataSet_raw_and_data_sin!D891</f>
        <v>79.989789000000002</v>
      </c>
      <c r="D891" t="str">
        <f>ObesityDataSet_raw_and_data_sin!Q891</f>
        <v>Overweight_Level_I</v>
      </c>
      <c r="E891" t="b">
        <f t="shared" si="53"/>
        <v>0</v>
      </c>
      <c r="F891">
        <f>C891/(B891*B891)</f>
        <v>25.918076091176143</v>
      </c>
      <c r="G891" t="str">
        <f t="shared" si="54"/>
        <v>Overweight</v>
      </c>
      <c r="H891" t="str">
        <f t="shared" si="55"/>
        <v>OK</v>
      </c>
      <c r="I891" t="str">
        <f t="shared" si="52"/>
        <v>OK</v>
      </c>
    </row>
    <row r="892" spans="1:9" x14ac:dyDescent="0.2">
      <c r="A892" t="str">
        <f>ObesityDataSet_raw_and_data_sin!A892</f>
        <v>Female</v>
      </c>
      <c r="B892">
        <f>ObesityDataSet_raw_and_data_sin!C892</f>
        <v>1.62</v>
      </c>
      <c r="C892">
        <f>ObesityDataSet_raw_and_data_sin!D892</f>
        <v>69.389899999999997</v>
      </c>
      <c r="D892" t="str">
        <f>ObesityDataSet_raw_and_data_sin!Q892</f>
        <v>Overweight_Level_I</v>
      </c>
      <c r="E892" t="b">
        <f t="shared" si="53"/>
        <v>0</v>
      </c>
      <c r="F892">
        <f>C892/(B892*B892)</f>
        <v>26.440291114159422</v>
      </c>
      <c r="G892" t="str">
        <f t="shared" si="54"/>
        <v>Overweight</v>
      </c>
      <c r="H892" t="str">
        <f t="shared" si="55"/>
        <v>OK</v>
      </c>
      <c r="I892" t="str">
        <f t="shared" si="52"/>
        <v>OK</v>
      </c>
    </row>
    <row r="893" spans="1:9" x14ac:dyDescent="0.2">
      <c r="A893" t="str">
        <f>ObesityDataSet_raw_and_data_sin!A893</f>
        <v>Female</v>
      </c>
      <c r="B893">
        <f>ObesityDataSet_raw_and_data_sin!C893</f>
        <v>1.7095849999999999</v>
      </c>
      <c r="C893">
        <f>ObesityDataSet_raw_and_data_sin!D893</f>
        <v>75</v>
      </c>
      <c r="D893" t="str">
        <f>ObesityDataSet_raw_and_data_sin!Q893</f>
        <v>Overweight_Level_I</v>
      </c>
      <c r="E893" t="b">
        <f t="shared" si="53"/>
        <v>0</v>
      </c>
      <c r="F893">
        <f>C893/(B893*B893)</f>
        <v>25.661371623821339</v>
      </c>
      <c r="G893" t="str">
        <f t="shared" si="54"/>
        <v>Overweight</v>
      </c>
      <c r="H893" t="str">
        <f t="shared" si="55"/>
        <v>OK</v>
      </c>
      <c r="I893" t="str">
        <f t="shared" si="52"/>
        <v>OK</v>
      </c>
    </row>
    <row r="894" spans="1:9" x14ac:dyDescent="0.2">
      <c r="A894" t="str">
        <f>ObesityDataSet_raw_and_data_sin!A894</f>
        <v>Female</v>
      </c>
      <c r="B894">
        <f>ObesityDataSet_raw_and_data_sin!C894</f>
        <v>1.5356179999999999</v>
      </c>
      <c r="C894">
        <f>ObesityDataSet_raw_and_data_sin!D894</f>
        <v>57.259124</v>
      </c>
      <c r="D894" t="str">
        <f>ObesityDataSet_raw_and_data_sin!Q894</f>
        <v>Overweight_Level_I</v>
      </c>
      <c r="E894" t="b">
        <f t="shared" si="53"/>
        <v>0</v>
      </c>
      <c r="F894">
        <f>C894/(B894*B894)</f>
        <v>24.281656510147457</v>
      </c>
      <c r="G894" t="str">
        <f t="shared" si="54"/>
        <v>Normal</v>
      </c>
      <c r="H894" t="str">
        <f t="shared" si="55"/>
        <v>OK</v>
      </c>
      <c r="I894" t="str">
        <f t="shared" si="52"/>
        <v>ERROR</v>
      </c>
    </row>
    <row r="895" spans="1:9" x14ac:dyDescent="0.2">
      <c r="A895" t="str">
        <f>ObesityDataSet_raw_and_data_sin!A895</f>
        <v>Male</v>
      </c>
      <c r="B895">
        <f>ObesityDataSet_raw_and_data_sin!C895</f>
        <v>1.818848</v>
      </c>
      <c r="C895">
        <f>ObesityDataSet_raw_and_data_sin!D895</f>
        <v>87.032398000000001</v>
      </c>
      <c r="D895" t="str">
        <f>ObesityDataSet_raw_and_data_sin!Q895</f>
        <v>Overweight_Level_I</v>
      </c>
      <c r="E895" t="b">
        <f t="shared" si="53"/>
        <v>0</v>
      </c>
      <c r="F895">
        <f>C895/(B895*B895)</f>
        <v>26.308018347330972</v>
      </c>
      <c r="G895" t="str">
        <f t="shared" si="54"/>
        <v>Overweight</v>
      </c>
      <c r="H895" t="str">
        <f t="shared" si="55"/>
        <v>OK</v>
      </c>
      <c r="I895" t="str">
        <f t="shared" si="52"/>
        <v>OK</v>
      </c>
    </row>
    <row r="896" spans="1:9" x14ac:dyDescent="0.2">
      <c r="A896" t="str">
        <f>ObesityDataSet_raw_and_data_sin!A896</f>
        <v>Male</v>
      </c>
      <c r="B896">
        <f>ObesityDataSet_raw_and_data_sin!C896</f>
        <v>1.8176410000000001</v>
      </c>
      <c r="C896">
        <f>ObesityDataSet_raw_and_data_sin!D896</f>
        <v>87.107316999999995</v>
      </c>
      <c r="D896" t="str">
        <f>ObesityDataSet_raw_and_data_sin!Q896</f>
        <v>Overweight_Level_I</v>
      </c>
      <c r="E896" t="b">
        <f t="shared" si="53"/>
        <v>0</v>
      </c>
      <c r="F896">
        <f>C896/(B896*B896)</f>
        <v>26.365645982554877</v>
      </c>
      <c r="G896" t="str">
        <f t="shared" si="54"/>
        <v>Overweight</v>
      </c>
      <c r="H896" t="str">
        <f t="shared" si="55"/>
        <v>OK</v>
      </c>
      <c r="I896" t="str">
        <f t="shared" si="52"/>
        <v>OK</v>
      </c>
    </row>
    <row r="897" spans="1:9" x14ac:dyDescent="0.2">
      <c r="A897" t="str">
        <f>ObesityDataSet_raw_and_data_sin!A897</f>
        <v>Male</v>
      </c>
      <c r="B897">
        <f>ObesityDataSet_raw_and_data_sin!C897</f>
        <v>1.636592</v>
      </c>
      <c r="C897">
        <f>ObesityDataSet_raw_and_data_sin!D897</f>
        <v>70</v>
      </c>
      <c r="D897" t="str">
        <f>ObesityDataSet_raw_and_data_sin!Q897</f>
        <v>Overweight_Level_I</v>
      </c>
      <c r="E897" t="b">
        <f t="shared" si="53"/>
        <v>0</v>
      </c>
      <c r="F897">
        <f>C897/(B897*B897)</f>
        <v>26.134680319986746</v>
      </c>
      <c r="G897" t="str">
        <f t="shared" si="54"/>
        <v>Overweight</v>
      </c>
      <c r="H897" t="str">
        <f t="shared" si="55"/>
        <v>OK</v>
      </c>
      <c r="I897" t="str">
        <f t="shared" si="52"/>
        <v>OK</v>
      </c>
    </row>
    <row r="898" spans="1:9" x14ac:dyDescent="0.2">
      <c r="A898" t="str">
        <f>ObesityDataSet_raw_and_data_sin!A898</f>
        <v>Male</v>
      </c>
      <c r="B898">
        <f>ObesityDataSet_raw_and_data_sin!C898</f>
        <v>1.6214120000000001</v>
      </c>
      <c r="C898">
        <f>ObesityDataSet_raw_and_data_sin!D898</f>
        <v>70</v>
      </c>
      <c r="D898" t="str">
        <f>ObesityDataSet_raw_and_data_sin!Q898</f>
        <v>Overweight_Level_I</v>
      </c>
      <c r="E898" t="b">
        <f t="shared" si="53"/>
        <v>0</v>
      </c>
      <c r="F898">
        <f>C898/(B898*B898)</f>
        <v>26.626327792800634</v>
      </c>
      <c r="G898" t="str">
        <f t="shared" si="54"/>
        <v>Overweight</v>
      </c>
      <c r="H898" t="str">
        <f t="shared" si="55"/>
        <v>OK</v>
      </c>
      <c r="I898" t="str">
        <f t="shared" ref="I898:I961" si="56">IF(AND(LEFT(D898,10)="Overweight",G898&lt;&gt;"Overweight"),"ERROR","OK")</f>
        <v>OK</v>
      </c>
    </row>
    <row r="899" spans="1:9" x14ac:dyDescent="0.2">
      <c r="A899" t="str">
        <f>ObesityDataSet_raw_and_data_sin!A899</f>
        <v>Male</v>
      </c>
      <c r="B899">
        <f>ObesityDataSet_raw_and_data_sin!C899</f>
        <v>1.8028709999999999</v>
      </c>
      <c r="C899">
        <f>ObesityDataSet_raw_and_data_sin!D899</f>
        <v>85.770013000000006</v>
      </c>
      <c r="D899" t="str">
        <f>ObesityDataSet_raw_and_data_sin!Q899</f>
        <v>Overweight_Level_I</v>
      </c>
      <c r="E899" t="b">
        <f t="shared" ref="E899:E962" si="57">IF(AND(A899="Female", B899&lt;1.5), TRUE, IF(AND(A899="Male",B899&lt;1.6),TRUE, FALSE))</f>
        <v>0</v>
      </c>
      <c r="F899">
        <f>C899/(B899*B899)</f>
        <v>26.387981442083174</v>
      </c>
      <c r="G899" t="str">
        <f t="shared" ref="G899:G962" si="58">IF(E899=TRUE,IF(F899&lt;23,"Normal",IF(F899&lt;25,"Overweight","Obese")),IF(F899&lt;25,"Normal",IF(F899&lt;30,"Overweight","Obese")))</f>
        <v>Overweight</v>
      </c>
      <c r="H899" t="str">
        <f t="shared" ref="H899:H962" si="59">IF(AND(D899="Normal_Weight",G899&lt;&gt;"Normal"),"ERROR","OK")</f>
        <v>OK</v>
      </c>
      <c r="I899" t="str">
        <f t="shared" si="56"/>
        <v>OK</v>
      </c>
    </row>
    <row r="900" spans="1:9" x14ac:dyDescent="0.2">
      <c r="A900" t="str">
        <f>ObesityDataSet_raw_and_data_sin!A900</f>
        <v>Male</v>
      </c>
      <c r="B900">
        <f>ObesityDataSet_raw_and_data_sin!C900</f>
        <v>1.6962010000000001</v>
      </c>
      <c r="C900">
        <f>ObesityDataSet_raw_and_data_sin!D900</f>
        <v>75.399191000000002</v>
      </c>
      <c r="D900" t="str">
        <f>ObesityDataSet_raw_and_data_sin!Q900</f>
        <v>Overweight_Level_I</v>
      </c>
      <c r="E900" t="b">
        <f t="shared" si="57"/>
        <v>0</v>
      </c>
      <c r="F900">
        <f>C900/(B900*B900)</f>
        <v>26.206683050842852</v>
      </c>
      <c r="G900" t="str">
        <f t="shared" si="58"/>
        <v>Overweight</v>
      </c>
      <c r="H900" t="str">
        <f t="shared" si="59"/>
        <v>OK</v>
      </c>
      <c r="I900" t="str">
        <f t="shared" si="56"/>
        <v>OK</v>
      </c>
    </row>
    <row r="901" spans="1:9" x14ac:dyDescent="0.2">
      <c r="A901" t="str">
        <f>ObesityDataSet_raw_and_data_sin!A901</f>
        <v>Male</v>
      </c>
      <c r="B901">
        <f>ObesityDataSet_raw_and_data_sin!C901</f>
        <v>1.6946330000000001</v>
      </c>
      <c r="C901">
        <f>ObesityDataSet_raw_and_data_sin!D901</f>
        <v>75.052199999999999</v>
      </c>
      <c r="D901" t="str">
        <f>ObesityDataSet_raw_and_data_sin!Q901</f>
        <v>Overweight_Level_I</v>
      </c>
      <c r="E901" t="b">
        <f t="shared" si="57"/>
        <v>0</v>
      </c>
      <c r="F901">
        <f>C901/(B901*B901)</f>
        <v>26.134374409976218</v>
      </c>
      <c r="G901" t="str">
        <f t="shared" si="58"/>
        <v>Overweight</v>
      </c>
      <c r="H901" t="str">
        <f t="shared" si="59"/>
        <v>OK</v>
      </c>
      <c r="I901" t="str">
        <f t="shared" si="56"/>
        <v>OK</v>
      </c>
    </row>
    <row r="902" spans="1:9" x14ac:dyDescent="0.2">
      <c r="A902" t="str">
        <f>ObesityDataSet_raw_and_data_sin!A902</f>
        <v>Female</v>
      </c>
      <c r="B902">
        <f>ObesityDataSet_raw_and_data_sin!C902</f>
        <v>1.6181479999999999</v>
      </c>
      <c r="C902">
        <f>ObesityDataSet_raw_and_data_sin!D902</f>
        <v>68.981403</v>
      </c>
      <c r="D902" t="str">
        <f>ObesityDataSet_raw_and_data_sin!Q902</f>
        <v>Overweight_Level_I</v>
      </c>
      <c r="E902" t="b">
        <f t="shared" si="57"/>
        <v>0</v>
      </c>
      <c r="F902">
        <f>C902/(B902*B902)</f>
        <v>26.344838559905043</v>
      </c>
      <c r="G902" t="str">
        <f t="shared" si="58"/>
        <v>Overweight</v>
      </c>
      <c r="H902" t="str">
        <f t="shared" si="59"/>
        <v>OK</v>
      </c>
      <c r="I902" t="str">
        <f t="shared" si="56"/>
        <v>OK</v>
      </c>
    </row>
    <row r="903" spans="1:9" x14ac:dyDescent="0.2">
      <c r="A903" t="str">
        <f>ObesityDataSet_raw_and_data_sin!A903</f>
        <v>Male</v>
      </c>
      <c r="B903">
        <f>ObesityDataSet_raw_and_data_sin!C903</f>
        <v>1.856811</v>
      </c>
      <c r="C903">
        <f>ObesityDataSet_raw_and_data_sin!D903</f>
        <v>88.633616000000004</v>
      </c>
      <c r="D903" t="str">
        <f>ObesityDataSet_raw_and_data_sin!Q903</f>
        <v>Overweight_Level_I</v>
      </c>
      <c r="E903" t="b">
        <f t="shared" si="57"/>
        <v>0</v>
      </c>
      <c r="F903">
        <f>C903/(B903*B903)</f>
        <v>25.707690759641086</v>
      </c>
      <c r="G903" t="str">
        <f t="shared" si="58"/>
        <v>Overweight</v>
      </c>
      <c r="H903" t="str">
        <f t="shared" si="59"/>
        <v>OK</v>
      </c>
      <c r="I903" t="str">
        <f t="shared" si="56"/>
        <v>OK</v>
      </c>
    </row>
    <row r="904" spans="1:9" x14ac:dyDescent="0.2">
      <c r="A904" t="str">
        <f>ObesityDataSet_raw_and_data_sin!A904</f>
        <v>Female</v>
      </c>
      <c r="B904">
        <f>ObesityDataSet_raw_and_data_sin!C904</f>
        <v>1.738321</v>
      </c>
      <c r="C904">
        <f>ObesityDataSet_raw_and_data_sin!D904</f>
        <v>86.934845999999993</v>
      </c>
      <c r="D904" t="str">
        <f>ObesityDataSet_raw_and_data_sin!Q904</f>
        <v>Overweight_Level_I</v>
      </c>
      <c r="E904" t="b">
        <f t="shared" si="57"/>
        <v>0</v>
      </c>
      <c r="F904">
        <f>C904/(B904*B904)</f>
        <v>28.769607415728178</v>
      </c>
      <c r="G904" t="str">
        <f t="shared" si="58"/>
        <v>Overweight</v>
      </c>
      <c r="H904" t="str">
        <f t="shared" si="59"/>
        <v>OK</v>
      </c>
      <c r="I904" t="str">
        <f t="shared" si="56"/>
        <v>OK</v>
      </c>
    </row>
    <row r="905" spans="1:9" x14ac:dyDescent="0.2">
      <c r="A905" t="str">
        <f>ObesityDataSet_raw_and_data_sin!A905</f>
        <v>Female</v>
      </c>
      <c r="B905">
        <f>ObesityDataSet_raw_and_data_sin!C905</f>
        <v>1.739293</v>
      </c>
      <c r="C905">
        <f>ObesityDataSet_raw_and_data_sin!D905</f>
        <v>80.914382000000003</v>
      </c>
      <c r="D905" t="str">
        <f>ObesityDataSet_raw_and_data_sin!Q905</f>
        <v>Overweight_Level_I</v>
      </c>
      <c r="E905" t="b">
        <f t="shared" si="57"/>
        <v>0</v>
      </c>
      <c r="F905">
        <f>C905/(B905*B905)</f>
        <v>26.747316904148068</v>
      </c>
      <c r="G905" t="str">
        <f t="shared" si="58"/>
        <v>Overweight</v>
      </c>
      <c r="H905" t="str">
        <f t="shared" si="59"/>
        <v>OK</v>
      </c>
      <c r="I905" t="str">
        <f t="shared" si="56"/>
        <v>OK</v>
      </c>
    </row>
    <row r="906" spans="1:9" x14ac:dyDescent="0.2">
      <c r="A906" t="str">
        <f>ObesityDataSet_raw_and_data_sin!A906</f>
        <v>Male</v>
      </c>
      <c r="B906">
        <f>ObesityDataSet_raw_and_data_sin!C906</f>
        <v>1.8075380000000001</v>
      </c>
      <c r="C906">
        <f>ObesityDataSet_raw_and_data_sin!D906</f>
        <v>85.316125</v>
      </c>
      <c r="D906" t="str">
        <f>ObesityDataSet_raw_and_data_sin!Q906</f>
        <v>Overweight_Level_I</v>
      </c>
      <c r="E906" t="b">
        <f t="shared" si="57"/>
        <v>0</v>
      </c>
      <c r="F906">
        <f>C906/(B906*B906)</f>
        <v>26.112968769292852</v>
      </c>
      <c r="G906" t="str">
        <f t="shared" si="58"/>
        <v>Overweight</v>
      </c>
      <c r="H906" t="str">
        <f t="shared" si="59"/>
        <v>OK</v>
      </c>
      <c r="I906" t="str">
        <f t="shared" si="56"/>
        <v>OK</v>
      </c>
    </row>
    <row r="907" spans="1:9" x14ac:dyDescent="0.2">
      <c r="A907" t="str">
        <f>ObesityDataSet_raw_and_data_sin!A907</f>
        <v>Male</v>
      </c>
      <c r="B907">
        <f>ObesityDataSet_raw_and_data_sin!C907</f>
        <v>1.8494250000000001</v>
      </c>
      <c r="C907">
        <f>ObesityDataSet_raw_and_data_sin!D907</f>
        <v>85.228116</v>
      </c>
      <c r="D907" t="str">
        <f>ObesityDataSet_raw_and_data_sin!Q907</f>
        <v>Overweight_Level_I</v>
      </c>
      <c r="E907" t="b">
        <f t="shared" si="57"/>
        <v>0</v>
      </c>
      <c r="F907">
        <f>C907/(B907*B907)</f>
        <v>24.917785346934352</v>
      </c>
      <c r="G907" t="str">
        <f t="shared" si="58"/>
        <v>Normal</v>
      </c>
      <c r="H907" t="str">
        <f t="shared" si="59"/>
        <v>OK</v>
      </c>
      <c r="I907" t="str">
        <f t="shared" si="56"/>
        <v>ERROR</v>
      </c>
    </row>
    <row r="908" spans="1:9" x14ac:dyDescent="0.2">
      <c r="A908" t="str">
        <f>ObesityDataSet_raw_and_data_sin!A908</f>
        <v>Male</v>
      </c>
      <c r="B908">
        <f>ObesityDataSet_raw_and_data_sin!C908</f>
        <v>1.7124729999999999</v>
      </c>
      <c r="C908">
        <f>ObesityDataSet_raw_and_data_sin!D908</f>
        <v>75</v>
      </c>
      <c r="D908" t="str">
        <f>ObesityDataSet_raw_and_data_sin!Q908</f>
        <v>Overweight_Level_I</v>
      </c>
      <c r="E908" t="b">
        <f t="shared" si="57"/>
        <v>0</v>
      </c>
      <c r="F908">
        <f>C908/(B908*B908)</f>
        <v>25.574891370045624</v>
      </c>
      <c r="G908" t="str">
        <f t="shared" si="58"/>
        <v>Overweight</v>
      </c>
      <c r="H908" t="str">
        <f t="shared" si="59"/>
        <v>OK</v>
      </c>
      <c r="I908" t="str">
        <f t="shared" si="56"/>
        <v>OK</v>
      </c>
    </row>
    <row r="909" spans="1:9" x14ac:dyDescent="0.2">
      <c r="A909" t="str">
        <f>ObesityDataSet_raw_and_data_sin!A909</f>
        <v>Female</v>
      </c>
      <c r="B909">
        <f>ObesityDataSet_raw_and_data_sin!C909</f>
        <v>1.753471</v>
      </c>
      <c r="C909">
        <f>ObesityDataSet_raw_and_data_sin!D909</f>
        <v>80</v>
      </c>
      <c r="D909" t="str">
        <f>ObesityDataSet_raw_and_data_sin!Q909</f>
        <v>Overweight_Level_I</v>
      </c>
      <c r="E909" t="b">
        <f t="shared" si="57"/>
        <v>0</v>
      </c>
      <c r="F909">
        <f>C909/(B909*B909)</f>
        <v>26.019132439246118</v>
      </c>
      <c r="G909" t="str">
        <f t="shared" si="58"/>
        <v>Overweight</v>
      </c>
      <c r="H909" t="str">
        <f t="shared" si="59"/>
        <v>OK</v>
      </c>
      <c r="I909" t="str">
        <f t="shared" si="56"/>
        <v>OK</v>
      </c>
    </row>
    <row r="910" spans="1:9" x14ac:dyDescent="0.2">
      <c r="A910" t="str">
        <f>ObesityDataSet_raw_and_data_sin!A910</f>
        <v>Male</v>
      </c>
      <c r="B910">
        <f>ObesityDataSet_raw_and_data_sin!C910</f>
        <v>1.7174320000000001</v>
      </c>
      <c r="C910">
        <f>ObesityDataSet_raw_and_data_sin!D910</f>
        <v>75.371244000000004</v>
      </c>
      <c r="D910" t="str">
        <f>ObesityDataSet_raw_and_data_sin!Q910</f>
        <v>Overweight_Level_I</v>
      </c>
      <c r="E910" t="b">
        <f t="shared" si="57"/>
        <v>0</v>
      </c>
      <c r="F910">
        <f>C910/(B910*B910)</f>
        <v>25.553275784129657</v>
      </c>
      <c r="G910" t="str">
        <f t="shared" si="58"/>
        <v>Overweight</v>
      </c>
      <c r="H910" t="str">
        <f t="shared" si="59"/>
        <v>OK</v>
      </c>
      <c r="I910" t="str">
        <f t="shared" si="56"/>
        <v>OK</v>
      </c>
    </row>
    <row r="911" spans="1:9" x14ac:dyDescent="0.2">
      <c r="A911" t="str">
        <f>ObesityDataSet_raw_and_data_sin!A911</f>
        <v>Male</v>
      </c>
      <c r="B911">
        <f>ObesityDataSet_raw_and_data_sin!C911</f>
        <v>1.677573</v>
      </c>
      <c r="C911">
        <f>ObesityDataSet_raw_and_data_sin!D911</f>
        <v>75</v>
      </c>
      <c r="D911" t="str">
        <f>ObesityDataSet_raw_and_data_sin!Q911</f>
        <v>Overweight_Level_I</v>
      </c>
      <c r="E911" t="b">
        <f t="shared" si="57"/>
        <v>0</v>
      </c>
      <c r="F911">
        <f>C911/(B911*B911)</f>
        <v>26.650073309281819</v>
      </c>
      <c r="G911" t="str">
        <f t="shared" si="58"/>
        <v>Overweight</v>
      </c>
      <c r="H911" t="str">
        <f t="shared" si="59"/>
        <v>OK</v>
      </c>
      <c r="I911" t="str">
        <f t="shared" si="56"/>
        <v>OK</v>
      </c>
    </row>
    <row r="912" spans="1:9" x14ac:dyDescent="0.2">
      <c r="A912" t="str">
        <f>ObesityDataSet_raw_and_data_sin!A912</f>
        <v>Female</v>
      </c>
      <c r="B912">
        <f>ObesityDataSet_raw_and_data_sin!C912</f>
        <v>1.6797249999999999</v>
      </c>
      <c r="C912">
        <f>ObesityDataSet_raw_and_data_sin!D912</f>
        <v>74.885221999999999</v>
      </c>
      <c r="D912" t="str">
        <f>ObesityDataSet_raw_and_data_sin!Q912</f>
        <v>Overweight_Level_I</v>
      </c>
      <c r="E912" t="b">
        <f t="shared" si="57"/>
        <v>0</v>
      </c>
      <c r="F912">
        <f>C912/(B912*B912)</f>
        <v>26.541150799377871</v>
      </c>
      <c r="G912" t="str">
        <f t="shared" si="58"/>
        <v>Overweight</v>
      </c>
      <c r="H912" t="str">
        <f t="shared" si="59"/>
        <v>OK</v>
      </c>
      <c r="I912" t="str">
        <f t="shared" si="56"/>
        <v>OK</v>
      </c>
    </row>
    <row r="913" spans="1:9" x14ac:dyDescent="0.2">
      <c r="A913" t="str">
        <f>ObesityDataSet_raw_and_data_sin!A913</f>
        <v>Female</v>
      </c>
      <c r="B913">
        <f>ObesityDataSet_raw_and_data_sin!C913</f>
        <v>1.6009139999999999</v>
      </c>
      <c r="C913">
        <f>ObesityDataSet_raw_and_data_sin!D913</f>
        <v>68.058902000000003</v>
      </c>
      <c r="D913" t="str">
        <f>ObesityDataSet_raw_and_data_sin!Q913</f>
        <v>Overweight_Level_I</v>
      </c>
      <c r="E913" t="b">
        <f t="shared" si="57"/>
        <v>0</v>
      </c>
      <c r="F913">
        <f>C913/(B913*B913)</f>
        <v>26.555160657045036</v>
      </c>
      <c r="G913" t="str">
        <f t="shared" si="58"/>
        <v>Overweight</v>
      </c>
      <c r="H913" t="str">
        <f t="shared" si="59"/>
        <v>OK</v>
      </c>
      <c r="I913" t="str">
        <f t="shared" si="56"/>
        <v>OK</v>
      </c>
    </row>
    <row r="914" spans="1:9" x14ac:dyDescent="0.2">
      <c r="A914" t="str">
        <f>ObesityDataSet_raw_and_data_sin!A914</f>
        <v>Female</v>
      </c>
      <c r="B914">
        <f>ObesityDataSet_raw_and_data_sin!C914</f>
        <v>1.6177490000000001</v>
      </c>
      <c r="C914">
        <f>ObesityDataSet_raw_and_data_sin!D914</f>
        <v>68.908135999999999</v>
      </c>
      <c r="D914" t="str">
        <f>ObesityDataSet_raw_and_data_sin!Q914</f>
        <v>Overweight_Level_I</v>
      </c>
      <c r="E914" t="b">
        <f t="shared" si="57"/>
        <v>0</v>
      </c>
      <c r="F914">
        <f>C914/(B914*B914)</f>
        <v>26.329840127222678</v>
      </c>
      <c r="G914" t="str">
        <f t="shared" si="58"/>
        <v>Overweight</v>
      </c>
      <c r="H914" t="str">
        <f t="shared" si="59"/>
        <v>OK</v>
      </c>
      <c r="I914" t="str">
        <f t="shared" si="56"/>
        <v>OK</v>
      </c>
    </row>
    <row r="915" spans="1:9" x14ac:dyDescent="0.2">
      <c r="A915" t="str">
        <f>ObesityDataSet_raw_and_data_sin!A915</f>
        <v>Male</v>
      </c>
      <c r="B915">
        <f>ObesityDataSet_raw_and_data_sin!C915</f>
        <v>1.610209</v>
      </c>
      <c r="C915">
        <f>ObesityDataSet_raw_and_data_sin!D915</f>
        <v>68.865008000000003</v>
      </c>
      <c r="D915" t="str">
        <f>ObesityDataSet_raw_and_data_sin!Q915</f>
        <v>Overweight_Level_I</v>
      </c>
      <c r="E915" t="b">
        <f t="shared" si="57"/>
        <v>0</v>
      </c>
      <c r="F915">
        <f>C915/(B915*B915)</f>
        <v>26.560368906581449</v>
      </c>
      <c r="G915" t="str">
        <f t="shared" si="58"/>
        <v>Overweight</v>
      </c>
      <c r="H915" t="str">
        <f t="shared" si="59"/>
        <v>OK</v>
      </c>
      <c r="I915" t="str">
        <f t="shared" si="56"/>
        <v>OK</v>
      </c>
    </row>
    <row r="916" spans="1:9" x14ac:dyDescent="0.2">
      <c r="A916" t="str">
        <f>ObesityDataSet_raw_and_data_sin!A916</f>
        <v>Male</v>
      </c>
      <c r="B916">
        <f>ObesityDataSet_raw_and_data_sin!C916</f>
        <v>1.6125560000000001</v>
      </c>
      <c r="C916">
        <f>ObesityDataSet_raw_and_data_sin!D916</f>
        <v>69.463458000000003</v>
      </c>
      <c r="D916" t="str">
        <f>ObesityDataSet_raw_and_data_sin!Q916</f>
        <v>Overweight_Level_I</v>
      </c>
      <c r="E916" t="b">
        <f t="shared" si="57"/>
        <v>0</v>
      </c>
      <c r="F916">
        <f>C916/(B916*B916)</f>
        <v>26.71325367566407</v>
      </c>
      <c r="G916" t="str">
        <f t="shared" si="58"/>
        <v>Overweight</v>
      </c>
      <c r="H916" t="str">
        <f t="shared" si="59"/>
        <v>OK</v>
      </c>
      <c r="I916" t="str">
        <f t="shared" si="56"/>
        <v>OK</v>
      </c>
    </row>
    <row r="917" spans="1:9" x14ac:dyDescent="0.2">
      <c r="A917" t="str">
        <f>ObesityDataSet_raw_and_data_sin!A917</f>
        <v>Female</v>
      </c>
      <c r="B917">
        <f>ObesityDataSet_raw_and_data_sin!C917</f>
        <v>1.5481780000000001</v>
      </c>
      <c r="C917">
        <f>ObesityDataSet_raw_and_data_sin!D917</f>
        <v>62.341437999999997</v>
      </c>
      <c r="D917" t="str">
        <f>ObesityDataSet_raw_and_data_sin!Q917</f>
        <v>Overweight_Level_I</v>
      </c>
      <c r="E917" t="b">
        <f t="shared" si="57"/>
        <v>0</v>
      </c>
      <c r="F917">
        <f>C917/(B917*B917)</f>
        <v>26.009681389594817</v>
      </c>
      <c r="G917" t="str">
        <f t="shared" si="58"/>
        <v>Overweight</v>
      </c>
      <c r="H917" t="str">
        <f t="shared" si="59"/>
        <v>OK</v>
      </c>
      <c r="I917" t="str">
        <f t="shared" si="56"/>
        <v>OK</v>
      </c>
    </row>
    <row r="918" spans="1:9" x14ac:dyDescent="0.2">
      <c r="A918" t="str">
        <f>ObesityDataSet_raw_and_data_sin!A918</f>
        <v>Female</v>
      </c>
      <c r="B918">
        <f>ObesityDataSet_raw_and_data_sin!C918</f>
        <v>1.568441</v>
      </c>
      <c r="C918">
        <f>ObesityDataSet_raw_and_data_sin!D918</f>
        <v>62.855072999999997</v>
      </c>
      <c r="D918" t="str">
        <f>ObesityDataSet_raw_and_data_sin!Q918</f>
        <v>Overweight_Level_I</v>
      </c>
      <c r="E918" t="b">
        <f t="shared" si="57"/>
        <v>0</v>
      </c>
      <c r="F918">
        <f>C918/(B918*B918)</f>
        <v>25.550768206789446</v>
      </c>
      <c r="G918" t="str">
        <f t="shared" si="58"/>
        <v>Overweight</v>
      </c>
      <c r="H918" t="str">
        <f t="shared" si="59"/>
        <v>OK</v>
      </c>
      <c r="I918" t="str">
        <f t="shared" si="56"/>
        <v>OK</v>
      </c>
    </row>
    <row r="919" spans="1:9" x14ac:dyDescent="0.2">
      <c r="A919" t="str">
        <f>ObesityDataSet_raw_and_data_sin!A919</f>
        <v>Female</v>
      </c>
      <c r="B919">
        <f>ObesityDataSet_raw_and_data_sin!C919</f>
        <v>1.532322</v>
      </c>
      <c r="C919">
        <f>ObesityDataSet_raw_and_data_sin!D919</f>
        <v>62.417228000000001</v>
      </c>
      <c r="D919" t="str">
        <f>ObesityDataSet_raw_and_data_sin!Q919</f>
        <v>Overweight_Level_I</v>
      </c>
      <c r="E919" t="b">
        <f t="shared" si="57"/>
        <v>0</v>
      </c>
      <c r="F919">
        <f>C919/(B919*B919)</f>
        <v>26.583025234682253</v>
      </c>
      <c r="G919" t="str">
        <f t="shared" si="58"/>
        <v>Overweight</v>
      </c>
      <c r="H919" t="str">
        <f t="shared" si="59"/>
        <v>OK</v>
      </c>
      <c r="I919" t="str">
        <f t="shared" si="56"/>
        <v>OK</v>
      </c>
    </row>
    <row r="920" spans="1:9" x14ac:dyDescent="0.2">
      <c r="A920" t="str">
        <f>ObesityDataSet_raw_and_data_sin!A920</f>
        <v>Female</v>
      </c>
      <c r="B920">
        <f>ObesityDataSet_raw_and_data_sin!C920</f>
        <v>1.730199</v>
      </c>
      <c r="C920">
        <f>ObesityDataSet_raw_and_data_sin!D920</f>
        <v>78.997062</v>
      </c>
      <c r="D920" t="str">
        <f>ObesityDataSet_raw_and_data_sin!Q920</f>
        <v>Overweight_Level_I</v>
      </c>
      <c r="E920" t="b">
        <f t="shared" si="57"/>
        <v>0</v>
      </c>
      <c r="F920">
        <f>C920/(B920*B920)</f>
        <v>26.388750457662795</v>
      </c>
      <c r="G920" t="str">
        <f t="shared" si="58"/>
        <v>Overweight</v>
      </c>
      <c r="H920" t="str">
        <f t="shared" si="59"/>
        <v>OK</v>
      </c>
      <c r="I920" t="str">
        <f t="shared" si="56"/>
        <v>OK</v>
      </c>
    </row>
    <row r="921" spans="1:9" x14ac:dyDescent="0.2">
      <c r="A921" t="str">
        <f>ObesityDataSet_raw_and_data_sin!A921</f>
        <v>Female</v>
      </c>
      <c r="B921">
        <f>ObesityDataSet_raw_and_data_sin!C921</f>
        <v>1.730167</v>
      </c>
      <c r="C921">
        <f>ObesityDataSet_raw_and_data_sin!D921</f>
        <v>78.429311999999996</v>
      </c>
      <c r="D921" t="str">
        <f>ObesityDataSet_raw_and_data_sin!Q921</f>
        <v>Overweight_Level_I</v>
      </c>
      <c r="E921" t="b">
        <f t="shared" si="57"/>
        <v>0</v>
      </c>
      <c r="F921">
        <f>C921/(B921*B921)</f>
        <v>26.2000642681583</v>
      </c>
      <c r="G921" t="str">
        <f t="shared" si="58"/>
        <v>Overweight</v>
      </c>
      <c r="H921" t="str">
        <f t="shared" si="59"/>
        <v>OK</v>
      </c>
      <c r="I921" t="str">
        <f t="shared" si="56"/>
        <v>OK</v>
      </c>
    </row>
    <row r="922" spans="1:9" x14ac:dyDescent="0.2">
      <c r="A922" t="str">
        <f>ObesityDataSet_raw_and_data_sin!A922</f>
        <v>Male</v>
      </c>
      <c r="B922">
        <f>ObesityDataSet_raw_and_data_sin!C922</f>
        <v>1.6273960000000001</v>
      </c>
      <c r="C922">
        <f>ObesityDataSet_raw_and_data_sin!D922</f>
        <v>70</v>
      </c>
      <c r="D922" t="str">
        <f>ObesityDataSet_raw_and_data_sin!Q922</f>
        <v>Overweight_Level_I</v>
      </c>
      <c r="E922" t="b">
        <f t="shared" si="57"/>
        <v>0</v>
      </c>
      <c r="F922">
        <f>C922/(B922*B922)</f>
        <v>26.430875658774433</v>
      </c>
      <c r="G922" t="str">
        <f t="shared" si="58"/>
        <v>Overweight</v>
      </c>
      <c r="H922" t="str">
        <f t="shared" si="59"/>
        <v>OK</v>
      </c>
      <c r="I922" t="str">
        <f t="shared" si="56"/>
        <v>OK</v>
      </c>
    </row>
    <row r="923" spans="1:9" x14ac:dyDescent="0.2">
      <c r="A923" t="str">
        <f>ObesityDataSet_raw_and_data_sin!A923</f>
        <v>Male</v>
      </c>
      <c r="B923">
        <f>ObesityDataSet_raw_and_data_sin!C923</f>
        <v>1.62</v>
      </c>
      <c r="C923">
        <f>ObesityDataSet_raw_and_data_sin!D923</f>
        <v>70</v>
      </c>
      <c r="D923" t="str">
        <f>ObesityDataSet_raw_and_data_sin!Q923</f>
        <v>Overweight_Level_I</v>
      </c>
      <c r="E923" t="b">
        <f t="shared" si="57"/>
        <v>0</v>
      </c>
      <c r="F923">
        <f>C923/(B923*B923)</f>
        <v>26.672763298277697</v>
      </c>
      <c r="G923" t="str">
        <f t="shared" si="58"/>
        <v>Overweight</v>
      </c>
      <c r="H923" t="str">
        <f t="shared" si="59"/>
        <v>OK</v>
      </c>
      <c r="I923" t="str">
        <f t="shared" si="56"/>
        <v>OK</v>
      </c>
    </row>
    <row r="924" spans="1:9" x14ac:dyDescent="0.2">
      <c r="A924" t="str">
        <f>ObesityDataSet_raw_and_data_sin!A924</f>
        <v>Male</v>
      </c>
      <c r="B924">
        <f>ObesityDataSet_raw_and_data_sin!C924</f>
        <v>1.62</v>
      </c>
      <c r="C924">
        <f>ObesityDataSet_raw_and_data_sin!D924</f>
        <v>70</v>
      </c>
      <c r="D924" t="str">
        <f>ObesityDataSet_raw_and_data_sin!Q924</f>
        <v>Overweight_Level_I</v>
      </c>
      <c r="E924" t="b">
        <f t="shared" si="57"/>
        <v>0</v>
      </c>
      <c r="F924">
        <f>C924/(B924*B924)</f>
        <v>26.672763298277697</v>
      </c>
      <c r="G924" t="str">
        <f t="shared" si="58"/>
        <v>Overweight</v>
      </c>
      <c r="H924" t="str">
        <f t="shared" si="59"/>
        <v>OK</v>
      </c>
      <c r="I924" t="str">
        <f t="shared" si="56"/>
        <v>OK</v>
      </c>
    </row>
    <row r="925" spans="1:9" x14ac:dyDescent="0.2">
      <c r="A925" t="str">
        <f>ObesityDataSet_raw_and_data_sin!A925</f>
        <v>Male</v>
      </c>
      <c r="B925">
        <f>ObesityDataSet_raw_and_data_sin!C925</f>
        <v>1.62</v>
      </c>
      <c r="C925">
        <f>ObesityDataSet_raw_and_data_sin!D925</f>
        <v>70</v>
      </c>
      <c r="D925" t="str">
        <f>ObesityDataSet_raw_and_data_sin!Q925</f>
        <v>Overweight_Level_I</v>
      </c>
      <c r="E925" t="b">
        <f t="shared" si="57"/>
        <v>0</v>
      </c>
      <c r="F925">
        <f>C925/(B925*B925)</f>
        <v>26.672763298277697</v>
      </c>
      <c r="G925" t="str">
        <f t="shared" si="58"/>
        <v>Overweight</v>
      </c>
      <c r="H925" t="str">
        <f t="shared" si="59"/>
        <v>OK</v>
      </c>
      <c r="I925" t="str">
        <f t="shared" si="56"/>
        <v>OK</v>
      </c>
    </row>
    <row r="926" spans="1:9" x14ac:dyDescent="0.2">
      <c r="A926" t="str">
        <f>ObesityDataSet_raw_and_data_sin!A926</f>
        <v>Female</v>
      </c>
      <c r="B926">
        <f>ObesityDataSet_raw_and_data_sin!C926</f>
        <v>1.638744</v>
      </c>
      <c r="C926">
        <f>ObesityDataSet_raw_and_data_sin!D926</f>
        <v>69.242354000000006</v>
      </c>
      <c r="D926" t="str">
        <f>ObesityDataSet_raw_and_data_sin!Q926</f>
        <v>Overweight_Level_I</v>
      </c>
      <c r="E926" t="b">
        <f t="shared" si="57"/>
        <v>0</v>
      </c>
      <c r="F926">
        <f>C926/(B926*B926)</f>
        <v>25.783958575007219</v>
      </c>
      <c r="G926" t="str">
        <f t="shared" si="58"/>
        <v>Overweight</v>
      </c>
      <c r="H926" t="str">
        <f t="shared" si="59"/>
        <v>OK</v>
      </c>
      <c r="I926" t="str">
        <f t="shared" si="56"/>
        <v>OK</v>
      </c>
    </row>
    <row r="927" spans="1:9" x14ac:dyDescent="0.2">
      <c r="A927" t="str">
        <f>ObesityDataSet_raw_and_data_sin!A927</f>
        <v>Female</v>
      </c>
      <c r="B927">
        <f>ObesityDataSet_raw_and_data_sin!C927</f>
        <v>1.680858</v>
      </c>
      <c r="C927">
        <f>ObesityDataSet_raw_and_data_sin!D927</f>
        <v>71.813379999999995</v>
      </c>
      <c r="D927" t="str">
        <f>ObesityDataSet_raw_and_data_sin!Q927</f>
        <v>Overweight_Level_I</v>
      </c>
      <c r="E927" t="b">
        <f t="shared" si="57"/>
        <v>0</v>
      </c>
      <c r="F927">
        <f>C927/(B927*B927)</f>
        <v>25.41811363260722</v>
      </c>
      <c r="G927" t="str">
        <f t="shared" si="58"/>
        <v>Overweight</v>
      </c>
      <c r="H927" t="str">
        <f t="shared" si="59"/>
        <v>OK</v>
      </c>
      <c r="I927" t="str">
        <f t="shared" si="56"/>
        <v>OK</v>
      </c>
    </row>
    <row r="928" spans="1:9" x14ac:dyDescent="0.2">
      <c r="A928" t="str">
        <f>ObesityDataSet_raw_and_data_sin!A928</f>
        <v>Female</v>
      </c>
      <c r="B928">
        <f>ObesityDataSet_raw_and_data_sin!C928</f>
        <v>1.758372</v>
      </c>
      <c r="C928">
        <f>ObesityDataSet_raw_and_data_sin!D928</f>
        <v>79.469513000000006</v>
      </c>
      <c r="D928" t="str">
        <f>ObesityDataSet_raw_and_data_sin!Q928</f>
        <v>Overweight_Level_I</v>
      </c>
      <c r="E928" t="b">
        <f t="shared" si="57"/>
        <v>0</v>
      </c>
      <c r="F928">
        <f>C928/(B928*B928)</f>
        <v>25.702716890248251</v>
      </c>
      <c r="G928" t="str">
        <f t="shared" si="58"/>
        <v>Overweight</v>
      </c>
      <c r="H928" t="str">
        <f t="shared" si="59"/>
        <v>OK</v>
      </c>
      <c r="I928" t="str">
        <f t="shared" si="56"/>
        <v>OK</v>
      </c>
    </row>
    <row r="929" spans="1:9" x14ac:dyDescent="0.2">
      <c r="A929" t="str">
        <f>ObesityDataSet_raw_and_data_sin!A929</f>
        <v>Male</v>
      </c>
      <c r="B929">
        <f>ObesityDataSet_raw_and_data_sin!C929</f>
        <v>1.822573</v>
      </c>
      <c r="C929">
        <f>ObesityDataSet_raw_and_data_sin!D929</f>
        <v>85.084363999999994</v>
      </c>
      <c r="D929" t="str">
        <f>ObesityDataSet_raw_and_data_sin!Q929</f>
        <v>Overweight_Level_I</v>
      </c>
      <c r="E929" t="b">
        <f t="shared" si="57"/>
        <v>0</v>
      </c>
      <c r="F929">
        <f>C929/(B929*B929)</f>
        <v>25.614146691212724</v>
      </c>
      <c r="G929" t="str">
        <f t="shared" si="58"/>
        <v>Overweight</v>
      </c>
      <c r="H929" t="str">
        <f t="shared" si="59"/>
        <v>OK</v>
      </c>
      <c r="I929" t="str">
        <f t="shared" si="56"/>
        <v>OK</v>
      </c>
    </row>
    <row r="930" spans="1:9" x14ac:dyDescent="0.2">
      <c r="A930" t="str">
        <f>ObesityDataSet_raw_and_data_sin!A930</f>
        <v>Male</v>
      </c>
      <c r="B930">
        <f>ObesityDataSet_raw_and_data_sin!C930</f>
        <v>1.8154090000000001</v>
      </c>
      <c r="C930">
        <f>ObesityDataSet_raw_and_data_sin!D930</f>
        <v>85.302145999999993</v>
      </c>
      <c r="D930" t="str">
        <f>ObesityDataSet_raw_and_data_sin!Q930</f>
        <v>Overweight_Level_I</v>
      </c>
      <c r="E930" t="b">
        <f t="shared" si="57"/>
        <v>0</v>
      </c>
      <c r="F930">
        <f>C930/(B930*B930)</f>
        <v>25.882784047024991</v>
      </c>
      <c r="G930" t="str">
        <f t="shared" si="58"/>
        <v>Overweight</v>
      </c>
      <c r="H930" t="str">
        <f t="shared" si="59"/>
        <v>OK</v>
      </c>
      <c r="I930" t="str">
        <f t="shared" si="56"/>
        <v>OK</v>
      </c>
    </row>
    <row r="931" spans="1:9" x14ac:dyDescent="0.2">
      <c r="A931" t="str">
        <f>ObesityDataSet_raw_and_data_sin!A931</f>
        <v>Male</v>
      </c>
      <c r="B931">
        <f>ObesityDataSet_raw_and_data_sin!C931</f>
        <v>1.6980489999999999</v>
      </c>
      <c r="C931">
        <f>ObesityDataSet_raw_and_data_sin!D931</f>
        <v>75</v>
      </c>
      <c r="D931" t="str">
        <f>ObesityDataSet_raw_and_data_sin!Q931</f>
        <v>Overweight_Level_I</v>
      </c>
      <c r="E931" t="b">
        <f t="shared" si="57"/>
        <v>0</v>
      </c>
      <c r="F931">
        <f>C931/(B931*B931)</f>
        <v>26.011226248803187</v>
      </c>
      <c r="G931" t="str">
        <f t="shared" si="58"/>
        <v>Overweight</v>
      </c>
      <c r="H931" t="str">
        <f t="shared" si="59"/>
        <v>OK</v>
      </c>
      <c r="I931" t="str">
        <f t="shared" si="56"/>
        <v>OK</v>
      </c>
    </row>
    <row r="932" spans="1:9" x14ac:dyDescent="0.2">
      <c r="A932" t="str">
        <f>ObesityDataSet_raw_and_data_sin!A932</f>
        <v>Female</v>
      </c>
      <c r="B932">
        <f>ObesityDataSet_raw_and_data_sin!C932</f>
        <v>1.6068100000000001</v>
      </c>
      <c r="C932">
        <f>ObesityDataSet_raw_and_data_sin!D932</f>
        <v>67.773914000000005</v>
      </c>
      <c r="D932" t="str">
        <f>ObesityDataSet_raw_and_data_sin!Q932</f>
        <v>Overweight_Level_I</v>
      </c>
      <c r="E932" t="b">
        <f t="shared" si="57"/>
        <v>0</v>
      </c>
      <c r="F932">
        <f>C932/(B932*B932)</f>
        <v>26.250254325515133</v>
      </c>
      <c r="G932" t="str">
        <f t="shared" si="58"/>
        <v>Overweight</v>
      </c>
      <c r="H932" t="str">
        <f t="shared" si="59"/>
        <v>OK</v>
      </c>
      <c r="I932" t="str">
        <f t="shared" si="56"/>
        <v>OK</v>
      </c>
    </row>
    <row r="933" spans="1:9" x14ac:dyDescent="0.2">
      <c r="A933" t="str">
        <f>ObesityDataSet_raw_and_data_sin!A933</f>
        <v>Female</v>
      </c>
      <c r="B933">
        <f>ObesityDataSet_raw_and_data_sin!C933</f>
        <v>1.6103270000000001</v>
      </c>
      <c r="C933">
        <f>ObesityDataSet_raw_and_data_sin!D933</f>
        <v>67.999778000000006</v>
      </c>
      <c r="D933" t="str">
        <f>ObesityDataSet_raw_and_data_sin!Q933</f>
        <v>Overweight_Level_I</v>
      </c>
      <c r="E933" t="b">
        <f t="shared" si="57"/>
        <v>0</v>
      </c>
      <c r="F933">
        <f>C933/(B933*B933)</f>
        <v>26.222817076119078</v>
      </c>
      <c r="G933" t="str">
        <f t="shared" si="58"/>
        <v>Overweight</v>
      </c>
      <c r="H933" t="str">
        <f t="shared" si="59"/>
        <v>OK</v>
      </c>
      <c r="I933" t="str">
        <f t="shared" si="56"/>
        <v>OK</v>
      </c>
    </row>
    <row r="934" spans="1:9" x14ac:dyDescent="0.2">
      <c r="A934" t="str">
        <f>ObesityDataSet_raw_and_data_sin!A934</f>
        <v>Male</v>
      </c>
      <c r="B934">
        <f>ObesityDataSet_raw_and_data_sin!C934</f>
        <v>1.710415</v>
      </c>
      <c r="C934">
        <f>ObesityDataSet_raw_and_data_sin!D934</f>
        <v>75.142858000000004</v>
      </c>
      <c r="D934" t="str">
        <f>ObesityDataSet_raw_and_data_sin!Q934</f>
        <v>Overweight_Level_I</v>
      </c>
      <c r="E934" t="b">
        <f t="shared" si="57"/>
        <v>0</v>
      </c>
      <c r="F934">
        <f>C934/(B934*B934)</f>
        <v>25.685304341129612</v>
      </c>
      <c r="G934" t="str">
        <f t="shared" si="58"/>
        <v>Overweight</v>
      </c>
      <c r="H934" t="str">
        <f t="shared" si="59"/>
        <v>OK</v>
      </c>
      <c r="I934" t="str">
        <f t="shared" si="56"/>
        <v>OK</v>
      </c>
    </row>
    <row r="935" spans="1:9" x14ac:dyDescent="0.2">
      <c r="A935" t="str">
        <f>ObesityDataSet_raw_and_data_sin!A935</f>
        <v>Male</v>
      </c>
      <c r="B935">
        <f>ObesityDataSet_raw_and_data_sin!C935</f>
        <v>1.716289</v>
      </c>
      <c r="C935">
        <f>ObesityDataSet_raw_and_data_sin!D935</f>
        <v>75.688433000000003</v>
      </c>
      <c r="D935" t="str">
        <f>ObesityDataSet_raw_and_data_sin!Q935</f>
        <v>Overweight_Level_I</v>
      </c>
      <c r="E935" t="b">
        <f t="shared" si="57"/>
        <v>0</v>
      </c>
      <c r="F935">
        <f>C935/(B935*B935)</f>
        <v>25.69500319100182</v>
      </c>
      <c r="G935" t="str">
        <f t="shared" si="58"/>
        <v>Overweight</v>
      </c>
      <c r="H935" t="str">
        <f t="shared" si="59"/>
        <v>OK</v>
      </c>
      <c r="I935" t="str">
        <f t="shared" si="56"/>
        <v>OK</v>
      </c>
    </row>
    <row r="936" spans="1:9" x14ac:dyDescent="0.2">
      <c r="A936" t="str">
        <f>ObesityDataSet_raw_and_data_sin!A936</f>
        <v>Male</v>
      </c>
      <c r="B936">
        <f>ObesityDataSet_raw_and_data_sin!C936</f>
        <v>1.8347150000000001</v>
      </c>
      <c r="C936">
        <f>ObesityDataSet_raw_and_data_sin!D936</f>
        <v>89.429198999999997</v>
      </c>
      <c r="D936" t="str">
        <f>ObesityDataSet_raw_and_data_sin!Q936</f>
        <v>Overweight_Level_I</v>
      </c>
      <c r="E936" t="b">
        <f t="shared" si="57"/>
        <v>0</v>
      </c>
      <c r="F936">
        <f>C936/(B936*B936)</f>
        <v>26.566975646199623</v>
      </c>
      <c r="G936" t="str">
        <f t="shared" si="58"/>
        <v>Overweight</v>
      </c>
      <c r="H936" t="str">
        <f t="shared" si="59"/>
        <v>OK</v>
      </c>
      <c r="I936" t="str">
        <f t="shared" si="56"/>
        <v>OK</v>
      </c>
    </row>
    <row r="937" spans="1:9" x14ac:dyDescent="0.2">
      <c r="A937" t="str">
        <f>ObesityDataSet_raw_and_data_sin!A937</f>
        <v>Female</v>
      </c>
      <c r="B937">
        <f>ObesityDataSet_raw_and_data_sin!C937</f>
        <v>1.6118220000000001</v>
      </c>
      <c r="C937">
        <f>ObesityDataSet_raw_and_data_sin!D937</f>
        <v>67.140366999999998</v>
      </c>
      <c r="D937" t="str">
        <f>ObesityDataSet_raw_and_data_sin!Q937</f>
        <v>Overweight_Level_I</v>
      </c>
      <c r="E937" t="b">
        <f t="shared" si="57"/>
        <v>0</v>
      </c>
      <c r="F937">
        <f>C937/(B937*B937)</f>
        <v>25.843394216724377</v>
      </c>
      <c r="G937" t="str">
        <f t="shared" si="58"/>
        <v>Overweight</v>
      </c>
      <c r="H937" t="str">
        <f t="shared" si="59"/>
        <v>OK</v>
      </c>
      <c r="I937" t="str">
        <f t="shared" si="56"/>
        <v>OK</v>
      </c>
    </row>
    <row r="938" spans="1:9" x14ac:dyDescent="0.2">
      <c r="A938" t="str">
        <f>ObesityDataSet_raw_and_data_sin!A938</f>
        <v>Female</v>
      </c>
      <c r="B938">
        <f>ObesityDataSet_raw_and_data_sin!C938</f>
        <v>1.6</v>
      </c>
      <c r="C938">
        <f>ObesityDataSet_raw_and_data_sin!D938</f>
        <v>66.126964000000001</v>
      </c>
      <c r="D938" t="str">
        <f>ObesityDataSet_raw_and_data_sin!Q938</f>
        <v>Overweight_Level_I</v>
      </c>
      <c r="E938" t="b">
        <f t="shared" si="57"/>
        <v>0</v>
      </c>
      <c r="F938">
        <f>C938/(B938*B938)</f>
        <v>25.830845312499996</v>
      </c>
      <c r="G938" t="str">
        <f t="shared" si="58"/>
        <v>Overweight</v>
      </c>
      <c r="H938" t="str">
        <f t="shared" si="59"/>
        <v>OK</v>
      </c>
      <c r="I938" t="str">
        <f t="shared" si="56"/>
        <v>OK</v>
      </c>
    </row>
    <row r="939" spans="1:9" x14ac:dyDescent="0.2">
      <c r="A939" t="str">
        <f>ObesityDataSet_raw_and_data_sin!A939</f>
        <v>Female</v>
      </c>
      <c r="B939">
        <f>ObesityDataSet_raw_and_data_sin!C939</f>
        <v>1.7535780000000001</v>
      </c>
      <c r="C939">
        <f>ObesityDataSet_raw_and_data_sin!D939</f>
        <v>77.979169999999996</v>
      </c>
      <c r="D939" t="str">
        <f>ObesityDataSet_raw_and_data_sin!Q939</f>
        <v>Overweight_Level_I</v>
      </c>
      <c r="E939" t="b">
        <f t="shared" si="57"/>
        <v>0</v>
      </c>
      <c r="F939">
        <f>C939/(B939*B939)</f>
        <v>25.358784423632493</v>
      </c>
      <c r="G939" t="str">
        <f t="shared" si="58"/>
        <v>Overweight</v>
      </c>
      <c r="H939" t="str">
        <f t="shared" si="59"/>
        <v>OK</v>
      </c>
      <c r="I939" t="str">
        <f t="shared" si="56"/>
        <v>OK</v>
      </c>
    </row>
    <row r="940" spans="1:9" x14ac:dyDescent="0.2">
      <c r="A940" t="str">
        <f>ObesityDataSet_raw_and_data_sin!A940</f>
        <v>Female</v>
      </c>
      <c r="B940">
        <f>ObesityDataSet_raw_and_data_sin!C940</f>
        <v>1.742364</v>
      </c>
      <c r="C940">
        <f>ObesityDataSet_raw_and_data_sin!D940</f>
        <v>78.664618000000004</v>
      </c>
      <c r="D940" t="str">
        <f>ObesityDataSet_raw_and_data_sin!Q940</f>
        <v>Overweight_Level_I</v>
      </c>
      <c r="E940" t="b">
        <f t="shared" si="57"/>
        <v>0</v>
      </c>
      <c r="F940">
        <f>C940/(B940*B940)</f>
        <v>25.912043224473003</v>
      </c>
      <c r="G940" t="str">
        <f t="shared" si="58"/>
        <v>Overweight</v>
      </c>
      <c r="H940" t="str">
        <f t="shared" si="59"/>
        <v>OK</v>
      </c>
      <c r="I940" t="str">
        <f t="shared" si="56"/>
        <v>OK</v>
      </c>
    </row>
    <row r="941" spans="1:9" x14ac:dyDescent="0.2">
      <c r="A941" t="str">
        <f>ObesityDataSet_raw_and_data_sin!A941</f>
        <v>Male</v>
      </c>
      <c r="B941">
        <f>ObesityDataSet_raw_and_data_sin!C941</f>
        <v>1.7756259999999999</v>
      </c>
      <c r="C941">
        <f>ObesityDataSet_raw_and_data_sin!D941</f>
        <v>80.113493000000005</v>
      </c>
      <c r="D941" t="str">
        <f>ObesityDataSet_raw_and_data_sin!Q941</f>
        <v>Overweight_Level_I</v>
      </c>
      <c r="E941" t="b">
        <f t="shared" si="57"/>
        <v>0</v>
      </c>
      <c r="F941">
        <f>C941/(B941*B941)</f>
        <v>25.409883644690453</v>
      </c>
      <c r="G941" t="str">
        <f t="shared" si="58"/>
        <v>Overweight</v>
      </c>
      <c r="H941" t="str">
        <f t="shared" si="59"/>
        <v>OK</v>
      </c>
      <c r="I941" t="str">
        <f t="shared" si="56"/>
        <v>OK</v>
      </c>
    </row>
    <row r="942" spans="1:9" x14ac:dyDescent="0.2">
      <c r="A942" t="str">
        <f>ObesityDataSet_raw_and_data_sin!A942</f>
        <v>Male</v>
      </c>
      <c r="B942">
        <f>ObesityDataSet_raw_and_data_sin!C942</f>
        <v>1.714253</v>
      </c>
      <c r="C942">
        <f>ObesityDataSet_raw_and_data_sin!D942</f>
        <v>75</v>
      </c>
      <c r="D942" t="str">
        <f>ObesityDataSet_raw_and_data_sin!Q942</f>
        <v>Overweight_Level_I</v>
      </c>
      <c r="E942" t="b">
        <f t="shared" si="57"/>
        <v>0</v>
      </c>
      <c r="F942">
        <f>C942/(B942*B942)</f>
        <v>25.52180740635497</v>
      </c>
      <c r="G942" t="str">
        <f t="shared" si="58"/>
        <v>Overweight</v>
      </c>
      <c r="H942" t="str">
        <f t="shared" si="59"/>
        <v>OK</v>
      </c>
      <c r="I942" t="str">
        <f t="shared" si="56"/>
        <v>OK</v>
      </c>
    </row>
    <row r="943" spans="1:9" x14ac:dyDescent="0.2">
      <c r="A943" t="str">
        <f>ObesityDataSet_raw_and_data_sin!A943</f>
        <v>Male</v>
      </c>
      <c r="B943">
        <f>ObesityDataSet_raw_and_data_sin!C943</f>
        <v>1.6936279999999999</v>
      </c>
      <c r="C943">
        <f>ObesityDataSet_raw_and_data_sin!D943</f>
        <v>75</v>
      </c>
      <c r="D943" t="str">
        <f>ObesityDataSet_raw_and_data_sin!Q943</f>
        <v>Overweight_Level_I</v>
      </c>
      <c r="E943" t="b">
        <f t="shared" si="57"/>
        <v>0</v>
      </c>
      <c r="F943">
        <f>C943/(B943*B943)</f>
        <v>26.147201471182779</v>
      </c>
      <c r="G943" t="str">
        <f t="shared" si="58"/>
        <v>Overweight</v>
      </c>
      <c r="H943" t="str">
        <f t="shared" si="59"/>
        <v>OK</v>
      </c>
      <c r="I943" t="str">
        <f t="shared" si="56"/>
        <v>OK</v>
      </c>
    </row>
    <row r="944" spans="1:9" x14ac:dyDescent="0.2">
      <c r="A944" t="str">
        <f>ObesityDataSet_raw_and_data_sin!A944</f>
        <v>Female</v>
      </c>
      <c r="B944">
        <f>ObesityDataSet_raw_and_data_sin!C944</f>
        <v>1.6591720000000001</v>
      </c>
      <c r="C944">
        <f>ObesityDataSet_raw_and_data_sin!D944</f>
        <v>71.170000999999999</v>
      </c>
      <c r="D944" t="str">
        <f>ObesityDataSet_raw_and_data_sin!Q944</f>
        <v>Overweight_Level_I</v>
      </c>
      <c r="E944" t="b">
        <f t="shared" si="57"/>
        <v>0</v>
      </c>
      <c r="F944">
        <f>C944/(B944*B944)</f>
        <v>25.853190834279943</v>
      </c>
      <c r="G944" t="str">
        <f t="shared" si="58"/>
        <v>Overweight</v>
      </c>
      <c r="H944" t="str">
        <f t="shared" si="59"/>
        <v>OK</v>
      </c>
      <c r="I944" t="str">
        <f t="shared" si="56"/>
        <v>OK</v>
      </c>
    </row>
    <row r="945" spans="1:9" x14ac:dyDescent="0.2">
      <c r="A945" t="str">
        <f>ObesityDataSet_raw_and_data_sin!A945</f>
        <v>Male</v>
      </c>
      <c r="B945">
        <f>ObesityDataSet_raw_and_data_sin!C945</f>
        <v>1.7763469999999999</v>
      </c>
      <c r="C945">
        <f>ObesityDataSet_raw_and_data_sin!D945</f>
        <v>82.329047000000003</v>
      </c>
      <c r="D945" t="str">
        <f>ObesityDataSet_raw_and_data_sin!Q945</f>
        <v>Overweight_Level_I</v>
      </c>
      <c r="E945" t="b">
        <f t="shared" si="57"/>
        <v>0</v>
      </c>
      <c r="F945">
        <f>C945/(B945*B945)</f>
        <v>26.091405505923596</v>
      </c>
      <c r="G945" t="str">
        <f t="shared" si="58"/>
        <v>Overweight</v>
      </c>
      <c r="H945" t="str">
        <f t="shared" si="59"/>
        <v>OK</v>
      </c>
      <c r="I945" t="str">
        <f t="shared" si="56"/>
        <v>OK</v>
      </c>
    </row>
    <row r="946" spans="1:9" x14ac:dyDescent="0.2">
      <c r="A946" t="str">
        <f>ObesityDataSet_raw_and_data_sin!A946</f>
        <v>Male</v>
      </c>
      <c r="B946">
        <f>ObesityDataSet_raw_and_data_sin!C946</f>
        <v>1.767806</v>
      </c>
      <c r="C946">
        <f>ObesityDataSet_raw_and_data_sin!D946</f>
        <v>82.694688999999997</v>
      </c>
      <c r="D946" t="str">
        <f>ObesityDataSet_raw_and_data_sin!Q946</f>
        <v>Overweight_Level_I</v>
      </c>
      <c r="E946" t="b">
        <f t="shared" si="57"/>
        <v>0</v>
      </c>
      <c r="F946">
        <f>C946/(B946*B946)</f>
        <v>26.461131502266699</v>
      </c>
      <c r="G946" t="str">
        <f t="shared" si="58"/>
        <v>Overweight</v>
      </c>
      <c r="H946" t="str">
        <f t="shared" si="59"/>
        <v>OK</v>
      </c>
      <c r="I946" t="str">
        <f t="shared" si="56"/>
        <v>OK</v>
      </c>
    </row>
    <row r="947" spans="1:9" x14ac:dyDescent="0.2">
      <c r="A947" t="str">
        <f>ObesityDataSet_raw_and_data_sin!A947</f>
        <v>Male</v>
      </c>
      <c r="B947">
        <f>ObesityDataSet_raw_and_data_sin!C947</f>
        <v>1.7025159999999999</v>
      </c>
      <c r="C947">
        <f>ObesityDataSet_raw_and_data_sin!D947</f>
        <v>75</v>
      </c>
      <c r="D947" t="str">
        <f>ObesityDataSet_raw_and_data_sin!Q947</f>
        <v>Overweight_Level_I</v>
      </c>
      <c r="E947" t="b">
        <f t="shared" si="57"/>
        <v>0</v>
      </c>
      <c r="F947">
        <f>C947/(B947*B947)</f>
        <v>25.874910681404295</v>
      </c>
      <c r="G947" t="str">
        <f t="shared" si="58"/>
        <v>Overweight</v>
      </c>
      <c r="H947" t="str">
        <f t="shared" si="59"/>
        <v>OK</v>
      </c>
      <c r="I947" t="str">
        <f t="shared" si="56"/>
        <v>OK</v>
      </c>
    </row>
    <row r="948" spans="1:9" x14ac:dyDescent="0.2">
      <c r="A948" t="str">
        <f>ObesityDataSet_raw_and_data_sin!A948</f>
        <v>Male</v>
      </c>
      <c r="B948">
        <f>ObesityDataSet_raw_and_data_sin!C948</f>
        <v>1.814182</v>
      </c>
      <c r="C948">
        <f>ObesityDataSet_raw_and_data_sin!D948</f>
        <v>85.301029</v>
      </c>
      <c r="D948" t="str">
        <f>ObesityDataSet_raw_and_data_sin!Q948</f>
        <v>Overweight_Level_I</v>
      </c>
      <c r="E948" t="b">
        <f t="shared" si="57"/>
        <v>0</v>
      </c>
      <c r="F948">
        <f>C948/(B948*B948)</f>
        <v>25.917467516941684</v>
      </c>
      <c r="G948" t="str">
        <f t="shared" si="58"/>
        <v>Overweight</v>
      </c>
      <c r="H948" t="str">
        <f t="shared" si="59"/>
        <v>OK</v>
      </c>
      <c r="I948" t="str">
        <f t="shared" si="56"/>
        <v>OK</v>
      </c>
    </row>
    <row r="949" spans="1:9" x14ac:dyDescent="0.2">
      <c r="A949" t="str">
        <f>ObesityDataSet_raw_and_data_sin!A949</f>
        <v>Female</v>
      </c>
      <c r="B949">
        <f>ObesityDataSet_raw_and_data_sin!C949</f>
        <v>1.5999399999999999</v>
      </c>
      <c r="C949">
        <f>ObesityDataSet_raw_and_data_sin!D949</f>
        <v>65.423941999999997</v>
      </c>
      <c r="D949" t="str">
        <f>ObesityDataSet_raw_and_data_sin!Q949</f>
        <v>Overweight_Level_I</v>
      </c>
      <c r="E949" t="b">
        <f t="shared" si="57"/>
        <v>0</v>
      </c>
      <c r="F949">
        <f>C949/(B949*B949)</f>
        <v>25.558144168621507</v>
      </c>
      <c r="G949" t="str">
        <f t="shared" si="58"/>
        <v>Overweight</v>
      </c>
      <c r="H949" t="str">
        <f t="shared" si="59"/>
        <v>OK</v>
      </c>
      <c r="I949" t="str">
        <f t="shared" si="56"/>
        <v>OK</v>
      </c>
    </row>
    <row r="950" spans="1:9" x14ac:dyDescent="0.2">
      <c r="A950" t="str">
        <f>ObesityDataSet_raw_and_data_sin!A950</f>
        <v>Female</v>
      </c>
      <c r="B950">
        <f>ObesityDataSet_raw_and_data_sin!C950</f>
        <v>1.666023</v>
      </c>
      <c r="C950">
        <f>ObesityDataSet_raw_and_data_sin!D950</f>
        <v>72.906186000000005</v>
      </c>
      <c r="D950" t="str">
        <f>ObesityDataSet_raw_and_data_sin!Q950</f>
        <v>Overweight_Level_I</v>
      </c>
      <c r="E950" t="b">
        <f t="shared" si="57"/>
        <v>0</v>
      </c>
      <c r="F950">
        <f>C950/(B950*B950)</f>
        <v>26.266511295663054</v>
      </c>
      <c r="G950" t="str">
        <f t="shared" si="58"/>
        <v>Overweight</v>
      </c>
      <c r="H950" t="str">
        <f t="shared" si="59"/>
        <v>OK</v>
      </c>
      <c r="I950" t="str">
        <f t="shared" si="56"/>
        <v>OK</v>
      </c>
    </row>
    <row r="951" spans="1:9" x14ac:dyDescent="0.2">
      <c r="A951" t="str">
        <f>ObesityDataSet_raw_and_data_sin!A951</f>
        <v>Male</v>
      </c>
      <c r="B951">
        <f>ObesityDataSet_raw_and_data_sin!C951</f>
        <v>1.701584</v>
      </c>
      <c r="C951">
        <f>ObesityDataSet_raw_and_data_sin!D951</f>
        <v>75.093569000000002</v>
      </c>
      <c r="D951" t="str">
        <f>ObesityDataSet_raw_and_data_sin!Q951</f>
        <v>Overweight_Level_I</v>
      </c>
      <c r="E951" t="b">
        <f t="shared" si="57"/>
        <v>0</v>
      </c>
      <c r="F951">
        <f>C951/(B951*B951)</f>
        <v>25.93557967760087</v>
      </c>
      <c r="G951" t="str">
        <f t="shared" si="58"/>
        <v>Overweight</v>
      </c>
      <c r="H951" t="str">
        <f t="shared" si="59"/>
        <v>OK</v>
      </c>
      <c r="I951" t="str">
        <f t="shared" si="56"/>
        <v>OK</v>
      </c>
    </row>
    <row r="952" spans="1:9" x14ac:dyDescent="0.2">
      <c r="A952" t="str">
        <f>ObesityDataSet_raw_and_data_sin!A952</f>
        <v>Male</v>
      </c>
      <c r="B952">
        <f>ObesityDataSet_raw_and_data_sin!C952</f>
        <v>1.7133430000000001</v>
      </c>
      <c r="C952">
        <f>ObesityDataSet_raw_and_data_sin!D952</f>
        <v>75.828119000000001</v>
      </c>
      <c r="D952" t="str">
        <f>ObesityDataSet_raw_and_data_sin!Q952</f>
        <v>Overweight_Level_I</v>
      </c>
      <c r="E952" t="b">
        <f t="shared" si="57"/>
        <v>0</v>
      </c>
      <c r="F952">
        <f>C952/(B952*B952)</f>
        <v>25.831025838122198</v>
      </c>
      <c r="G952" t="str">
        <f t="shared" si="58"/>
        <v>Overweight</v>
      </c>
      <c r="H952" t="str">
        <f t="shared" si="59"/>
        <v>OK</v>
      </c>
      <c r="I952" t="str">
        <f t="shared" si="56"/>
        <v>OK</v>
      </c>
    </row>
    <row r="953" spans="1:9" x14ac:dyDescent="0.2">
      <c r="A953" t="str">
        <f>ObesityDataSet_raw_and_data_sin!A953</f>
        <v>Female</v>
      </c>
      <c r="B953">
        <f>ObesityDataSet_raw_and_data_sin!C953</f>
        <v>1.489409</v>
      </c>
      <c r="C953">
        <f>ObesityDataSet_raw_and_data_sin!D953</f>
        <v>53.620604</v>
      </c>
      <c r="D953" t="str">
        <f>ObesityDataSet_raw_and_data_sin!Q953</f>
        <v>Overweight_Level_I</v>
      </c>
      <c r="E953" t="b">
        <f t="shared" si="57"/>
        <v>1</v>
      </c>
      <c r="F953">
        <f>C953/(B953*B953)</f>
        <v>24.171508461160748</v>
      </c>
      <c r="G953" t="str">
        <f t="shared" si="58"/>
        <v>Overweight</v>
      </c>
      <c r="H953" t="str">
        <f t="shared" si="59"/>
        <v>OK</v>
      </c>
      <c r="I953" t="str">
        <f t="shared" si="56"/>
        <v>OK</v>
      </c>
    </row>
    <row r="954" spans="1:9" x14ac:dyDescent="0.2">
      <c r="A954" t="str">
        <f>ObesityDataSet_raw_and_data_sin!A954</f>
        <v>Female</v>
      </c>
      <c r="B954">
        <f>ObesityDataSet_raw_and_data_sin!C954</f>
        <v>1.5180670000000001</v>
      </c>
      <c r="C954">
        <f>ObesityDataSet_raw_and_data_sin!D954</f>
        <v>55.822119000000001</v>
      </c>
      <c r="D954" t="str">
        <f>ObesityDataSet_raw_and_data_sin!Q954</f>
        <v>Overweight_Level_I</v>
      </c>
      <c r="E954" t="b">
        <f t="shared" si="57"/>
        <v>0</v>
      </c>
      <c r="F954">
        <f>C954/(B954*B954)</f>
        <v>24.222805335527866</v>
      </c>
      <c r="G954" t="str">
        <f t="shared" si="58"/>
        <v>Normal</v>
      </c>
      <c r="H954" t="str">
        <f t="shared" si="59"/>
        <v>OK</v>
      </c>
      <c r="I954" t="str">
        <f t="shared" si="56"/>
        <v>ERROR</v>
      </c>
    </row>
    <row r="955" spans="1:9" x14ac:dyDescent="0.2">
      <c r="A955" t="str">
        <f>ObesityDataSet_raw_and_data_sin!A955</f>
        <v>Female</v>
      </c>
      <c r="B955">
        <f>ObesityDataSet_raw_and_data_sin!C955</f>
        <v>1.616533</v>
      </c>
      <c r="C955">
        <f>ObesityDataSet_raw_and_data_sin!D955</f>
        <v>65.062944999999999</v>
      </c>
      <c r="D955" t="str">
        <f>ObesityDataSet_raw_and_data_sin!Q955</f>
        <v>Overweight_Level_I</v>
      </c>
      <c r="E955" t="b">
        <f t="shared" si="57"/>
        <v>0</v>
      </c>
      <c r="F955">
        <f>C955/(B955*B955)</f>
        <v>24.898006027013242</v>
      </c>
      <c r="G955" t="str">
        <f t="shared" si="58"/>
        <v>Normal</v>
      </c>
      <c r="H955" t="str">
        <f t="shared" si="59"/>
        <v>OK</v>
      </c>
      <c r="I955" t="str">
        <f t="shared" si="56"/>
        <v>ERROR</v>
      </c>
    </row>
    <row r="956" spans="1:9" x14ac:dyDescent="0.2">
      <c r="A956" t="str">
        <f>ObesityDataSet_raw_and_data_sin!A956</f>
        <v>Female</v>
      </c>
      <c r="B956">
        <f>ObesityDataSet_raw_and_data_sin!C956</f>
        <v>1.5896159999999999</v>
      </c>
      <c r="C956">
        <f>ObesityDataSet_raw_and_data_sin!D956</f>
        <v>65.127324000000002</v>
      </c>
      <c r="D956" t="str">
        <f>ObesityDataSet_raw_and_data_sin!Q956</f>
        <v>Overweight_Level_I</v>
      </c>
      <c r="E956" t="b">
        <f t="shared" si="57"/>
        <v>0</v>
      </c>
      <c r="F956">
        <f>C956/(B956*B956)</f>
        <v>25.773819519001115</v>
      </c>
      <c r="G956" t="str">
        <f t="shared" si="58"/>
        <v>Overweight</v>
      </c>
      <c r="H956" t="str">
        <f t="shared" si="59"/>
        <v>OK</v>
      </c>
      <c r="I956" t="str">
        <f t="shared" si="56"/>
        <v>OK</v>
      </c>
    </row>
    <row r="957" spans="1:9" x14ac:dyDescent="0.2">
      <c r="A957" t="str">
        <f>ObesityDataSet_raw_and_data_sin!A957</f>
        <v>Female</v>
      </c>
      <c r="B957">
        <f>ObesityDataSet_raw_and_data_sin!C957</f>
        <v>1.6756120000000001</v>
      </c>
      <c r="C957">
        <f>ObesityDataSet_raw_and_data_sin!D957</f>
        <v>73.501232999999999</v>
      </c>
      <c r="D957" t="str">
        <f>ObesityDataSet_raw_and_data_sin!Q957</f>
        <v>Overweight_Level_I</v>
      </c>
      <c r="E957" t="b">
        <f t="shared" si="57"/>
        <v>0</v>
      </c>
      <c r="F957">
        <f>C957/(B957*B957)</f>
        <v>26.178677360876161</v>
      </c>
      <c r="G957" t="str">
        <f t="shared" si="58"/>
        <v>Overweight</v>
      </c>
      <c r="H957" t="str">
        <f t="shared" si="59"/>
        <v>OK</v>
      </c>
      <c r="I957" t="str">
        <f t="shared" si="56"/>
        <v>OK</v>
      </c>
    </row>
    <row r="958" spans="1:9" x14ac:dyDescent="0.2">
      <c r="A958" t="str">
        <f>ObesityDataSet_raw_and_data_sin!A958</f>
        <v>Male</v>
      </c>
      <c r="B958">
        <f>ObesityDataSet_raw_and_data_sin!C958</f>
        <v>1.874061</v>
      </c>
      <c r="C958">
        <f>ObesityDataSet_raw_and_data_sin!D958</f>
        <v>89.754301999999996</v>
      </c>
      <c r="D958" t="str">
        <f>ObesityDataSet_raw_and_data_sin!Q958</f>
        <v>Overweight_Level_I</v>
      </c>
      <c r="E958" t="b">
        <f t="shared" si="57"/>
        <v>0</v>
      </c>
      <c r="F958">
        <f>C958/(B958*B958)</f>
        <v>25.555702751378064</v>
      </c>
      <c r="G958" t="str">
        <f t="shared" si="58"/>
        <v>Overweight</v>
      </c>
      <c r="H958" t="str">
        <f t="shared" si="59"/>
        <v>OK</v>
      </c>
      <c r="I958" t="str">
        <f t="shared" si="56"/>
        <v>OK</v>
      </c>
    </row>
    <row r="959" spans="1:9" x14ac:dyDescent="0.2">
      <c r="A959" t="str">
        <f>ObesityDataSet_raw_and_data_sin!A959</f>
        <v>Female</v>
      </c>
      <c r="B959">
        <f>ObesityDataSet_raw_and_data_sin!C959</f>
        <v>1.580765</v>
      </c>
      <c r="C959">
        <f>ObesityDataSet_raw_and_data_sin!D959</f>
        <v>62.631382000000002</v>
      </c>
      <c r="D959" t="str">
        <f>ObesityDataSet_raw_and_data_sin!Q959</f>
        <v>Overweight_Level_I</v>
      </c>
      <c r="E959" t="b">
        <f t="shared" si="57"/>
        <v>0</v>
      </c>
      <c r="F959">
        <f>C959/(B959*B959)</f>
        <v>25.064403398057227</v>
      </c>
      <c r="G959" t="str">
        <f t="shared" si="58"/>
        <v>Overweight</v>
      </c>
      <c r="H959" t="str">
        <f t="shared" si="59"/>
        <v>OK</v>
      </c>
      <c r="I959" t="str">
        <f t="shared" si="56"/>
        <v>OK</v>
      </c>
    </row>
    <row r="960" spans="1:9" x14ac:dyDescent="0.2">
      <c r="A960" t="str">
        <f>ObesityDataSet_raw_and_data_sin!A960</f>
        <v>Male</v>
      </c>
      <c r="B960">
        <f>ObesityDataSet_raw_and_data_sin!C960</f>
        <v>1.62</v>
      </c>
      <c r="C960">
        <f>ObesityDataSet_raw_and_data_sin!D960</f>
        <v>69.575315000000003</v>
      </c>
      <c r="D960" t="str">
        <f>ObesityDataSet_raw_and_data_sin!Q960</f>
        <v>Overweight_Level_I</v>
      </c>
      <c r="E960" t="b">
        <f t="shared" si="57"/>
        <v>0</v>
      </c>
      <c r="F960">
        <f>C960/(B960*B960)</f>
        <v>26.510941548544427</v>
      </c>
      <c r="G960" t="str">
        <f t="shared" si="58"/>
        <v>Overweight</v>
      </c>
      <c r="H960" t="str">
        <f t="shared" si="59"/>
        <v>OK</v>
      </c>
      <c r="I960" t="str">
        <f t="shared" si="56"/>
        <v>OK</v>
      </c>
    </row>
    <row r="961" spans="1:9" x14ac:dyDescent="0.2">
      <c r="A961" t="str">
        <f>ObesityDataSet_raw_and_data_sin!A961</f>
        <v>Female</v>
      </c>
      <c r="B961">
        <f>ObesityDataSet_raw_and_data_sin!C961</f>
        <v>1.6139209999999999</v>
      </c>
      <c r="C961">
        <f>ObesityDataSet_raw_and_data_sin!D961</f>
        <v>66.738769000000005</v>
      </c>
      <c r="D961" t="str">
        <f>ObesityDataSet_raw_and_data_sin!Q961</f>
        <v>Overweight_Level_I</v>
      </c>
      <c r="E961" t="b">
        <f t="shared" si="57"/>
        <v>0</v>
      </c>
      <c r="F961">
        <f>C961/(B961*B961)</f>
        <v>25.622036566229546</v>
      </c>
      <c r="G961" t="str">
        <f t="shared" si="58"/>
        <v>Overweight</v>
      </c>
      <c r="H961" t="str">
        <f t="shared" si="59"/>
        <v>OK</v>
      </c>
      <c r="I961" t="str">
        <f t="shared" si="56"/>
        <v>OK</v>
      </c>
    </row>
    <row r="962" spans="1:9" x14ac:dyDescent="0.2">
      <c r="A962" t="str">
        <f>ObesityDataSet_raw_and_data_sin!A962</f>
        <v>Female</v>
      </c>
      <c r="B962">
        <f>ObesityDataSet_raw_and_data_sin!C962</f>
        <v>1.6186830000000001</v>
      </c>
      <c r="C962">
        <f>ObesityDataSet_raw_and_data_sin!D962</f>
        <v>67.193584999999999</v>
      </c>
      <c r="D962" t="str">
        <f>ObesityDataSet_raw_and_data_sin!Q962</f>
        <v>Overweight_Level_I</v>
      </c>
      <c r="E962" t="b">
        <f t="shared" si="57"/>
        <v>0</v>
      </c>
      <c r="F962">
        <f>C962/(B962*B962)</f>
        <v>25.645088463250996</v>
      </c>
      <c r="G962" t="str">
        <f t="shared" si="58"/>
        <v>Overweight</v>
      </c>
      <c r="H962" t="str">
        <f t="shared" si="59"/>
        <v>OK</v>
      </c>
      <c r="I962" t="str">
        <f t="shared" ref="I962:I1025" si="60">IF(AND(LEFT(D962,10)="Overweight",G962&lt;&gt;"Overweight"),"ERROR","OK")</f>
        <v>OK</v>
      </c>
    </row>
    <row r="963" spans="1:9" x14ac:dyDescent="0.2">
      <c r="A963" t="str">
        <f>ObesityDataSet_raw_and_data_sin!A963</f>
        <v>Male</v>
      </c>
      <c r="B963">
        <f>ObesityDataSet_raw_and_data_sin!C963</f>
        <v>1.637537</v>
      </c>
      <c r="C963">
        <f>ObesityDataSet_raw_and_data_sin!D963</f>
        <v>70</v>
      </c>
      <c r="D963" t="str">
        <f>ObesityDataSet_raw_and_data_sin!Q963</f>
        <v>Overweight_Level_I</v>
      </c>
      <c r="E963" t="b">
        <f t="shared" ref="E963:E1026" si="61">IF(AND(A963="Female", B963&lt;1.5), TRUE, IF(AND(A963="Male",B963&lt;1.6),TRUE, FALSE))</f>
        <v>0</v>
      </c>
      <c r="F963">
        <f>C963/(B963*B963)</f>
        <v>26.104525097021114</v>
      </c>
      <c r="G963" t="str">
        <f t="shared" ref="G963:G1026" si="62">IF(E963=TRUE,IF(F963&lt;23,"Normal",IF(F963&lt;25,"Overweight","Obese")),IF(F963&lt;25,"Normal",IF(F963&lt;30,"Overweight","Obese")))</f>
        <v>Overweight</v>
      </c>
      <c r="H963" t="str">
        <f t="shared" ref="H963:H1026" si="63">IF(AND(D963="Normal_Weight",G963&lt;&gt;"Normal"),"ERROR","OK")</f>
        <v>OK</v>
      </c>
      <c r="I963" t="str">
        <f t="shared" si="60"/>
        <v>OK</v>
      </c>
    </row>
    <row r="964" spans="1:9" x14ac:dyDescent="0.2">
      <c r="A964" t="str">
        <f>ObesityDataSet_raw_and_data_sin!A964</f>
        <v>Female</v>
      </c>
      <c r="B964">
        <f>ObesityDataSet_raw_and_data_sin!C964</f>
        <v>1.566524</v>
      </c>
      <c r="C964">
        <f>ObesityDataSet_raw_and_data_sin!D964</f>
        <v>61.616</v>
      </c>
      <c r="D964" t="str">
        <f>ObesityDataSet_raw_and_data_sin!Q964</f>
        <v>Overweight_Level_I</v>
      </c>
      <c r="E964" t="b">
        <f t="shared" si="61"/>
        <v>0</v>
      </c>
      <c r="F964">
        <f>C964/(B964*B964)</f>
        <v>25.108420624644459</v>
      </c>
      <c r="G964" t="str">
        <f t="shared" si="62"/>
        <v>Overweight</v>
      </c>
      <c r="H964" t="str">
        <f t="shared" si="63"/>
        <v>OK</v>
      </c>
      <c r="I964" t="str">
        <f t="shared" si="60"/>
        <v>OK</v>
      </c>
    </row>
    <row r="965" spans="1:9" x14ac:dyDescent="0.2">
      <c r="A965" t="str">
        <f>ObesityDataSet_raw_and_data_sin!A965</f>
        <v>Female</v>
      </c>
      <c r="B965">
        <f>ObesityDataSet_raw_and_data_sin!C965</f>
        <v>1.5423279999999999</v>
      </c>
      <c r="C965">
        <f>ObesityDataSet_raw_and_data_sin!D965</f>
        <v>63.856192999999998</v>
      </c>
      <c r="D965" t="str">
        <f>ObesityDataSet_raw_and_data_sin!Q965</f>
        <v>Overweight_Level_I</v>
      </c>
      <c r="E965" t="b">
        <f t="shared" si="61"/>
        <v>0</v>
      </c>
      <c r="F965">
        <f>C965/(B965*B965)</f>
        <v>26.844142591894169</v>
      </c>
      <c r="G965" t="str">
        <f t="shared" si="62"/>
        <v>Overweight</v>
      </c>
      <c r="H965" t="str">
        <f t="shared" si="63"/>
        <v>OK</v>
      </c>
      <c r="I965" t="str">
        <f t="shared" si="60"/>
        <v>OK</v>
      </c>
    </row>
    <row r="966" spans="1:9" x14ac:dyDescent="0.2">
      <c r="A966" t="str">
        <f>ObesityDataSet_raw_and_data_sin!A966</f>
        <v>Female</v>
      </c>
      <c r="B966">
        <f>ObesityDataSet_raw_and_data_sin!C966</f>
        <v>1.6</v>
      </c>
      <c r="C966">
        <f>ObesityDataSet_raw_and_data_sin!D966</f>
        <v>65</v>
      </c>
      <c r="D966" t="str">
        <f>ObesityDataSet_raw_and_data_sin!Q966</f>
        <v>Overweight_Level_I</v>
      </c>
      <c r="E966" t="b">
        <f t="shared" si="61"/>
        <v>0</v>
      </c>
      <c r="F966">
        <f>C966/(B966*B966)</f>
        <v>25.390624999999996</v>
      </c>
      <c r="G966" t="str">
        <f t="shared" si="62"/>
        <v>Overweight</v>
      </c>
      <c r="H966" t="str">
        <f t="shared" si="63"/>
        <v>OK</v>
      </c>
      <c r="I966" t="str">
        <f t="shared" si="60"/>
        <v>OK</v>
      </c>
    </row>
    <row r="967" spans="1:9" x14ac:dyDescent="0.2">
      <c r="A967" t="str">
        <f>ObesityDataSet_raw_and_data_sin!A967</f>
        <v>Female</v>
      </c>
      <c r="B967">
        <f>ObesityDataSet_raw_and_data_sin!C967</f>
        <v>1.6001840000000001</v>
      </c>
      <c r="C967">
        <f>ObesityDataSet_raw_and_data_sin!D967</f>
        <v>65</v>
      </c>
      <c r="D967" t="str">
        <f>ObesityDataSet_raw_and_data_sin!Q967</f>
        <v>Overweight_Level_I</v>
      </c>
      <c r="E967" t="b">
        <f t="shared" si="61"/>
        <v>0</v>
      </c>
      <c r="F967">
        <f>C967/(B967*B967)</f>
        <v>25.384786163468601</v>
      </c>
      <c r="G967" t="str">
        <f t="shared" si="62"/>
        <v>Overweight</v>
      </c>
      <c r="H967" t="str">
        <f t="shared" si="63"/>
        <v>OK</v>
      </c>
      <c r="I967" t="str">
        <f t="shared" si="60"/>
        <v>OK</v>
      </c>
    </row>
    <row r="968" spans="1:9" x14ac:dyDescent="0.2">
      <c r="A968" t="str">
        <f>ObesityDataSet_raw_and_data_sin!A968</f>
        <v>Male</v>
      </c>
      <c r="B968">
        <f>ObesityDataSet_raw_and_data_sin!C968</f>
        <v>1.7736559999999999</v>
      </c>
      <c r="C968">
        <f>ObesityDataSet_raw_and_data_sin!D968</f>
        <v>87.070233999999999</v>
      </c>
      <c r="D968" t="str">
        <f>ObesityDataSet_raw_and_data_sin!Q968</f>
        <v>Overweight_Level_I</v>
      </c>
      <c r="E968" t="b">
        <f t="shared" si="61"/>
        <v>0</v>
      </c>
      <c r="F968">
        <f>C968/(B968*B968)</f>
        <v>27.677759215850124</v>
      </c>
      <c r="G968" t="str">
        <f t="shared" si="62"/>
        <v>Overweight</v>
      </c>
      <c r="H968" t="str">
        <f t="shared" si="63"/>
        <v>OK</v>
      </c>
      <c r="I968" t="str">
        <f t="shared" si="60"/>
        <v>OK</v>
      </c>
    </row>
    <row r="969" spans="1:9" x14ac:dyDescent="0.2">
      <c r="A969" t="str">
        <f>ObesityDataSet_raw_and_data_sin!A969</f>
        <v>Female</v>
      </c>
      <c r="B969">
        <f>ObesityDataSet_raw_and_data_sin!C969</f>
        <v>1.64602</v>
      </c>
      <c r="C969">
        <f>ObesityDataSet_raw_and_data_sin!D969</f>
        <v>74.147442999999996</v>
      </c>
      <c r="D969" t="str">
        <f>ObesityDataSet_raw_and_data_sin!Q969</f>
        <v>Overweight_Level_I</v>
      </c>
      <c r="E969" t="b">
        <f t="shared" si="61"/>
        <v>0</v>
      </c>
      <c r="F969">
        <f>C969/(B969*B969)</f>
        <v>27.366922555682745</v>
      </c>
      <c r="G969" t="str">
        <f t="shared" si="62"/>
        <v>Overweight</v>
      </c>
      <c r="H969" t="str">
        <f t="shared" si="63"/>
        <v>OK</v>
      </c>
      <c r="I969" t="str">
        <f t="shared" si="60"/>
        <v>OK</v>
      </c>
    </row>
    <row r="970" spans="1:9" x14ac:dyDescent="0.2">
      <c r="A970" t="str">
        <f>ObesityDataSet_raw_and_data_sin!A970</f>
        <v>Female</v>
      </c>
      <c r="B970">
        <f>ObesityDataSet_raw_and_data_sin!C970</f>
        <v>1.65015</v>
      </c>
      <c r="C970">
        <f>ObesityDataSet_raw_and_data_sin!D970</f>
        <v>73.810727999999997</v>
      </c>
      <c r="D970" t="str">
        <f>ObesityDataSet_raw_and_data_sin!Q970</f>
        <v>Overweight_Level_I</v>
      </c>
      <c r="E970" t="b">
        <f t="shared" si="61"/>
        <v>0</v>
      </c>
      <c r="F970">
        <f>C970/(B970*B970)</f>
        <v>27.106449842950454</v>
      </c>
      <c r="G970" t="str">
        <f t="shared" si="62"/>
        <v>Overweight</v>
      </c>
      <c r="H970" t="str">
        <f t="shared" si="63"/>
        <v>OK</v>
      </c>
      <c r="I970" t="str">
        <f t="shared" si="60"/>
        <v>OK</v>
      </c>
    </row>
    <row r="971" spans="1:9" x14ac:dyDescent="0.2">
      <c r="A971" t="str">
        <f>ObesityDataSet_raw_and_data_sin!A971</f>
        <v>Male</v>
      </c>
      <c r="B971">
        <f>ObesityDataSet_raw_and_data_sin!C971</f>
        <v>1.7510289999999999</v>
      </c>
      <c r="C971">
        <f>ObesityDataSet_raw_and_data_sin!D971</f>
        <v>80</v>
      </c>
      <c r="D971" t="str">
        <f>ObesityDataSet_raw_and_data_sin!Q971</f>
        <v>Overweight_Level_I</v>
      </c>
      <c r="E971" t="b">
        <f t="shared" si="61"/>
        <v>0</v>
      </c>
      <c r="F971">
        <f>C971/(B971*B971)</f>
        <v>26.091756053404929</v>
      </c>
      <c r="G971" t="str">
        <f t="shared" si="62"/>
        <v>Overweight</v>
      </c>
      <c r="H971" t="str">
        <f t="shared" si="63"/>
        <v>OK</v>
      </c>
      <c r="I971" t="str">
        <f t="shared" si="60"/>
        <v>OK</v>
      </c>
    </row>
    <row r="972" spans="1:9" x14ac:dyDescent="0.2">
      <c r="A972" t="str">
        <f>ObesityDataSet_raw_and_data_sin!A972</f>
        <v>Male</v>
      </c>
      <c r="B972">
        <f>ObesityDataSet_raw_and_data_sin!C972</f>
        <v>1.838266</v>
      </c>
      <c r="C972">
        <f>ObesityDataSet_raw_and_data_sin!D972</f>
        <v>89.496904999999998</v>
      </c>
      <c r="D972" t="str">
        <f>ObesityDataSet_raw_and_data_sin!Q972</f>
        <v>Overweight_Level_I</v>
      </c>
      <c r="E972" t="b">
        <f t="shared" si="61"/>
        <v>0</v>
      </c>
      <c r="F972">
        <f>C972/(B972*B972)</f>
        <v>26.484471277473769</v>
      </c>
      <c r="G972" t="str">
        <f t="shared" si="62"/>
        <v>Overweight</v>
      </c>
      <c r="H972" t="str">
        <f t="shared" si="63"/>
        <v>OK</v>
      </c>
      <c r="I972" t="str">
        <f t="shared" si="60"/>
        <v>OK</v>
      </c>
    </row>
    <row r="973" spans="1:9" x14ac:dyDescent="0.2">
      <c r="A973" t="str">
        <f>ObesityDataSet_raw_and_data_sin!A973</f>
        <v>Male</v>
      </c>
      <c r="B973">
        <f>ObesityDataSet_raw_and_data_sin!C973</f>
        <v>1.824449</v>
      </c>
      <c r="C973">
        <f>ObesityDataSet_raw_and_data_sin!D973</f>
        <v>87.656029000000004</v>
      </c>
      <c r="D973" t="str">
        <f>ObesityDataSet_raw_and_data_sin!Q973</f>
        <v>Overweight_Level_I</v>
      </c>
      <c r="E973" t="b">
        <f t="shared" si="61"/>
        <v>0</v>
      </c>
      <c r="F973">
        <f>C973/(B973*B973)</f>
        <v>26.334091292969763</v>
      </c>
      <c r="G973" t="str">
        <f t="shared" si="62"/>
        <v>Overweight</v>
      </c>
      <c r="H973" t="str">
        <f t="shared" si="63"/>
        <v>OK</v>
      </c>
      <c r="I973" t="str">
        <f t="shared" si="60"/>
        <v>OK</v>
      </c>
    </row>
    <row r="974" spans="1:9" x14ac:dyDescent="0.2">
      <c r="A974" t="str">
        <f>ObesityDataSet_raw_and_data_sin!A974</f>
        <v>Female</v>
      </c>
      <c r="B974">
        <f>ObesityDataSet_raw_and_data_sin!C974</f>
        <v>1.76</v>
      </c>
      <c r="C974">
        <f>ObesityDataSet_raw_and_data_sin!D974</f>
        <v>79.349221</v>
      </c>
      <c r="D974" t="str">
        <f>ObesityDataSet_raw_and_data_sin!Q974</f>
        <v>Overweight_Level_I</v>
      </c>
      <c r="E974" t="b">
        <f t="shared" si="61"/>
        <v>0</v>
      </c>
      <c r="F974">
        <f>C974/(B974*B974)</f>
        <v>25.616354919938018</v>
      </c>
      <c r="G974" t="str">
        <f t="shared" si="62"/>
        <v>Overweight</v>
      </c>
      <c r="H974" t="str">
        <f t="shared" si="63"/>
        <v>OK</v>
      </c>
      <c r="I974" t="str">
        <f t="shared" si="60"/>
        <v>OK</v>
      </c>
    </row>
    <row r="975" spans="1:9" x14ac:dyDescent="0.2">
      <c r="A975" t="str">
        <f>ObesityDataSet_raw_and_data_sin!A975</f>
        <v>Female</v>
      </c>
      <c r="B975">
        <f>ObesityDataSet_raw_and_data_sin!C975</f>
        <v>1.622241</v>
      </c>
      <c r="C975">
        <f>ObesityDataSet_raw_and_data_sin!D975</f>
        <v>68.250248999999997</v>
      </c>
      <c r="D975" t="str">
        <f>ObesityDataSet_raw_and_data_sin!Q975</f>
        <v>Overweight_Level_I</v>
      </c>
      <c r="E975" t="b">
        <f t="shared" si="61"/>
        <v>0</v>
      </c>
      <c r="F975">
        <f>C975/(B975*B975)</f>
        <v>25.934238074597676</v>
      </c>
      <c r="G975" t="str">
        <f t="shared" si="62"/>
        <v>Overweight</v>
      </c>
      <c r="H975" t="str">
        <f t="shared" si="63"/>
        <v>OK</v>
      </c>
      <c r="I975" t="str">
        <f t="shared" si="60"/>
        <v>OK</v>
      </c>
    </row>
    <row r="976" spans="1:9" x14ac:dyDescent="0.2">
      <c r="A976" t="str">
        <f>ObesityDataSet_raw_and_data_sin!A976</f>
        <v>Female</v>
      </c>
      <c r="B976">
        <f>ObesityDataSet_raw_and_data_sin!C976</f>
        <v>1.7299960000000001</v>
      </c>
      <c r="C976">
        <f>ObesityDataSet_raw_and_data_sin!D976</f>
        <v>75.816863999999995</v>
      </c>
      <c r="D976" t="str">
        <f>ObesityDataSet_raw_and_data_sin!Q976</f>
        <v>Overweight_Level_I</v>
      </c>
      <c r="E976" t="b">
        <f t="shared" si="61"/>
        <v>0</v>
      </c>
      <c r="F976">
        <f>C976/(B976*B976)</f>
        <v>25.332358114013488</v>
      </c>
      <c r="G976" t="str">
        <f t="shared" si="62"/>
        <v>Overweight</v>
      </c>
      <c r="H976" t="str">
        <f t="shared" si="63"/>
        <v>OK</v>
      </c>
      <c r="I976" t="str">
        <f t="shared" si="60"/>
        <v>OK</v>
      </c>
    </row>
    <row r="977" spans="1:9" x14ac:dyDescent="0.2">
      <c r="A977" t="str">
        <f>ObesityDataSet_raw_and_data_sin!A977</f>
        <v>Female</v>
      </c>
      <c r="B977">
        <f>ObesityDataSet_raw_and_data_sin!C977</f>
        <v>1.725233</v>
      </c>
      <c r="C977">
        <f>ObesityDataSet_raw_and_data_sin!D977</f>
        <v>75.970712000000006</v>
      </c>
      <c r="D977" t="str">
        <f>ObesityDataSet_raw_and_data_sin!Q977</f>
        <v>Overweight_Level_I</v>
      </c>
      <c r="E977" t="b">
        <f t="shared" si="61"/>
        <v>0</v>
      </c>
      <c r="F977">
        <f>C977/(B977*B977)</f>
        <v>25.524114448199008</v>
      </c>
      <c r="G977" t="str">
        <f t="shared" si="62"/>
        <v>Overweight</v>
      </c>
      <c r="H977" t="str">
        <f t="shared" si="63"/>
        <v>OK</v>
      </c>
      <c r="I977" t="str">
        <f t="shared" si="60"/>
        <v>OK</v>
      </c>
    </row>
    <row r="978" spans="1:9" x14ac:dyDescent="0.2">
      <c r="A978" t="str">
        <f>ObesityDataSet_raw_and_data_sin!A978</f>
        <v>Female</v>
      </c>
      <c r="B978">
        <f>ObesityDataSet_raw_and_data_sin!C978</f>
        <v>1.541039</v>
      </c>
      <c r="C978">
        <f>ObesityDataSet_raw_and_data_sin!D978</f>
        <v>64.726947999999993</v>
      </c>
      <c r="D978" t="str">
        <f>ObesityDataSet_raw_and_data_sin!Q978</f>
        <v>Overweight_Level_I</v>
      </c>
      <c r="E978" t="b">
        <f t="shared" si="61"/>
        <v>0</v>
      </c>
      <c r="F978">
        <f>C978/(B978*B978)</f>
        <v>27.255733243294419</v>
      </c>
      <c r="G978" t="str">
        <f t="shared" si="62"/>
        <v>Overweight</v>
      </c>
      <c r="H978" t="str">
        <f t="shared" si="63"/>
        <v>OK</v>
      </c>
      <c r="I978" t="str">
        <f t="shared" si="60"/>
        <v>OK</v>
      </c>
    </row>
    <row r="979" spans="1:9" x14ac:dyDescent="0.2">
      <c r="A979" t="str">
        <f>ObesityDataSet_raw_and_data_sin!A979</f>
        <v>Male</v>
      </c>
      <c r="B979">
        <f>ObesityDataSet_raw_and_data_sin!C979</f>
        <v>1.773766</v>
      </c>
      <c r="C979">
        <f>ObesityDataSet_raw_and_data_sin!D979</f>
        <v>89.282820000000001</v>
      </c>
      <c r="D979" t="str">
        <f>ObesityDataSet_raw_and_data_sin!Q979</f>
        <v>Overweight_Level_II</v>
      </c>
      <c r="E979" t="b">
        <f t="shared" si="61"/>
        <v>0</v>
      </c>
      <c r="F979">
        <f>C979/(B979*B979)</f>
        <v>28.377572837519548</v>
      </c>
      <c r="G979" t="str">
        <f t="shared" si="62"/>
        <v>Overweight</v>
      </c>
      <c r="H979" t="str">
        <f t="shared" si="63"/>
        <v>OK</v>
      </c>
      <c r="I979" t="str">
        <f t="shared" si="60"/>
        <v>OK</v>
      </c>
    </row>
    <row r="980" spans="1:9" x14ac:dyDescent="0.2">
      <c r="A980" t="str">
        <f>ObesityDataSet_raw_and_data_sin!A980</f>
        <v>Male</v>
      </c>
      <c r="B980">
        <f>ObesityDataSet_raw_and_data_sin!C980</f>
        <v>1.7546299999999999</v>
      </c>
      <c r="C980">
        <f>ObesityDataSet_raw_and_data_sin!D980</f>
        <v>89.068226999999993</v>
      </c>
      <c r="D980" t="str">
        <f>ObesityDataSet_raw_and_data_sin!Q980</f>
        <v>Overweight_Level_II</v>
      </c>
      <c r="E980" t="b">
        <f t="shared" si="61"/>
        <v>0</v>
      </c>
      <c r="F980">
        <f>C980/(B980*B980)</f>
        <v>28.930218005885472</v>
      </c>
      <c r="G980" t="str">
        <f t="shared" si="62"/>
        <v>Overweight</v>
      </c>
      <c r="H980" t="str">
        <f t="shared" si="63"/>
        <v>OK</v>
      </c>
      <c r="I980" t="str">
        <f t="shared" si="60"/>
        <v>OK</v>
      </c>
    </row>
    <row r="981" spans="1:9" x14ac:dyDescent="0.2">
      <c r="A981" t="str">
        <f>ObesityDataSet_raw_and_data_sin!A981</f>
        <v>Male</v>
      </c>
      <c r="B981">
        <f>ObesityDataSet_raw_and_data_sin!C981</f>
        <v>1.6743269999999999</v>
      </c>
      <c r="C981">
        <f>ObesityDataSet_raw_and_data_sin!D981</f>
        <v>80</v>
      </c>
      <c r="D981" t="str">
        <f>ObesityDataSet_raw_and_data_sin!Q981</f>
        <v>Overweight_Level_II</v>
      </c>
      <c r="E981" t="b">
        <f t="shared" si="61"/>
        <v>0</v>
      </c>
      <c r="F981">
        <f>C981/(B981*B981)</f>
        <v>28.537072963272511</v>
      </c>
      <c r="G981" t="str">
        <f t="shared" si="62"/>
        <v>Overweight</v>
      </c>
      <c r="H981" t="str">
        <f t="shared" si="63"/>
        <v>OK</v>
      </c>
      <c r="I981" t="str">
        <f t="shared" si="60"/>
        <v>OK</v>
      </c>
    </row>
    <row r="982" spans="1:9" x14ac:dyDescent="0.2">
      <c r="A982" t="str">
        <f>ObesityDataSet_raw_and_data_sin!A982</f>
        <v>Male</v>
      </c>
      <c r="B982">
        <f>ObesityDataSet_raw_and_data_sin!C982</f>
        <v>1.72</v>
      </c>
      <c r="C982">
        <f>ObesityDataSet_raw_and_data_sin!D982</f>
        <v>80.555875</v>
      </c>
      <c r="D982" t="str">
        <f>ObesityDataSet_raw_and_data_sin!Q982</f>
        <v>Overweight_Level_II</v>
      </c>
      <c r="E982" t="b">
        <f t="shared" si="61"/>
        <v>0</v>
      </c>
      <c r="F982">
        <f>C982/(B982*B982)</f>
        <v>27.229541306111415</v>
      </c>
      <c r="G982" t="str">
        <f t="shared" si="62"/>
        <v>Overweight</v>
      </c>
      <c r="H982" t="str">
        <f t="shared" si="63"/>
        <v>OK</v>
      </c>
      <c r="I982" t="str">
        <f t="shared" si="60"/>
        <v>OK</v>
      </c>
    </row>
    <row r="983" spans="1:9" x14ac:dyDescent="0.2">
      <c r="A983" t="str">
        <f>ObesityDataSet_raw_and_data_sin!A983</f>
        <v>Male</v>
      </c>
      <c r="B983">
        <f>ObesityDataSet_raw_and_data_sin!C983</f>
        <v>1.913241</v>
      </c>
      <c r="C983">
        <f>ObesityDataSet_raw_and_data_sin!D983</f>
        <v>101.48205400000001</v>
      </c>
      <c r="D983" t="str">
        <f>ObesityDataSet_raw_and_data_sin!Q983</f>
        <v>Overweight_Level_II</v>
      </c>
      <c r="E983" t="b">
        <f t="shared" si="61"/>
        <v>0</v>
      </c>
      <c r="F983">
        <f>C983/(B983*B983)</f>
        <v>27.723617012041796</v>
      </c>
      <c r="G983" t="str">
        <f t="shared" si="62"/>
        <v>Overweight</v>
      </c>
      <c r="H983" t="str">
        <f t="shared" si="63"/>
        <v>OK</v>
      </c>
      <c r="I983" t="str">
        <f t="shared" si="60"/>
        <v>OK</v>
      </c>
    </row>
    <row r="984" spans="1:9" x14ac:dyDescent="0.2">
      <c r="A984" t="str">
        <f>ObesityDataSet_raw_and_data_sin!A984</f>
        <v>Male</v>
      </c>
      <c r="B984">
        <f>ObesityDataSet_raw_and_data_sin!C984</f>
        <v>1.737984</v>
      </c>
      <c r="C984">
        <f>ObesityDataSet_raw_and_data_sin!D984</f>
        <v>82.523112999999995</v>
      </c>
      <c r="D984" t="str">
        <f>ObesityDataSet_raw_and_data_sin!Q984</f>
        <v>Overweight_Level_II</v>
      </c>
      <c r="E984" t="b">
        <f t="shared" si="61"/>
        <v>0</v>
      </c>
      <c r="F984">
        <f>C984/(B984*B984)</f>
        <v>27.32021133039159</v>
      </c>
      <c r="G984" t="str">
        <f t="shared" si="62"/>
        <v>Overweight</v>
      </c>
      <c r="H984" t="str">
        <f t="shared" si="63"/>
        <v>OK</v>
      </c>
      <c r="I984" t="str">
        <f t="shared" si="60"/>
        <v>OK</v>
      </c>
    </row>
    <row r="985" spans="1:9" x14ac:dyDescent="0.2">
      <c r="A985" t="str">
        <f>ObesityDataSet_raw_and_data_sin!A985</f>
        <v>Male</v>
      </c>
      <c r="B985">
        <f>ObesityDataSet_raw_and_data_sin!C985</f>
        <v>1.7036880000000001</v>
      </c>
      <c r="C985">
        <f>ObesityDataSet_raw_and_data_sin!D985</f>
        <v>82.207977999999997</v>
      </c>
      <c r="D985" t="str">
        <f>ObesityDataSet_raw_and_data_sin!Q985</f>
        <v>Overweight_Level_II</v>
      </c>
      <c r="E985" t="b">
        <f t="shared" si="61"/>
        <v>0</v>
      </c>
      <c r="F985">
        <f>C985/(B985*B985)</f>
        <v>28.322646865178246</v>
      </c>
      <c r="G985" t="str">
        <f t="shared" si="62"/>
        <v>Overweight</v>
      </c>
      <c r="H985" t="str">
        <f t="shared" si="63"/>
        <v>OK</v>
      </c>
      <c r="I985" t="str">
        <f t="shared" si="60"/>
        <v>OK</v>
      </c>
    </row>
    <row r="986" spans="1:9" x14ac:dyDescent="0.2">
      <c r="A986" t="str">
        <f>ObesityDataSet_raw_and_data_sin!A986</f>
        <v>Male</v>
      </c>
      <c r="B986">
        <f>ObesityDataSet_raw_and_data_sin!C986</f>
        <v>1.7163079999999999</v>
      </c>
      <c r="C986">
        <f>ObesityDataSet_raw_and_data_sin!D986</f>
        <v>80</v>
      </c>
      <c r="D986" t="str">
        <f>ObesityDataSet_raw_and_data_sin!Q986</f>
        <v>Overweight_Level_II</v>
      </c>
      <c r="E986" t="b">
        <f t="shared" si="61"/>
        <v>0</v>
      </c>
      <c r="F986">
        <f>C986/(B986*B986)</f>
        <v>27.158109395864088</v>
      </c>
      <c r="G986" t="str">
        <f t="shared" si="62"/>
        <v>Overweight</v>
      </c>
      <c r="H986" t="str">
        <f t="shared" si="63"/>
        <v>OK</v>
      </c>
      <c r="I986" t="str">
        <f t="shared" si="60"/>
        <v>OK</v>
      </c>
    </row>
    <row r="987" spans="1:9" x14ac:dyDescent="0.2">
      <c r="A987" t="str">
        <f>ObesityDataSet_raw_and_data_sin!A987</f>
        <v>Male</v>
      </c>
      <c r="B987">
        <f>ObesityDataSet_raw_and_data_sin!C987</f>
        <v>1.65</v>
      </c>
      <c r="C987">
        <f>ObesityDataSet_raw_and_data_sin!D987</f>
        <v>80</v>
      </c>
      <c r="D987" t="str">
        <f>ObesityDataSet_raw_and_data_sin!Q987</f>
        <v>Overweight_Level_II</v>
      </c>
      <c r="E987" t="b">
        <f t="shared" si="61"/>
        <v>0</v>
      </c>
      <c r="F987">
        <f>C987/(B987*B987)</f>
        <v>29.384756657483933</v>
      </c>
      <c r="G987" t="str">
        <f t="shared" si="62"/>
        <v>Overweight</v>
      </c>
      <c r="H987" t="str">
        <f t="shared" si="63"/>
        <v>OK</v>
      </c>
      <c r="I987" t="str">
        <f t="shared" si="60"/>
        <v>OK</v>
      </c>
    </row>
    <row r="988" spans="1:9" x14ac:dyDescent="0.2">
      <c r="A988" t="str">
        <f>ObesityDataSet_raw_and_data_sin!A988</f>
        <v>Female</v>
      </c>
      <c r="B988">
        <f>ObesityDataSet_raw_and_data_sin!C988</f>
        <v>1.57856</v>
      </c>
      <c r="C988">
        <f>ObesityDataSet_raw_and_data_sin!D988</f>
        <v>65.522744000000003</v>
      </c>
      <c r="D988" t="str">
        <f>ObesityDataSet_raw_and_data_sin!Q988</f>
        <v>Overweight_Level_II</v>
      </c>
      <c r="E988" t="b">
        <f t="shared" si="61"/>
        <v>0</v>
      </c>
      <c r="F988">
        <f>C988/(B988*B988)</f>
        <v>26.294801048626912</v>
      </c>
      <c r="G988" t="str">
        <f t="shared" si="62"/>
        <v>Overweight</v>
      </c>
      <c r="H988" t="str">
        <f t="shared" si="63"/>
        <v>OK</v>
      </c>
      <c r="I988" t="str">
        <f t="shared" si="60"/>
        <v>OK</v>
      </c>
    </row>
    <row r="989" spans="1:9" x14ac:dyDescent="0.2">
      <c r="A989" t="str">
        <f>ObesityDataSet_raw_and_data_sin!A989</f>
        <v>Male</v>
      </c>
      <c r="B989">
        <f>ObesityDataSet_raw_and_data_sin!C989</f>
        <v>1.7808459999999999</v>
      </c>
      <c r="C989">
        <f>ObesityDataSet_raw_and_data_sin!D989</f>
        <v>85.687751000000006</v>
      </c>
      <c r="D989" t="str">
        <f>ObesityDataSet_raw_and_data_sin!Q989</f>
        <v>Overweight_Level_II</v>
      </c>
      <c r="E989" t="b">
        <f t="shared" si="61"/>
        <v>0</v>
      </c>
      <c r="F989">
        <f>C989/(B989*B989)</f>
        <v>27.018797351692502</v>
      </c>
      <c r="G989" t="str">
        <f t="shared" si="62"/>
        <v>Overweight</v>
      </c>
      <c r="H989" t="str">
        <f t="shared" si="63"/>
        <v>OK</v>
      </c>
      <c r="I989" t="str">
        <f t="shared" si="60"/>
        <v>OK</v>
      </c>
    </row>
    <row r="990" spans="1:9" x14ac:dyDescent="0.2">
      <c r="A990" t="str">
        <f>ObesityDataSet_raw_and_data_sin!A990</f>
        <v>Male</v>
      </c>
      <c r="B990">
        <f>ObesityDataSet_raw_and_data_sin!C990</f>
        <v>1.8231679999999999</v>
      </c>
      <c r="C990">
        <f>ObesityDataSet_raw_and_data_sin!D990</f>
        <v>91.630257</v>
      </c>
      <c r="D990" t="str">
        <f>ObesityDataSet_raw_and_data_sin!Q990</f>
        <v>Overweight_Level_II</v>
      </c>
      <c r="E990" t="b">
        <f t="shared" si="61"/>
        <v>0</v>
      </c>
      <c r="F990">
        <f>C990/(B990*B990)</f>
        <v>27.566747323948753</v>
      </c>
      <c r="G990" t="str">
        <f t="shared" si="62"/>
        <v>Overweight</v>
      </c>
      <c r="H990" t="str">
        <f t="shared" si="63"/>
        <v>OK</v>
      </c>
      <c r="I990" t="str">
        <f t="shared" si="60"/>
        <v>OK</v>
      </c>
    </row>
    <row r="991" spans="1:9" x14ac:dyDescent="0.2">
      <c r="A991" t="str">
        <f>ObesityDataSet_raw_and_data_sin!A991</f>
        <v>Female</v>
      </c>
      <c r="B991">
        <f>ObesityDataSet_raw_and_data_sin!C991</f>
        <v>1.525234</v>
      </c>
      <c r="C991">
        <f>ObesityDataSet_raw_and_data_sin!D991</f>
        <v>65.220248999999995</v>
      </c>
      <c r="D991" t="str">
        <f>ObesityDataSet_raw_and_data_sin!Q991</f>
        <v>Overweight_Level_II</v>
      </c>
      <c r="E991" t="b">
        <f t="shared" si="61"/>
        <v>0</v>
      </c>
      <c r="F991">
        <f>C991/(B991*B991)</f>
        <v>28.035576876610424</v>
      </c>
      <c r="G991" t="str">
        <f t="shared" si="62"/>
        <v>Overweight</v>
      </c>
      <c r="H991" t="str">
        <f t="shared" si="63"/>
        <v>OK</v>
      </c>
      <c r="I991" t="str">
        <f t="shared" si="60"/>
        <v>OK</v>
      </c>
    </row>
    <row r="992" spans="1:9" x14ac:dyDescent="0.2">
      <c r="A992" t="str">
        <f>ObesityDataSet_raw_and_data_sin!A992</f>
        <v>Female</v>
      </c>
      <c r="B992">
        <f>ObesityDataSet_raw_and_data_sin!C992</f>
        <v>1.4816819999999999</v>
      </c>
      <c r="C992">
        <f>ObesityDataSet_raw_and_data_sin!D992</f>
        <v>61.373868000000002</v>
      </c>
      <c r="D992" t="str">
        <f>ObesityDataSet_raw_and_data_sin!Q992</f>
        <v>Overweight_Level_II</v>
      </c>
      <c r="E992" t="b">
        <f t="shared" si="61"/>
        <v>1</v>
      </c>
      <c r="F992">
        <f>C992/(B992*B992)</f>
        <v>27.955900433111218</v>
      </c>
      <c r="G992" t="str">
        <f t="shared" si="62"/>
        <v>Obese</v>
      </c>
      <c r="H992" t="str">
        <f t="shared" si="63"/>
        <v>OK</v>
      </c>
      <c r="I992" t="str">
        <f t="shared" si="60"/>
        <v>ERROR</v>
      </c>
    </row>
    <row r="993" spans="1:9" x14ac:dyDescent="0.2">
      <c r="A993" t="str">
        <f>ObesityDataSet_raw_and_data_sin!A993</f>
        <v>Male</v>
      </c>
      <c r="B993">
        <f>ObesityDataSet_raw_and_data_sin!C993</f>
        <v>1.768578</v>
      </c>
      <c r="C993">
        <f>ObesityDataSet_raw_and_data_sin!D993</f>
        <v>87.803310999999994</v>
      </c>
      <c r="D993" t="str">
        <f>ObesityDataSet_raw_and_data_sin!Q993</f>
        <v>Overweight_Level_II</v>
      </c>
      <c r="E993" t="b">
        <f t="shared" si="61"/>
        <v>0</v>
      </c>
      <c r="F993">
        <f>C993/(B993*B993)</f>
        <v>28.071295531498784</v>
      </c>
      <c r="G993" t="str">
        <f t="shared" si="62"/>
        <v>Overweight</v>
      </c>
      <c r="H993" t="str">
        <f t="shared" si="63"/>
        <v>OK</v>
      </c>
      <c r="I993" t="str">
        <f t="shared" si="60"/>
        <v>OK</v>
      </c>
    </row>
    <row r="994" spans="1:9" x14ac:dyDescent="0.2">
      <c r="A994" t="str">
        <f>ObesityDataSet_raw_and_data_sin!A994</f>
        <v>Female</v>
      </c>
      <c r="B994">
        <f>ObesityDataSet_raw_and_data_sin!C994</f>
        <v>1.5698780000000001</v>
      </c>
      <c r="C994">
        <f>ObesityDataSet_raw_and_data_sin!D994</f>
        <v>69.743323000000004</v>
      </c>
      <c r="D994" t="str">
        <f>ObesityDataSet_raw_and_data_sin!Q994</f>
        <v>Overweight_Level_II</v>
      </c>
      <c r="E994" t="b">
        <f t="shared" si="61"/>
        <v>0</v>
      </c>
      <c r="F994">
        <f>C994/(B994*B994)</f>
        <v>28.298983063503552</v>
      </c>
      <c r="G994" t="str">
        <f t="shared" si="62"/>
        <v>Overweight</v>
      </c>
      <c r="H994" t="str">
        <f t="shared" si="63"/>
        <v>OK</v>
      </c>
      <c r="I994" t="str">
        <f t="shared" si="60"/>
        <v>OK</v>
      </c>
    </row>
    <row r="995" spans="1:9" x14ac:dyDescent="0.2">
      <c r="A995" t="str">
        <f>ObesityDataSet_raw_and_data_sin!A995</f>
        <v>Female</v>
      </c>
      <c r="B995">
        <f>ObesityDataSet_raw_and_data_sin!C995</f>
        <v>1.5681879999999999</v>
      </c>
      <c r="C995">
        <f>ObesityDataSet_raw_and_data_sin!D995</f>
        <v>67.904022999999995</v>
      </c>
      <c r="D995" t="str">
        <f>ObesityDataSet_raw_and_data_sin!Q995</f>
        <v>Overweight_Level_II</v>
      </c>
      <c r="E995" t="b">
        <f t="shared" si="61"/>
        <v>0</v>
      </c>
      <c r="F995">
        <f>C995/(B995*B995)</f>
        <v>27.612088233273099</v>
      </c>
      <c r="G995" t="str">
        <f t="shared" si="62"/>
        <v>Overweight</v>
      </c>
      <c r="H995" t="str">
        <f t="shared" si="63"/>
        <v>OK</v>
      </c>
      <c r="I995" t="str">
        <f t="shared" si="60"/>
        <v>OK</v>
      </c>
    </row>
    <row r="996" spans="1:9" x14ac:dyDescent="0.2">
      <c r="A996" t="str">
        <f>ObesityDataSet_raw_and_data_sin!A996</f>
        <v>Male</v>
      </c>
      <c r="B996">
        <f>ObesityDataSet_raw_and_data_sin!C996</f>
        <v>1.792527</v>
      </c>
      <c r="C996">
        <f>ObesityDataSet_raw_and_data_sin!D996</f>
        <v>89.994415000000004</v>
      </c>
      <c r="D996" t="str">
        <f>ObesityDataSet_raw_and_data_sin!Q996</f>
        <v>Overweight_Level_II</v>
      </c>
      <c r="E996" t="b">
        <f t="shared" si="61"/>
        <v>0</v>
      </c>
      <c r="F996">
        <f>C996/(B996*B996)</f>
        <v>28.008132111734529</v>
      </c>
      <c r="G996" t="str">
        <f t="shared" si="62"/>
        <v>Overweight</v>
      </c>
      <c r="H996" t="str">
        <f t="shared" si="63"/>
        <v>OK</v>
      </c>
      <c r="I996" t="str">
        <f t="shared" si="60"/>
        <v>OK</v>
      </c>
    </row>
    <row r="997" spans="1:9" x14ac:dyDescent="0.2">
      <c r="A997" t="str">
        <f>ObesityDataSet_raw_and_data_sin!A997</f>
        <v>Male</v>
      </c>
      <c r="B997">
        <f>ObesityDataSet_raw_and_data_sin!C997</f>
        <v>1.7953110000000001</v>
      </c>
      <c r="C997">
        <f>ObesityDataSet_raw_and_data_sin!D997</f>
        <v>89.868784000000005</v>
      </c>
      <c r="D997" t="str">
        <f>ObesityDataSet_raw_and_data_sin!Q997</f>
        <v>Overweight_Level_II</v>
      </c>
      <c r="E997" t="b">
        <f t="shared" si="61"/>
        <v>0</v>
      </c>
      <c r="F997">
        <f>C997/(B997*B997)</f>
        <v>27.882356881326533</v>
      </c>
      <c r="G997" t="str">
        <f t="shared" si="62"/>
        <v>Overweight</v>
      </c>
      <c r="H997" t="str">
        <f t="shared" si="63"/>
        <v>OK</v>
      </c>
      <c r="I997" t="str">
        <f t="shared" si="60"/>
        <v>OK</v>
      </c>
    </row>
    <row r="998" spans="1:9" x14ac:dyDescent="0.2">
      <c r="A998" t="str">
        <f>ObesityDataSet_raw_and_data_sin!A998</f>
        <v>Female</v>
      </c>
      <c r="B998">
        <f>ObesityDataSet_raw_and_data_sin!C998</f>
        <v>1.7000379999999999</v>
      </c>
      <c r="C998">
        <f>ObesityDataSet_raw_and_data_sin!D998</f>
        <v>80</v>
      </c>
      <c r="D998" t="str">
        <f>ObesityDataSet_raw_and_data_sin!Q998</f>
        <v>Overweight_Level_II</v>
      </c>
      <c r="E998" t="b">
        <f t="shared" si="61"/>
        <v>0</v>
      </c>
      <c r="F998">
        <f>C998/(B998*B998)</f>
        <v>27.68042340807099</v>
      </c>
      <c r="G998" t="str">
        <f t="shared" si="62"/>
        <v>Overweight</v>
      </c>
      <c r="H998" t="str">
        <f t="shared" si="63"/>
        <v>OK</v>
      </c>
      <c r="I998" t="str">
        <f t="shared" si="60"/>
        <v>OK</v>
      </c>
    </row>
    <row r="999" spans="1:9" x14ac:dyDescent="0.2">
      <c r="A999" t="str">
        <f>ObesityDataSet_raw_and_data_sin!A999</f>
        <v>Female</v>
      </c>
      <c r="B999">
        <f>ObesityDataSet_raw_and_data_sin!C999</f>
        <v>1.668649</v>
      </c>
      <c r="C999">
        <f>ObesityDataSet_raw_and_data_sin!D999</f>
        <v>80.458342999999999</v>
      </c>
      <c r="D999" t="str">
        <f>ObesityDataSet_raw_and_data_sin!Q999</f>
        <v>Overweight_Level_II</v>
      </c>
      <c r="E999" t="b">
        <f t="shared" si="61"/>
        <v>0</v>
      </c>
      <c r="F999">
        <f>C999/(B999*B999)</f>
        <v>28.896224263033321</v>
      </c>
      <c r="G999" t="str">
        <f t="shared" si="62"/>
        <v>Overweight</v>
      </c>
      <c r="H999" t="str">
        <f t="shared" si="63"/>
        <v>OK</v>
      </c>
      <c r="I999" t="str">
        <f t="shared" si="60"/>
        <v>OK</v>
      </c>
    </row>
    <row r="1000" spans="1:9" x14ac:dyDescent="0.2">
      <c r="A1000" t="str">
        <f>ObesityDataSet_raw_and_data_sin!A1000</f>
        <v>Male</v>
      </c>
      <c r="B1000">
        <f>ObesityDataSet_raw_and_data_sin!C1000</f>
        <v>1.7</v>
      </c>
      <c r="C1000">
        <f>ObesityDataSet_raw_and_data_sin!D1000</f>
        <v>84.687554000000006</v>
      </c>
      <c r="D1000" t="str">
        <f>ObesityDataSet_raw_and_data_sin!Q1000</f>
        <v>Overweight_Level_II</v>
      </c>
      <c r="E1000" t="b">
        <f t="shared" si="61"/>
        <v>0</v>
      </c>
      <c r="F1000">
        <f>C1000/(B1000*B1000)</f>
        <v>29.303651903114194</v>
      </c>
      <c r="G1000" t="str">
        <f t="shared" si="62"/>
        <v>Overweight</v>
      </c>
      <c r="H1000" t="str">
        <f t="shared" si="63"/>
        <v>OK</v>
      </c>
      <c r="I1000" t="str">
        <f t="shared" si="60"/>
        <v>OK</v>
      </c>
    </row>
    <row r="1001" spans="1:9" x14ac:dyDescent="0.2">
      <c r="A1001" t="str">
        <f>ObesityDataSet_raw_and_data_sin!A1001</f>
        <v>Male</v>
      </c>
      <c r="B1001">
        <f>ObesityDataSet_raw_and_data_sin!C1001</f>
        <v>1.7138249999999999</v>
      </c>
      <c r="C1001">
        <f>ObesityDataSet_raw_and_data_sin!D1001</f>
        <v>83.952967999999998</v>
      </c>
      <c r="D1001" t="str">
        <f>ObesityDataSet_raw_and_data_sin!Q1001</f>
        <v>Overweight_Level_II</v>
      </c>
      <c r="E1001" t="b">
        <f t="shared" si="61"/>
        <v>0</v>
      </c>
      <c r="F1001">
        <f>C1001/(B1001*B1001)</f>
        <v>28.582690520614236</v>
      </c>
      <c r="G1001" t="str">
        <f t="shared" si="62"/>
        <v>Overweight</v>
      </c>
      <c r="H1001" t="str">
        <f t="shared" si="63"/>
        <v>OK</v>
      </c>
      <c r="I1001" t="str">
        <f t="shared" si="60"/>
        <v>OK</v>
      </c>
    </row>
    <row r="1002" spans="1:9" x14ac:dyDescent="0.2">
      <c r="A1002" t="str">
        <f>ObesityDataSet_raw_and_data_sin!A1002</f>
        <v>Female</v>
      </c>
      <c r="B1002">
        <f>ObesityDataSet_raw_and_data_sin!C1002</f>
        <v>1.7</v>
      </c>
      <c r="C1002">
        <f>ObesityDataSet_raw_and_data_sin!D1002</f>
        <v>78.055967999999993</v>
      </c>
      <c r="D1002" t="str">
        <f>ObesityDataSet_raw_and_data_sin!Q1002</f>
        <v>Overweight_Level_II</v>
      </c>
      <c r="E1002" t="b">
        <f t="shared" si="61"/>
        <v>0</v>
      </c>
      <c r="F1002">
        <f>C1002/(B1002*B1002)</f>
        <v>27.008985467128028</v>
      </c>
      <c r="G1002" t="str">
        <f t="shared" si="62"/>
        <v>Overweight</v>
      </c>
      <c r="H1002" t="str">
        <f t="shared" si="63"/>
        <v>OK</v>
      </c>
      <c r="I1002" t="str">
        <f t="shared" si="60"/>
        <v>OK</v>
      </c>
    </row>
    <row r="1003" spans="1:9" x14ac:dyDescent="0.2">
      <c r="A1003" t="str">
        <f>ObesityDataSet_raw_and_data_sin!A1003</f>
        <v>Male</v>
      </c>
      <c r="B1003">
        <f>ObesityDataSet_raw_and_data_sin!C1003</f>
        <v>1.8353809999999999</v>
      </c>
      <c r="C1003">
        <f>ObesityDataSet_raw_and_data_sin!D1003</f>
        <v>91.059595000000002</v>
      </c>
      <c r="D1003" t="str">
        <f>ObesityDataSet_raw_and_data_sin!Q1003</f>
        <v>Overweight_Level_II</v>
      </c>
      <c r="E1003" t="b">
        <f t="shared" si="61"/>
        <v>0</v>
      </c>
      <c r="F1003">
        <f>C1003/(B1003*B1003)</f>
        <v>27.031693299456538</v>
      </c>
      <c r="G1003" t="str">
        <f t="shared" si="62"/>
        <v>Overweight</v>
      </c>
      <c r="H1003" t="str">
        <f t="shared" si="63"/>
        <v>OK</v>
      </c>
      <c r="I1003" t="str">
        <f t="shared" si="60"/>
        <v>OK</v>
      </c>
    </row>
    <row r="1004" spans="1:9" x14ac:dyDescent="0.2">
      <c r="A1004" t="str">
        <f>ObesityDataSet_raw_and_data_sin!A1004</f>
        <v>Male</v>
      </c>
      <c r="B1004">
        <f>ObesityDataSet_raw_and_data_sin!C1004</f>
        <v>1.7</v>
      </c>
      <c r="C1004">
        <f>ObesityDataSet_raw_and_data_sin!D1004</f>
        <v>80.761409</v>
      </c>
      <c r="D1004" t="str">
        <f>ObesityDataSet_raw_and_data_sin!Q1004</f>
        <v>Overweight_Level_II</v>
      </c>
      <c r="E1004" t="b">
        <f t="shared" si="61"/>
        <v>0</v>
      </c>
      <c r="F1004">
        <f>C1004/(B1004*B1004)</f>
        <v>27.945124221453291</v>
      </c>
      <c r="G1004" t="str">
        <f t="shared" si="62"/>
        <v>Overweight</v>
      </c>
      <c r="H1004" t="str">
        <f t="shared" si="63"/>
        <v>OK</v>
      </c>
      <c r="I1004" t="str">
        <f t="shared" si="60"/>
        <v>OK</v>
      </c>
    </row>
    <row r="1005" spans="1:9" x14ac:dyDescent="0.2">
      <c r="A1005" t="str">
        <f>ObesityDataSet_raw_and_data_sin!A1005</f>
        <v>Female</v>
      </c>
      <c r="B1005">
        <f>ObesityDataSet_raw_and_data_sin!C1005</f>
        <v>1.7</v>
      </c>
      <c r="C1005">
        <f>ObesityDataSet_raw_and_data_sin!D1005</f>
        <v>78</v>
      </c>
      <c r="D1005" t="str">
        <f>ObesityDataSet_raw_and_data_sin!Q1005</f>
        <v>Overweight_Level_II</v>
      </c>
      <c r="E1005" t="b">
        <f t="shared" si="61"/>
        <v>0</v>
      </c>
      <c r="F1005">
        <f>C1005/(B1005*B1005)</f>
        <v>26.989619377162633</v>
      </c>
      <c r="G1005" t="str">
        <f t="shared" si="62"/>
        <v>Overweight</v>
      </c>
      <c r="H1005" t="str">
        <f t="shared" si="63"/>
        <v>OK</v>
      </c>
      <c r="I1005" t="str">
        <f t="shared" si="60"/>
        <v>OK</v>
      </c>
    </row>
    <row r="1006" spans="1:9" x14ac:dyDescent="0.2">
      <c r="A1006" t="str">
        <f>ObesityDataSet_raw_and_data_sin!A1006</f>
        <v>Male</v>
      </c>
      <c r="B1006">
        <f>ObesityDataSet_raw_and_data_sin!C1006</f>
        <v>1.7</v>
      </c>
      <c r="C1006">
        <f>ObesityDataSet_raw_and_data_sin!D1006</f>
        <v>83.199033999999997</v>
      </c>
      <c r="D1006" t="str">
        <f>ObesityDataSet_raw_and_data_sin!Q1006</f>
        <v>Overweight_Level_II</v>
      </c>
      <c r="E1006" t="b">
        <f t="shared" si="61"/>
        <v>0</v>
      </c>
      <c r="F1006">
        <f>C1006/(B1006*B1006)</f>
        <v>28.788593079584778</v>
      </c>
      <c r="G1006" t="str">
        <f t="shared" si="62"/>
        <v>Overweight</v>
      </c>
      <c r="H1006" t="str">
        <f t="shared" si="63"/>
        <v>OK</v>
      </c>
      <c r="I1006" t="str">
        <f t="shared" si="60"/>
        <v>OK</v>
      </c>
    </row>
    <row r="1007" spans="1:9" x14ac:dyDescent="0.2">
      <c r="A1007" t="str">
        <f>ObesityDataSet_raw_and_data_sin!A1007</f>
        <v>Female</v>
      </c>
      <c r="B1007">
        <f>ObesityDataSet_raw_and_data_sin!C1007</f>
        <v>1.659877</v>
      </c>
      <c r="C1007">
        <f>ObesityDataSet_raw_and_data_sin!D1007</f>
        <v>77.272651999999994</v>
      </c>
      <c r="D1007" t="str">
        <f>ObesityDataSet_raw_and_data_sin!Q1007</f>
        <v>Overweight_Level_II</v>
      </c>
      <c r="E1007" t="b">
        <f t="shared" si="61"/>
        <v>0</v>
      </c>
      <c r="F1007">
        <f>C1007/(B1007*B1007)</f>
        <v>28.046198476302376</v>
      </c>
      <c r="G1007" t="str">
        <f t="shared" si="62"/>
        <v>Overweight</v>
      </c>
      <c r="H1007" t="str">
        <f t="shared" si="63"/>
        <v>OK</v>
      </c>
      <c r="I1007" t="str">
        <f t="shared" si="60"/>
        <v>OK</v>
      </c>
    </row>
    <row r="1008" spans="1:9" x14ac:dyDescent="0.2">
      <c r="A1008" t="str">
        <f>ObesityDataSet_raw_and_data_sin!A1008</f>
        <v>Male</v>
      </c>
      <c r="B1008">
        <f>ObesityDataSet_raw_and_data_sin!C1008</f>
        <v>1.836943</v>
      </c>
      <c r="C1008">
        <f>ObesityDataSet_raw_and_data_sin!D1008</f>
        <v>96.192661999999999</v>
      </c>
      <c r="D1008" t="str">
        <f>ObesityDataSet_raw_and_data_sin!Q1008</f>
        <v>Overweight_Level_II</v>
      </c>
      <c r="E1008" t="b">
        <f t="shared" si="61"/>
        <v>0</v>
      </c>
      <c r="F1008">
        <f>C1008/(B1008*B1008)</f>
        <v>28.506938744912027</v>
      </c>
      <c r="G1008" t="str">
        <f t="shared" si="62"/>
        <v>Overweight</v>
      </c>
      <c r="H1008" t="str">
        <f t="shared" si="63"/>
        <v>OK</v>
      </c>
      <c r="I1008" t="str">
        <f t="shared" si="60"/>
        <v>OK</v>
      </c>
    </row>
    <row r="1009" spans="1:9" x14ac:dyDescent="0.2">
      <c r="A1009" t="str">
        <f>ObesityDataSet_raw_and_data_sin!A1009</f>
        <v>Male</v>
      </c>
      <c r="B1009">
        <f>ObesityDataSet_raw_and_data_sin!C1009</f>
        <v>1.8196140000000001</v>
      </c>
      <c r="C1009">
        <f>ObesityDataSet_raw_and_data_sin!D1009</f>
        <v>93.086419000000006</v>
      </c>
      <c r="D1009" t="str">
        <f>ObesityDataSet_raw_and_data_sin!Q1009</f>
        <v>Overweight_Level_II</v>
      </c>
      <c r="E1009" t="b">
        <f t="shared" si="61"/>
        <v>0</v>
      </c>
      <c r="F1009">
        <f>C1009/(B1009*B1009)</f>
        <v>28.114332983181839</v>
      </c>
      <c r="G1009" t="str">
        <f t="shared" si="62"/>
        <v>Overweight</v>
      </c>
      <c r="H1009" t="str">
        <f t="shared" si="63"/>
        <v>OK</v>
      </c>
      <c r="I1009" t="str">
        <f t="shared" si="60"/>
        <v>OK</v>
      </c>
    </row>
    <row r="1010" spans="1:9" x14ac:dyDescent="0.2">
      <c r="A1010" t="str">
        <f>ObesityDataSet_raw_and_data_sin!A1010</f>
        <v>Male</v>
      </c>
      <c r="B1010">
        <f>ObesityDataSet_raw_and_data_sin!C1010</f>
        <v>1.7177750000000001</v>
      </c>
      <c r="C1010">
        <f>ObesityDataSet_raw_and_data_sin!D1010</f>
        <v>85.312639000000004</v>
      </c>
      <c r="D1010" t="str">
        <f>ObesityDataSet_raw_and_data_sin!Q1010</f>
        <v>Overweight_Level_II</v>
      </c>
      <c r="E1010" t="b">
        <f t="shared" si="61"/>
        <v>0</v>
      </c>
      <c r="F1010">
        <f>C1010/(B1010*B1010)</f>
        <v>28.912178773315276</v>
      </c>
      <c r="G1010" t="str">
        <f t="shared" si="62"/>
        <v>Overweight</v>
      </c>
      <c r="H1010" t="str">
        <f t="shared" si="63"/>
        <v>OK</v>
      </c>
      <c r="I1010" t="str">
        <f t="shared" si="60"/>
        <v>OK</v>
      </c>
    </row>
    <row r="1011" spans="1:9" x14ac:dyDescent="0.2">
      <c r="A1011" t="str">
        <f>ObesityDataSet_raw_and_data_sin!A1011</f>
        <v>Male</v>
      </c>
      <c r="B1011">
        <f>ObesityDataSet_raw_and_data_sin!C1011</f>
        <v>1.7918670000000001</v>
      </c>
      <c r="C1011">
        <f>ObesityDataSet_raw_and_data_sin!D1011</f>
        <v>90</v>
      </c>
      <c r="D1011" t="str">
        <f>ObesityDataSet_raw_and_data_sin!Q1011</f>
        <v>Overweight_Level_II</v>
      </c>
      <c r="E1011" t="b">
        <f t="shared" si="61"/>
        <v>0</v>
      </c>
      <c r="F1011">
        <f>C1011/(B1011*B1011)</f>
        <v>28.030507881762865</v>
      </c>
      <c r="G1011" t="str">
        <f t="shared" si="62"/>
        <v>Overweight</v>
      </c>
      <c r="H1011" t="str">
        <f t="shared" si="63"/>
        <v>OK</v>
      </c>
      <c r="I1011" t="str">
        <f t="shared" si="60"/>
        <v>OK</v>
      </c>
    </row>
    <row r="1012" spans="1:9" x14ac:dyDescent="0.2">
      <c r="A1012" t="str">
        <f>ObesityDataSet_raw_and_data_sin!A1012</f>
        <v>Female</v>
      </c>
      <c r="B1012">
        <f>ObesityDataSet_raw_and_data_sin!C1012</f>
        <v>1.7</v>
      </c>
      <c r="C1012">
        <f>ObesityDataSet_raw_and_data_sin!D1012</f>
        <v>80.749656999999999</v>
      </c>
      <c r="D1012" t="str">
        <f>ObesityDataSet_raw_and_data_sin!Q1012</f>
        <v>Overweight_Level_II</v>
      </c>
      <c r="E1012" t="b">
        <f t="shared" si="61"/>
        <v>0</v>
      </c>
      <c r="F1012">
        <f>C1012/(B1012*B1012)</f>
        <v>27.94105778546713</v>
      </c>
      <c r="G1012" t="str">
        <f t="shared" si="62"/>
        <v>Overweight</v>
      </c>
      <c r="H1012" t="str">
        <f t="shared" si="63"/>
        <v>OK</v>
      </c>
      <c r="I1012" t="str">
        <f t="shared" si="60"/>
        <v>OK</v>
      </c>
    </row>
    <row r="1013" spans="1:9" x14ac:dyDescent="0.2">
      <c r="A1013" t="str">
        <f>ObesityDataSet_raw_and_data_sin!A1013</f>
        <v>Male</v>
      </c>
      <c r="B1013">
        <f>ObesityDataSet_raw_and_data_sin!C1013</f>
        <v>1.6810799999999999</v>
      </c>
      <c r="C1013">
        <f>ObesityDataSet_raw_and_data_sin!D1013</f>
        <v>83.568034999999995</v>
      </c>
      <c r="D1013" t="str">
        <f>ObesityDataSet_raw_and_data_sin!Q1013</f>
        <v>Overweight_Level_II</v>
      </c>
      <c r="E1013" t="b">
        <f t="shared" si="61"/>
        <v>0</v>
      </c>
      <c r="F1013">
        <f>C1013/(B1013*B1013)</f>
        <v>29.570824086644407</v>
      </c>
      <c r="G1013" t="str">
        <f t="shared" si="62"/>
        <v>Overweight</v>
      </c>
      <c r="H1013" t="str">
        <f t="shared" si="63"/>
        <v>OK</v>
      </c>
      <c r="I1013" t="str">
        <f t="shared" si="60"/>
        <v>OK</v>
      </c>
    </row>
    <row r="1014" spans="1:9" x14ac:dyDescent="0.2">
      <c r="A1014" t="str">
        <f>ObesityDataSet_raw_and_data_sin!A1014</f>
        <v>Female</v>
      </c>
      <c r="B1014">
        <f>ObesityDataSet_raw_and_data_sin!C1014</f>
        <v>1.6607559999999999</v>
      </c>
      <c r="C1014">
        <f>ObesityDataSet_raw_and_data_sin!D1014</f>
        <v>78.574786000000003</v>
      </c>
      <c r="D1014" t="str">
        <f>ObesityDataSet_raw_and_data_sin!Q1014</f>
        <v>Overweight_Level_II</v>
      </c>
      <c r="E1014" t="b">
        <f t="shared" si="61"/>
        <v>0</v>
      </c>
      <c r="F1014">
        <f>C1014/(B1014*B1014)</f>
        <v>28.488628806252603</v>
      </c>
      <c r="G1014" t="str">
        <f t="shared" si="62"/>
        <v>Overweight</v>
      </c>
      <c r="H1014" t="str">
        <f t="shared" si="63"/>
        <v>OK</v>
      </c>
      <c r="I1014" t="str">
        <f t="shared" si="60"/>
        <v>OK</v>
      </c>
    </row>
    <row r="1015" spans="1:9" x14ac:dyDescent="0.2">
      <c r="A1015" t="str">
        <f>ObesityDataSet_raw_and_data_sin!A1015</f>
        <v>Male</v>
      </c>
      <c r="B1015">
        <f>ObesityDataSet_raw_and_data_sin!C1015</f>
        <v>1.769269</v>
      </c>
      <c r="C1015">
        <f>ObesityDataSet_raw_and_data_sin!D1015</f>
        <v>80.491338999999996</v>
      </c>
      <c r="D1015" t="str">
        <f>ObesityDataSet_raw_and_data_sin!Q1015</f>
        <v>Overweight_Level_II</v>
      </c>
      <c r="E1015" t="b">
        <f t="shared" si="61"/>
        <v>0</v>
      </c>
      <c r="F1015">
        <f>C1015/(B1015*B1015)</f>
        <v>25.713513085656647</v>
      </c>
      <c r="G1015" t="str">
        <f t="shared" si="62"/>
        <v>Overweight</v>
      </c>
      <c r="H1015" t="str">
        <f t="shared" si="63"/>
        <v>OK</v>
      </c>
      <c r="I1015" t="str">
        <f t="shared" si="60"/>
        <v>OK</v>
      </c>
    </row>
    <row r="1016" spans="1:9" x14ac:dyDescent="0.2">
      <c r="A1016" t="str">
        <f>ObesityDataSet_raw_and_data_sin!A1016</f>
        <v>Male</v>
      </c>
      <c r="B1016">
        <f>ObesityDataSet_raw_and_data_sin!C1016</f>
        <v>1.765188</v>
      </c>
      <c r="C1016">
        <f>ObesityDataSet_raw_and_data_sin!D1016</f>
        <v>85</v>
      </c>
      <c r="D1016" t="str">
        <f>ObesityDataSet_raw_and_data_sin!Q1016</f>
        <v>Overweight_Level_II</v>
      </c>
      <c r="E1016" t="b">
        <f t="shared" si="61"/>
        <v>0</v>
      </c>
      <c r="F1016">
        <f>C1016/(B1016*B1016)</f>
        <v>27.279536869402385</v>
      </c>
      <c r="G1016" t="str">
        <f t="shared" si="62"/>
        <v>Overweight</v>
      </c>
      <c r="H1016" t="str">
        <f t="shared" si="63"/>
        <v>OK</v>
      </c>
      <c r="I1016" t="str">
        <f t="shared" si="60"/>
        <v>OK</v>
      </c>
    </row>
    <row r="1017" spans="1:9" x14ac:dyDescent="0.2">
      <c r="A1017" t="str">
        <f>ObesityDataSet_raw_and_data_sin!A1017</f>
        <v>Male</v>
      </c>
      <c r="B1017">
        <f>ObesityDataSet_raw_and_data_sin!C1017</f>
        <v>1.65</v>
      </c>
      <c r="C1017">
        <f>ObesityDataSet_raw_and_data_sin!D1017</f>
        <v>80</v>
      </c>
      <c r="D1017" t="str">
        <f>ObesityDataSet_raw_and_data_sin!Q1017</f>
        <v>Overweight_Level_II</v>
      </c>
      <c r="E1017" t="b">
        <f t="shared" si="61"/>
        <v>0</v>
      </c>
      <c r="F1017">
        <f>C1017/(B1017*B1017)</f>
        <v>29.384756657483933</v>
      </c>
      <c r="G1017" t="str">
        <f t="shared" si="62"/>
        <v>Overweight</v>
      </c>
      <c r="H1017" t="str">
        <f t="shared" si="63"/>
        <v>OK</v>
      </c>
      <c r="I1017" t="str">
        <f t="shared" si="60"/>
        <v>OK</v>
      </c>
    </row>
    <row r="1018" spans="1:9" x14ac:dyDescent="0.2">
      <c r="A1018" t="str">
        <f>ObesityDataSet_raw_and_data_sin!A1018</f>
        <v>Male</v>
      </c>
      <c r="B1018">
        <f>ObesityDataSet_raw_and_data_sin!C1018</f>
        <v>1.654757</v>
      </c>
      <c r="C1018">
        <f>ObesityDataSet_raw_and_data_sin!D1018</f>
        <v>80</v>
      </c>
      <c r="D1018" t="str">
        <f>ObesityDataSet_raw_and_data_sin!Q1018</f>
        <v>Overweight_Level_II</v>
      </c>
      <c r="E1018" t="b">
        <f t="shared" si="61"/>
        <v>0</v>
      </c>
      <c r="F1018">
        <f>C1018/(B1018*B1018)</f>
        <v>29.216052289467719</v>
      </c>
      <c r="G1018" t="str">
        <f t="shared" si="62"/>
        <v>Overweight</v>
      </c>
      <c r="H1018" t="str">
        <f t="shared" si="63"/>
        <v>OK</v>
      </c>
      <c r="I1018" t="str">
        <f t="shared" si="60"/>
        <v>OK</v>
      </c>
    </row>
    <row r="1019" spans="1:9" x14ac:dyDescent="0.2">
      <c r="A1019" t="str">
        <f>ObesityDataSet_raw_and_data_sin!A1019</f>
        <v>Female</v>
      </c>
      <c r="B1019">
        <f>ObesityDataSet_raw_and_data_sin!C1019</f>
        <v>1.6477679999999999</v>
      </c>
      <c r="C1019">
        <f>ObesityDataSet_raw_and_data_sin!D1019</f>
        <v>79.165306000000001</v>
      </c>
      <c r="D1019" t="str">
        <f>ObesityDataSet_raw_and_data_sin!Q1019</f>
        <v>Overweight_Level_II</v>
      </c>
      <c r="E1019" t="b">
        <f t="shared" si="61"/>
        <v>0</v>
      </c>
      <c r="F1019">
        <f>C1019/(B1019*B1019)</f>
        <v>29.156995228295663</v>
      </c>
      <c r="G1019" t="str">
        <f t="shared" si="62"/>
        <v>Overweight</v>
      </c>
      <c r="H1019" t="str">
        <f t="shared" si="63"/>
        <v>OK</v>
      </c>
      <c r="I1019" t="str">
        <f t="shared" si="60"/>
        <v>OK</v>
      </c>
    </row>
    <row r="1020" spans="1:9" x14ac:dyDescent="0.2">
      <c r="A1020" t="str">
        <f>ObesityDataSet_raw_and_data_sin!A1020</f>
        <v>Male</v>
      </c>
      <c r="B1020">
        <f>ObesityDataSet_raw_and_data_sin!C1020</f>
        <v>1.691303</v>
      </c>
      <c r="C1020">
        <f>ObesityDataSet_raw_and_data_sin!D1020</f>
        <v>80.539000000000001</v>
      </c>
      <c r="D1020" t="str">
        <f>ObesityDataSet_raw_and_data_sin!Q1020</f>
        <v>Overweight_Level_II</v>
      </c>
      <c r="E1020" t="b">
        <f t="shared" si="61"/>
        <v>0</v>
      </c>
      <c r="F1020">
        <f>C1020/(B1020*B1020)</f>
        <v>28.155509747775493</v>
      </c>
      <c r="G1020" t="str">
        <f t="shared" si="62"/>
        <v>Overweight</v>
      </c>
      <c r="H1020" t="str">
        <f t="shared" si="63"/>
        <v>OK</v>
      </c>
      <c r="I1020" t="str">
        <f t="shared" si="60"/>
        <v>OK</v>
      </c>
    </row>
    <row r="1021" spans="1:9" x14ac:dyDescent="0.2">
      <c r="A1021" t="str">
        <f>ObesityDataSet_raw_and_data_sin!A1021</f>
        <v>Female</v>
      </c>
      <c r="B1021">
        <f>ObesityDataSet_raw_and_data_sin!C1021</f>
        <v>1.532897</v>
      </c>
      <c r="C1021">
        <f>ObesityDataSet_raw_and_data_sin!D1021</f>
        <v>65.031879000000004</v>
      </c>
      <c r="D1021" t="str">
        <f>ObesityDataSet_raw_and_data_sin!Q1021</f>
        <v>Overweight_Level_II</v>
      </c>
      <c r="E1021" t="b">
        <f t="shared" si="61"/>
        <v>0</v>
      </c>
      <c r="F1021">
        <f>C1021/(B1021*B1021)</f>
        <v>27.675810861676226</v>
      </c>
      <c r="G1021" t="str">
        <f t="shared" si="62"/>
        <v>Overweight</v>
      </c>
      <c r="H1021" t="str">
        <f t="shared" si="63"/>
        <v>OK</v>
      </c>
      <c r="I1021" t="str">
        <f t="shared" si="60"/>
        <v>OK</v>
      </c>
    </row>
    <row r="1022" spans="1:9" x14ac:dyDescent="0.2">
      <c r="A1022" t="str">
        <f>ObesityDataSet_raw_and_data_sin!A1022</f>
        <v>Female</v>
      </c>
      <c r="B1022">
        <f>ObesityDataSet_raw_and_data_sin!C1022</f>
        <v>1.565288</v>
      </c>
      <c r="C1022">
        <f>ObesityDataSet_raw_and_data_sin!D1022</f>
        <v>64.848626999999993</v>
      </c>
      <c r="D1022" t="str">
        <f>ObesityDataSet_raw_and_data_sin!Q1022</f>
        <v>Overweight_Level_II</v>
      </c>
      <c r="E1022" t="b">
        <f t="shared" si="61"/>
        <v>0</v>
      </c>
      <c r="F1022">
        <f>C1022/(B1022*B1022)</f>
        <v>26.467460513867579</v>
      </c>
      <c r="G1022" t="str">
        <f t="shared" si="62"/>
        <v>Overweight</v>
      </c>
      <c r="H1022" t="str">
        <f t="shared" si="63"/>
        <v>OK</v>
      </c>
      <c r="I1022" t="str">
        <f t="shared" si="60"/>
        <v>OK</v>
      </c>
    </row>
    <row r="1023" spans="1:9" x14ac:dyDescent="0.2">
      <c r="A1023" t="str">
        <f>ObesityDataSet_raw_and_data_sin!A1023</f>
        <v>Female</v>
      </c>
      <c r="B1023">
        <f>ObesityDataSet_raw_and_data_sin!C1023</f>
        <v>1.5</v>
      </c>
      <c r="C1023">
        <f>ObesityDataSet_raw_and_data_sin!D1023</f>
        <v>63.652329999999999</v>
      </c>
      <c r="D1023" t="str">
        <f>ObesityDataSet_raw_and_data_sin!Q1023</f>
        <v>Overweight_Level_II</v>
      </c>
      <c r="E1023" t="b">
        <f t="shared" si="61"/>
        <v>0</v>
      </c>
      <c r="F1023">
        <f>C1023/(B1023*B1023)</f>
        <v>28.289924444444445</v>
      </c>
      <c r="G1023" t="str">
        <f t="shared" si="62"/>
        <v>Overweight</v>
      </c>
      <c r="H1023" t="str">
        <f t="shared" si="63"/>
        <v>OK</v>
      </c>
      <c r="I1023" t="str">
        <f t="shared" si="60"/>
        <v>OK</v>
      </c>
    </row>
    <row r="1024" spans="1:9" x14ac:dyDescent="0.2">
      <c r="A1024" t="str">
        <f>ObesityDataSet_raw_and_data_sin!A1024</f>
        <v>Female</v>
      </c>
      <c r="B1024">
        <f>ObesityDataSet_raw_and_data_sin!C1024</f>
        <v>1.5071060000000001</v>
      </c>
      <c r="C1024">
        <f>ObesityDataSet_raw_and_data_sin!D1024</f>
        <v>64.814109000000002</v>
      </c>
      <c r="D1024" t="str">
        <f>ObesityDataSet_raw_and_data_sin!Q1024</f>
        <v>Overweight_Level_II</v>
      </c>
      <c r="E1024" t="b">
        <f t="shared" si="61"/>
        <v>0</v>
      </c>
      <c r="F1024">
        <f>C1024/(B1024*B1024)</f>
        <v>28.535268115209849</v>
      </c>
      <c r="G1024" t="str">
        <f t="shared" si="62"/>
        <v>Overweight</v>
      </c>
      <c r="H1024" t="str">
        <f t="shared" si="63"/>
        <v>OK</v>
      </c>
      <c r="I1024" t="str">
        <f t="shared" si="60"/>
        <v>OK</v>
      </c>
    </row>
    <row r="1025" spans="1:9" x14ac:dyDescent="0.2">
      <c r="A1025" t="str">
        <f>ObesityDataSet_raw_and_data_sin!A1025</f>
        <v>Male</v>
      </c>
      <c r="B1025">
        <f>ObesityDataSet_raw_and_data_sin!C1025</f>
        <v>1.7007399999999999</v>
      </c>
      <c r="C1025">
        <f>ObesityDataSet_raw_and_data_sin!D1025</f>
        <v>81.322969999999998</v>
      </c>
      <c r="D1025" t="str">
        <f>ObesityDataSet_raw_and_data_sin!Q1025</f>
        <v>Overweight_Level_II</v>
      </c>
      <c r="E1025" t="b">
        <f t="shared" si="61"/>
        <v>0</v>
      </c>
      <c r="F1025">
        <f>C1025/(B1025*B1025)</f>
        <v>28.114954110625884</v>
      </c>
      <c r="G1025" t="str">
        <f t="shared" si="62"/>
        <v>Overweight</v>
      </c>
      <c r="H1025" t="str">
        <f t="shared" si="63"/>
        <v>OK</v>
      </c>
      <c r="I1025" t="str">
        <f t="shared" si="60"/>
        <v>OK</v>
      </c>
    </row>
    <row r="1026" spans="1:9" x14ac:dyDescent="0.2">
      <c r="A1026" t="str">
        <f>ObesityDataSet_raw_and_data_sin!A1026</f>
        <v>Male</v>
      </c>
      <c r="B1026">
        <f>ObesityDataSet_raw_and_data_sin!C1026</f>
        <v>1.7151179999999999</v>
      </c>
      <c r="C1026">
        <f>ObesityDataSet_raw_and_data_sin!D1026</f>
        <v>81.650778000000003</v>
      </c>
      <c r="D1026" t="str">
        <f>ObesityDataSet_raw_and_data_sin!Q1026</f>
        <v>Overweight_Level_II</v>
      </c>
      <c r="E1026" t="b">
        <f t="shared" si="61"/>
        <v>0</v>
      </c>
      <c r="F1026">
        <f>C1026/(B1026*B1026)</f>
        <v>27.756986714960163</v>
      </c>
      <c r="G1026" t="str">
        <f t="shared" si="62"/>
        <v>Overweight</v>
      </c>
      <c r="H1026" t="str">
        <f t="shared" si="63"/>
        <v>OK</v>
      </c>
      <c r="I1026" t="str">
        <f t="shared" ref="I1026:I1089" si="64">IF(AND(LEFT(D1026,10)="Overweight",G1026&lt;&gt;"Overweight"),"ERROR","OK")</f>
        <v>OK</v>
      </c>
    </row>
    <row r="1027" spans="1:9" x14ac:dyDescent="0.2">
      <c r="A1027" t="str">
        <f>ObesityDataSet_raw_and_data_sin!A1027</f>
        <v>Female</v>
      </c>
      <c r="B1027">
        <f>ObesityDataSet_raw_and_data_sin!C1027</f>
        <v>1.696423</v>
      </c>
      <c r="C1027">
        <f>ObesityDataSet_raw_and_data_sin!D1027</f>
        <v>78.967918999999995</v>
      </c>
      <c r="D1027" t="str">
        <f>ObesityDataSet_raw_and_data_sin!Q1027</f>
        <v>Overweight_Level_II</v>
      </c>
      <c r="E1027" t="b">
        <f t="shared" ref="E1027:E1090" si="65">IF(AND(A1027="Female", B1027&lt;1.5), TRUE, IF(AND(A1027="Male",B1027&lt;1.6),TRUE, FALSE))</f>
        <v>0</v>
      </c>
      <c r="F1027">
        <f>C1027/(B1027*B1027)</f>
        <v>27.439891481229459</v>
      </c>
      <c r="G1027" t="str">
        <f t="shared" ref="G1027:G1090" si="66">IF(E1027=TRUE,IF(F1027&lt;23,"Normal",IF(F1027&lt;25,"Overweight","Obese")),IF(F1027&lt;25,"Normal",IF(F1027&lt;30,"Overweight","Obese")))</f>
        <v>Overweight</v>
      </c>
      <c r="H1027" t="str">
        <f t="shared" ref="H1027:H1090" si="67">IF(AND(D1027="Normal_Weight",G1027&lt;&gt;"Normal"),"ERROR","OK")</f>
        <v>OK</v>
      </c>
      <c r="I1027" t="str">
        <f t="shared" si="64"/>
        <v>OK</v>
      </c>
    </row>
    <row r="1028" spans="1:9" x14ac:dyDescent="0.2">
      <c r="A1028" t="str">
        <f>ObesityDataSet_raw_and_data_sin!A1028</f>
        <v>Female</v>
      </c>
      <c r="B1028">
        <f>ObesityDataSet_raw_and_data_sin!C1028</f>
        <v>1.6530879999999999</v>
      </c>
      <c r="C1028">
        <f>ObesityDataSet_raw_and_data_sin!D1028</f>
        <v>80</v>
      </c>
      <c r="D1028" t="str">
        <f>ObesityDataSet_raw_and_data_sin!Q1028</f>
        <v>Overweight_Level_II</v>
      </c>
      <c r="E1028" t="b">
        <f t="shared" si="65"/>
        <v>0</v>
      </c>
      <c r="F1028">
        <f>C1028/(B1028*B1028)</f>
        <v>29.275076620594771</v>
      </c>
      <c r="G1028" t="str">
        <f t="shared" si="66"/>
        <v>Overweight</v>
      </c>
      <c r="H1028" t="str">
        <f t="shared" si="67"/>
        <v>OK</v>
      </c>
      <c r="I1028" t="str">
        <f t="shared" si="64"/>
        <v>OK</v>
      </c>
    </row>
    <row r="1029" spans="1:9" x14ac:dyDescent="0.2">
      <c r="A1029" t="str">
        <f>ObesityDataSet_raw_and_data_sin!A1029</f>
        <v>Female</v>
      </c>
      <c r="B1029">
        <f>ObesityDataSet_raw_and_data_sin!C1029</f>
        <v>1.6818420000000001</v>
      </c>
      <c r="C1029">
        <f>ObesityDataSet_raw_and_data_sin!D1029</f>
        <v>77.426464999999993</v>
      </c>
      <c r="D1029" t="str">
        <f>ObesityDataSet_raw_and_data_sin!Q1029</f>
        <v>Overweight_Level_II</v>
      </c>
      <c r="E1029" t="b">
        <f t="shared" si="65"/>
        <v>0</v>
      </c>
      <c r="F1029">
        <f>C1029/(B1029*B1029)</f>
        <v>27.372788637861113</v>
      </c>
      <c r="G1029" t="str">
        <f t="shared" si="66"/>
        <v>Overweight</v>
      </c>
      <c r="H1029" t="str">
        <f t="shared" si="67"/>
        <v>OK</v>
      </c>
      <c r="I1029" t="str">
        <f t="shared" si="64"/>
        <v>OK</v>
      </c>
    </row>
    <row r="1030" spans="1:9" x14ac:dyDescent="0.2">
      <c r="A1030" t="str">
        <f>ObesityDataSet_raw_and_data_sin!A1030</f>
        <v>Female</v>
      </c>
      <c r="B1030">
        <f>ObesityDataSet_raw_and_data_sin!C1030</f>
        <v>1.6522019999999999</v>
      </c>
      <c r="C1030">
        <f>ObesityDataSet_raw_and_data_sin!D1030</f>
        <v>77.133219999999994</v>
      </c>
      <c r="D1030" t="str">
        <f>ObesityDataSet_raw_and_data_sin!Q1030</f>
        <v>Overweight_Level_II</v>
      </c>
      <c r="E1030" t="b">
        <f t="shared" si="65"/>
        <v>0</v>
      </c>
      <c r="F1030">
        <f>C1030/(B1030*B1030)</f>
        <v>28.256292311136352</v>
      </c>
      <c r="G1030" t="str">
        <f t="shared" si="66"/>
        <v>Overweight</v>
      </c>
      <c r="H1030" t="str">
        <f t="shared" si="67"/>
        <v>OK</v>
      </c>
      <c r="I1030" t="str">
        <f t="shared" si="64"/>
        <v>OK</v>
      </c>
    </row>
    <row r="1031" spans="1:9" x14ac:dyDescent="0.2">
      <c r="A1031" t="str">
        <f>ObesityDataSet_raw_and_data_sin!A1031</f>
        <v>Male</v>
      </c>
      <c r="B1031">
        <f>ObesityDataSet_raw_and_data_sin!C1031</f>
        <v>1.8486830000000001</v>
      </c>
      <c r="C1031">
        <f>ObesityDataSet_raw_and_data_sin!D1031</f>
        <v>99</v>
      </c>
      <c r="D1031" t="str">
        <f>ObesityDataSet_raw_and_data_sin!Q1031</f>
        <v>Overweight_Level_II</v>
      </c>
      <c r="E1031" t="b">
        <f t="shared" si="65"/>
        <v>0</v>
      </c>
      <c r="F1031">
        <f>C1031/(B1031*B1031)</f>
        <v>28.967452229142477</v>
      </c>
      <c r="G1031" t="str">
        <f t="shared" si="66"/>
        <v>Overweight</v>
      </c>
      <c r="H1031" t="str">
        <f t="shared" si="67"/>
        <v>OK</v>
      </c>
      <c r="I1031" t="str">
        <f t="shared" si="64"/>
        <v>OK</v>
      </c>
    </row>
    <row r="1032" spans="1:9" x14ac:dyDescent="0.2">
      <c r="A1032" t="str">
        <f>ObesityDataSet_raw_and_data_sin!A1032</f>
        <v>Male</v>
      </c>
      <c r="B1032">
        <f>ObesityDataSet_raw_and_data_sin!C1032</f>
        <v>1.8356779999999999</v>
      </c>
      <c r="C1032">
        <f>ObesityDataSet_raw_and_data_sin!D1032</f>
        <v>96.018510000000006</v>
      </c>
      <c r="D1032" t="str">
        <f>ObesityDataSet_raw_and_data_sin!Q1032</f>
        <v>Overweight_Level_II</v>
      </c>
      <c r="E1032" t="b">
        <f t="shared" si="65"/>
        <v>0</v>
      </c>
      <c r="F1032">
        <f>C1032/(B1032*B1032)</f>
        <v>28.494560068742068</v>
      </c>
      <c r="G1032" t="str">
        <f t="shared" si="66"/>
        <v>Overweight</v>
      </c>
      <c r="H1032" t="str">
        <f t="shared" si="67"/>
        <v>OK</v>
      </c>
      <c r="I1032" t="str">
        <f t="shared" si="64"/>
        <v>OK</v>
      </c>
    </row>
    <row r="1033" spans="1:9" x14ac:dyDescent="0.2">
      <c r="A1033" t="str">
        <f>ObesityDataSet_raw_and_data_sin!A1033</f>
        <v>Female</v>
      </c>
      <c r="B1033">
        <f>ObesityDataSet_raw_and_data_sin!C1033</f>
        <v>1.5600290000000001</v>
      </c>
      <c r="C1033">
        <f>ObesityDataSet_raw_and_data_sin!D1033</f>
        <v>71.728069000000005</v>
      </c>
      <c r="D1033" t="str">
        <f>ObesityDataSet_raw_and_data_sin!Q1033</f>
        <v>Overweight_Level_II</v>
      </c>
      <c r="E1033" t="b">
        <f t="shared" si="65"/>
        <v>0</v>
      </c>
      <c r="F1033">
        <f>C1033/(B1033*B1033)</f>
        <v>29.472962796490553</v>
      </c>
      <c r="G1033" t="str">
        <f t="shared" si="66"/>
        <v>Overweight</v>
      </c>
      <c r="H1033" t="str">
        <f t="shared" si="67"/>
        <v>OK</v>
      </c>
      <c r="I1033" t="str">
        <f t="shared" si="64"/>
        <v>OK</v>
      </c>
    </row>
    <row r="1034" spans="1:9" x14ac:dyDescent="0.2">
      <c r="A1034" t="str">
        <f>ObesityDataSet_raw_and_data_sin!A1034</f>
        <v>Female</v>
      </c>
      <c r="B1034">
        <f>ObesityDataSet_raw_and_data_sin!C1034</f>
        <v>1.621048</v>
      </c>
      <c r="C1034">
        <f>ObesityDataSet_raw_and_data_sin!D1034</f>
        <v>72.105856000000003</v>
      </c>
      <c r="D1034" t="str">
        <f>ObesityDataSet_raw_and_data_sin!Q1034</f>
        <v>Overweight_Level_II</v>
      </c>
      <c r="E1034" t="b">
        <f t="shared" si="65"/>
        <v>0</v>
      </c>
      <c r="F1034">
        <f>C1034/(B1034*B1034)</f>
        <v>27.439663898546939</v>
      </c>
      <c r="G1034" t="str">
        <f t="shared" si="66"/>
        <v>Overweight</v>
      </c>
      <c r="H1034" t="str">
        <f t="shared" si="67"/>
        <v>OK</v>
      </c>
      <c r="I1034" t="str">
        <f t="shared" si="64"/>
        <v>OK</v>
      </c>
    </row>
    <row r="1035" spans="1:9" x14ac:dyDescent="0.2">
      <c r="A1035" t="str">
        <f>ObesityDataSet_raw_and_data_sin!A1035</f>
        <v>Male</v>
      </c>
      <c r="B1035">
        <f>ObesityDataSet_raw_and_data_sin!C1035</f>
        <v>1.6994739999999999</v>
      </c>
      <c r="C1035">
        <f>ObesityDataSet_raw_and_data_sin!D1035</f>
        <v>78</v>
      </c>
      <c r="D1035" t="str">
        <f>ObesityDataSet_raw_and_data_sin!Q1035</f>
        <v>Overweight_Level_II</v>
      </c>
      <c r="E1035" t="b">
        <f t="shared" si="65"/>
        <v>0</v>
      </c>
      <c r="F1035">
        <f>C1035/(B1035*B1035)</f>
        <v>27.006328943487706</v>
      </c>
      <c r="G1035" t="str">
        <f t="shared" si="66"/>
        <v>Overweight</v>
      </c>
      <c r="H1035" t="str">
        <f t="shared" si="67"/>
        <v>OK</v>
      </c>
      <c r="I1035" t="str">
        <f t="shared" si="64"/>
        <v>OK</v>
      </c>
    </row>
    <row r="1036" spans="1:9" x14ac:dyDescent="0.2">
      <c r="A1036" t="str">
        <f>ObesityDataSet_raw_and_data_sin!A1036</f>
        <v>Male</v>
      </c>
      <c r="B1036">
        <f>ObesityDataSet_raw_and_data_sin!C1036</f>
        <v>1.745528</v>
      </c>
      <c r="C1036">
        <f>ObesityDataSet_raw_and_data_sin!D1036</f>
        <v>82.130728000000005</v>
      </c>
      <c r="D1036" t="str">
        <f>ObesityDataSet_raw_and_data_sin!Q1036</f>
        <v>Overweight_Level_II</v>
      </c>
      <c r="E1036" t="b">
        <f t="shared" si="65"/>
        <v>0</v>
      </c>
      <c r="F1036">
        <f>C1036/(B1036*B1036)</f>
        <v>26.95578805277362</v>
      </c>
      <c r="G1036" t="str">
        <f t="shared" si="66"/>
        <v>Overweight</v>
      </c>
      <c r="H1036" t="str">
        <f t="shared" si="67"/>
        <v>OK</v>
      </c>
      <c r="I1036" t="str">
        <f t="shared" si="64"/>
        <v>OK</v>
      </c>
    </row>
    <row r="1037" spans="1:9" x14ac:dyDescent="0.2">
      <c r="A1037" t="str">
        <f>ObesityDataSet_raw_and_data_sin!A1037</f>
        <v>Male</v>
      </c>
      <c r="B1037">
        <f>ObesityDataSet_raw_and_data_sin!C1037</f>
        <v>1.7203790000000001</v>
      </c>
      <c r="C1037">
        <f>ObesityDataSet_raw_and_data_sin!D1037</f>
        <v>85</v>
      </c>
      <c r="D1037" t="str">
        <f>ObesityDataSet_raw_and_data_sin!Q1037</f>
        <v>Overweight_Level_II</v>
      </c>
      <c r="E1037" t="b">
        <f t="shared" si="65"/>
        <v>0</v>
      </c>
      <c r="F1037">
        <f>C1037/(B1037*B1037)</f>
        <v>28.719089060035291</v>
      </c>
      <c r="G1037" t="str">
        <f t="shared" si="66"/>
        <v>Overweight</v>
      </c>
      <c r="H1037" t="str">
        <f t="shared" si="67"/>
        <v>OK</v>
      </c>
      <c r="I1037" t="str">
        <f t="shared" si="64"/>
        <v>OK</v>
      </c>
    </row>
    <row r="1038" spans="1:9" x14ac:dyDescent="0.2">
      <c r="A1038" t="str">
        <f>ObesityDataSet_raw_and_data_sin!A1038</f>
        <v>Male</v>
      </c>
      <c r="B1038">
        <f>ObesityDataSet_raw_and_data_sin!C1038</f>
        <v>1.7587870000000001</v>
      </c>
      <c r="C1038">
        <f>ObesityDataSet_raw_and_data_sin!D1038</f>
        <v>85.050557999999995</v>
      </c>
      <c r="D1038" t="str">
        <f>ObesityDataSet_raw_and_data_sin!Q1038</f>
        <v>Overweight_Level_II</v>
      </c>
      <c r="E1038" t="b">
        <f t="shared" si="65"/>
        <v>0</v>
      </c>
      <c r="F1038">
        <f>C1038/(B1038*B1038)</f>
        <v>27.494806873576323</v>
      </c>
      <c r="G1038" t="str">
        <f t="shared" si="66"/>
        <v>Overweight</v>
      </c>
      <c r="H1038" t="str">
        <f t="shared" si="67"/>
        <v>OK</v>
      </c>
      <c r="I1038" t="str">
        <f t="shared" si="64"/>
        <v>OK</v>
      </c>
    </row>
    <row r="1039" spans="1:9" x14ac:dyDescent="0.2">
      <c r="A1039" t="str">
        <f>ObesityDataSet_raw_and_data_sin!A1039</f>
        <v>Male</v>
      </c>
      <c r="B1039">
        <f>ObesityDataSet_raw_and_data_sin!C1039</f>
        <v>1.7049080000000001</v>
      </c>
      <c r="C1039">
        <f>ObesityDataSet_raw_and_data_sin!D1039</f>
        <v>81.384224000000003</v>
      </c>
      <c r="D1039" t="str">
        <f>ObesityDataSet_raw_and_data_sin!Q1039</f>
        <v>Overweight_Level_II</v>
      </c>
      <c r="E1039" t="b">
        <f t="shared" si="65"/>
        <v>0</v>
      </c>
      <c r="F1039">
        <f>C1039/(B1039*B1039)</f>
        <v>27.998729809525059</v>
      </c>
      <c r="G1039" t="str">
        <f t="shared" si="66"/>
        <v>Overweight</v>
      </c>
      <c r="H1039" t="str">
        <f t="shared" si="67"/>
        <v>OK</v>
      </c>
      <c r="I1039" t="str">
        <f t="shared" si="64"/>
        <v>OK</v>
      </c>
    </row>
    <row r="1040" spans="1:9" x14ac:dyDescent="0.2">
      <c r="A1040" t="str">
        <f>ObesityDataSet_raw_and_data_sin!A1040</f>
        <v>Female</v>
      </c>
      <c r="B1040">
        <f>ObesityDataSet_raw_and_data_sin!C1040</f>
        <v>1.691322</v>
      </c>
      <c r="C1040">
        <f>ObesityDataSet_raw_and_data_sin!D1040</f>
        <v>77.561601999999993</v>
      </c>
      <c r="D1040" t="str">
        <f>ObesityDataSet_raw_and_data_sin!Q1040</f>
        <v>Overweight_Level_II</v>
      </c>
      <c r="E1040" t="b">
        <f t="shared" si="65"/>
        <v>0</v>
      </c>
      <c r="F1040">
        <f>C1040/(B1040*B1040)</f>
        <v>27.114036391436706</v>
      </c>
      <c r="G1040" t="str">
        <f t="shared" si="66"/>
        <v>Overweight</v>
      </c>
      <c r="H1040" t="str">
        <f t="shared" si="67"/>
        <v>OK</v>
      </c>
      <c r="I1040" t="str">
        <f t="shared" si="64"/>
        <v>OK</v>
      </c>
    </row>
    <row r="1041" spans="1:9" x14ac:dyDescent="0.2">
      <c r="A1041" t="str">
        <f>ObesityDataSet_raw_and_data_sin!A1041</f>
        <v>Male</v>
      </c>
      <c r="B1041">
        <f>ObesityDataSet_raw_and_data_sin!C1041</f>
        <v>1.7862899999999999</v>
      </c>
      <c r="C1041">
        <f>ObesityDataSet_raw_and_data_sin!D1041</f>
        <v>95.277392000000006</v>
      </c>
      <c r="D1041" t="str">
        <f>ObesityDataSet_raw_and_data_sin!Q1041</f>
        <v>Overweight_Level_II</v>
      </c>
      <c r="E1041" t="b">
        <f t="shared" si="65"/>
        <v>0</v>
      </c>
      <c r="F1041">
        <f>C1041/(B1041*B1041)</f>
        <v>29.859733471384406</v>
      </c>
      <c r="G1041" t="str">
        <f t="shared" si="66"/>
        <v>Overweight</v>
      </c>
      <c r="H1041" t="str">
        <f t="shared" si="67"/>
        <v>OK</v>
      </c>
      <c r="I1041" t="str">
        <f t="shared" si="64"/>
        <v>OK</v>
      </c>
    </row>
    <row r="1042" spans="1:9" x14ac:dyDescent="0.2">
      <c r="A1042" t="str">
        <f>ObesityDataSet_raw_and_data_sin!A1042</f>
        <v>Male</v>
      </c>
      <c r="B1042">
        <f>ObesityDataSet_raw_and_data_sin!C1042</f>
        <v>1.7056169999999999</v>
      </c>
      <c r="C1042">
        <f>ObesityDataSet_raw_and_data_sin!D1042</f>
        <v>83.016968000000006</v>
      </c>
      <c r="D1042" t="str">
        <f>ObesityDataSet_raw_and_data_sin!Q1042</f>
        <v>Overweight_Level_II</v>
      </c>
      <c r="E1042" t="b">
        <f t="shared" si="65"/>
        <v>0</v>
      </c>
      <c r="F1042">
        <f>C1042/(B1042*B1042)</f>
        <v>28.536705657429163</v>
      </c>
      <c r="G1042" t="str">
        <f t="shared" si="66"/>
        <v>Overweight</v>
      </c>
      <c r="H1042" t="str">
        <f t="shared" si="67"/>
        <v>OK</v>
      </c>
      <c r="I1042" t="str">
        <f t="shared" si="64"/>
        <v>OK</v>
      </c>
    </row>
    <row r="1043" spans="1:9" x14ac:dyDescent="0.2">
      <c r="A1043" t="str">
        <f>ObesityDataSet_raw_and_data_sin!A1043</f>
        <v>Male</v>
      </c>
      <c r="B1043">
        <f>ObesityDataSet_raw_and_data_sin!C1043</f>
        <v>1.733439</v>
      </c>
      <c r="C1043">
        <f>ObesityDataSet_raw_and_data_sin!D1043</f>
        <v>84.753829999999994</v>
      </c>
      <c r="D1043" t="str">
        <f>ObesityDataSet_raw_and_data_sin!Q1043</f>
        <v>Overweight_Level_II</v>
      </c>
      <c r="E1043" t="b">
        <f t="shared" si="65"/>
        <v>0</v>
      </c>
      <c r="F1043">
        <f>C1043/(B1043*B1043)</f>
        <v>28.20604576456827</v>
      </c>
      <c r="G1043" t="str">
        <f t="shared" si="66"/>
        <v>Overweight</v>
      </c>
      <c r="H1043" t="str">
        <f t="shared" si="67"/>
        <v>OK</v>
      </c>
      <c r="I1043" t="str">
        <f t="shared" si="64"/>
        <v>OK</v>
      </c>
    </row>
    <row r="1044" spans="1:9" x14ac:dyDescent="0.2">
      <c r="A1044" t="str">
        <f>ObesityDataSet_raw_and_data_sin!A1044</f>
        <v>Female</v>
      </c>
      <c r="B1044">
        <f>ObesityDataSet_raw_and_data_sin!C1044</f>
        <v>1.701397</v>
      </c>
      <c r="C1044">
        <f>ObesityDataSet_raw_and_data_sin!D1044</f>
        <v>83</v>
      </c>
      <c r="D1044" t="str">
        <f>ObesityDataSet_raw_and_data_sin!Q1044</f>
        <v>Overweight_Level_II</v>
      </c>
      <c r="E1044" t="b">
        <f t="shared" si="65"/>
        <v>0</v>
      </c>
      <c r="F1044">
        <f>C1044/(B1044*B1044)</f>
        <v>28.672579593005104</v>
      </c>
      <c r="G1044" t="str">
        <f t="shared" si="66"/>
        <v>Overweight</v>
      </c>
      <c r="H1044" t="str">
        <f t="shared" si="67"/>
        <v>OK</v>
      </c>
      <c r="I1044" t="str">
        <f t="shared" si="64"/>
        <v>OK</v>
      </c>
    </row>
    <row r="1045" spans="1:9" x14ac:dyDescent="0.2">
      <c r="A1045" t="str">
        <f>ObesityDataSet_raw_and_data_sin!A1045</f>
        <v>Female</v>
      </c>
      <c r="B1045">
        <f>ObesityDataSet_raw_and_data_sin!C1045</f>
        <v>1.6252359999999999</v>
      </c>
      <c r="C1045">
        <f>ObesityDataSet_raw_and_data_sin!D1045</f>
        <v>74.433362000000002</v>
      </c>
      <c r="D1045" t="str">
        <f>ObesityDataSet_raw_and_data_sin!Q1045</f>
        <v>Overweight_Level_II</v>
      </c>
      <c r="E1045" t="b">
        <f t="shared" si="65"/>
        <v>0</v>
      </c>
      <c r="F1045">
        <f>C1045/(B1045*B1045)</f>
        <v>28.179596375891656</v>
      </c>
      <c r="G1045" t="str">
        <f t="shared" si="66"/>
        <v>Overweight</v>
      </c>
      <c r="H1045" t="str">
        <f t="shared" si="67"/>
        <v>OK</v>
      </c>
      <c r="I1045" t="str">
        <f t="shared" si="64"/>
        <v>OK</v>
      </c>
    </row>
    <row r="1046" spans="1:9" x14ac:dyDescent="0.2">
      <c r="A1046" t="str">
        <f>ObesityDataSet_raw_and_data_sin!A1046</f>
        <v>Female</v>
      </c>
      <c r="B1046">
        <f>ObesityDataSet_raw_and_data_sin!C1046</f>
        <v>1.545196</v>
      </c>
      <c r="C1046">
        <f>ObesityDataSet_raw_and_data_sin!D1046</f>
        <v>72.467861999999997</v>
      </c>
      <c r="D1046" t="str">
        <f>ObesityDataSet_raw_and_data_sin!Q1046</f>
        <v>Overweight_Level_II</v>
      </c>
      <c r="E1046" t="b">
        <f t="shared" si="65"/>
        <v>0</v>
      </c>
      <c r="F1046">
        <f>C1046/(B1046*B1046)</f>
        <v>30.351369939708</v>
      </c>
      <c r="G1046" t="str">
        <f t="shared" si="66"/>
        <v>Obese</v>
      </c>
      <c r="H1046" t="str">
        <f t="shared" si="67"/>
        <v>OK</v>
      </c>
      <c r="I1046" t="str">
        <f t="shared" si="64"/>
        <v>ERROR</v>
      </c>
    </row>
    <row r="1047" spans="1:9" x14ac:dyDescent="0.2">
      <c r="A1047" t="str">
        <f>ObesityDataSet_raw_and_data_sin!A1047</f>
        <v>Male</v>
      </c>
      <c r="B1047">
        <f>ObesityDataSet_raw_and_data_sin!C1047</f>
        <v>1.843172</v>
      </c>
      <c r="C1047">
        <f>ObesityDataSet_raw_and_data_sin!D1047</f>
        <v>92.695509999999999</v>
      </c>
      <c r="D1047" t="str">
        <f>ObesityDataSet_raw_and_data_sin!Q1047</f>
        <v>Overweight_Level_II</v>
      </c>
      <c r="E1047" t="b">
        <f t="shared" si="65"/>
        <v>0</v>
      </c>
      <c r="F1047">
        <f>C1047/(B1047*B1047)</f>
        <v>27.285189197095583</v>
      </c>
      <c r="G1047" t="str">
        <f t="shared" si="66"/>
        <v>Overweight</v>
      </c>
      <c r="H1047" t="str">
        <f t="shared" si="67"/>
        <v>OK</v>
      </c>
      <c r="I1047" t="str">
        <f t="shared" si="64"/>
        <v>OK</v>
      </c>
    </row>
    <row r="1048" spans="1:9" x14ac:dyDescent="0.2">
      <c r="A1048" t="str">
        <f>ObesityDataSet_raw_and_data_sin!A1048</f>
        <v>Male</v>
      </c>
      <c r="B1048">
        <f>ObesityDataSet_raw_and_data_sin!C1048</f>
        <v>1.705813</v>
      </c>
      <c r="C1048">
        <f>ObesityDataSet_raw_and_data_sin!D1048</f>
        <v>82.011961999999997</v>
      </c>
      <c r="D1048" t="str">
        <f>ObesityDataSet_raw_and_data_sin!Q1048</f>
        <v>Overweight_Level_II</v>
      </c>
      <c r="E1048" t="b">
        <f t="shared" si="65"/>
        <v>0</v>
      </c>
      <c r="F1048">
        <f>C1048/(B1048*B1048)</f>
        <v>28.184761366437318</v>
      </c>
      <c r="G1048" t="str">
        <f t="shared" si="66"/>
        <v>Overweight</v>
      </c>
      <c r="H1048" t="str">
        <f t="shared" si="67"/>
        <v>OK</v>
      </c>
      <c r="I1048" t="str">
        <f t="shared" si="64"/>
        <v>OK</v>
      </c>
    </row>
    <row r="1049" spans="1:9" x14ac:dyDescent="0.2">
      <c r="A1049" t="str">
        <f>ObesityDataSet_raw_and_data_sin!A1049</f>
        <v>Male</v>
      </c>
      <c r="B1049">
        <f>ObesityDataSet_raw_and_data_sin!C1049</f>
        <v>1.7041409999999999</v>
      </c>
      <c r="C1049">
        <f>ObesityDataSet_raw_and_data_sin!D1049</f>
        <v>78.790936000000002</v>
      </c>
      <c r="D1049" t="str">
        <f>ObesityDataSet_raw_and_data_sin!Q1049</f>
        <v>Overweight_Level_II</v>
      </c>
      <c r="E1049" t="b">
        <f t="shared" si="65"/>
        <v>0</v>
      </c>
      <c r="F1049">
        <f>C1049/(B1049*B1049)</f>
        <v>27.130963003792186</v>
      </c>
      <c r="G1049" t="str">
        <f t="shared" si="66"/>
        <v>Overweight</v>
      </c>
      <c r="H1049" t="str">
        <f t="shared" si="67"/>
        <v>OK</v>
      </c>
      <c r="I1049" t="str">
        <f t="shared" si="64"/>
        <v>OK</v>
      </c>
    </row>
    <row r="1050" spans="1:9" x14ac:dyDescent="0.2">
      <c r="A1050" t="str">
        <f>ObesityDataSet_raw_and_data_sin!A1050</f>
        <v>Male</v>
      </c>
      <c r="B1050">
        <f>ObesityDataSet_raw_and_data_sin!C1050</f>
        <v>1.7060820000000001</v>
      </c>
      <c r="C1050">
        <f>ObesityDataSet_raw_and_data_sin!D1050</f>
        <v>78.073527999999996</v>
      </c>
      <c r="D1050" t="str">
        <f>ObesityDataSet_raw_and_data_sin!Q1050</f>
        <v>Overweight_Level_II</v>
      </c>
      <c r="E1050" t="b">
        <f t="shared" si="65"/>
        <v>0</v>
      </c>
      <c r="F1050">
        <f>C1050/(B1050*B1050)</f>
        <v>26.8227932966895</v>
      </c>
      <c r="G1050" t="str">
        <f t="shared" si="66"/>
        <v>Overweight</v>
      </c>
      <c r="H1050" t="str">
        <f t="shared" si="67"/>
        <v>OK</v>
      </c>
      <c r="I1050" t="str">
        <f t="shared" si="64"/>
        <v>OK</v>
      </c>
    </row>
    <row r="1051" spans="1:9" x14ac:dyDescent="0.2">
      <c r="A1051" t="str">
        <f>ObesityDataSet_raw_and_data_sin!A1051</f>
        <v>Male</v>
      </c>
      <c r="B1051">
        <f>ObesityDataSet_raw_and_data_sin!C1051</f>
        <v>1.842943</v>
      </c>
      <c r="C1051">
        <f>ObesityDataSet_raw_and_data_sin!D1051</f>
        <v>93.798055000000005</v>
      </c>
      <c r="D1051" t="str">
        <f>ObesityDataSet_raw_and_data_sin!Q1051</f>
        <v>Overweight_Level_II</v>
      </c>
      <c r="E1051" t="b">
        <f t="shared" si="65"/>
        <v>0</v>
      </c>
      <c r="F1051">
        <f>C1051/(B1051*B1051)</f>
        <v>27.616588352437866</v>
      </c>
      <c r="G1051" t="str">
        <f t="shared" si="66"/>
        <v>Overweight</v>
      </c>
      <c r="H1051" t="str">
        <f t="shared" si="67"/>
        <v>OK</v>
      </c>
      <c r="I1051" t="str">
        <f t="shared" si="64"/>
        <v>OK</v>
      </c>
    </row>
    <row r="1052" spans="1:9" x14ac:dyDescent="0.2">
      <c r="A1052" t="str">
        <f>ObesityDataSet_raw_and_data_sin!A1052</f>
        <v>Male</v>
      </c>
      <c r="B1052">
        <f>ObesityDataSet_raw_and_data_sin!C1052</f>
        <v>1.880992</v>
      </c>
      <c r="C1052">
        <f>ObesityDataSet_raw_and_data_sin!D1052</f>
        <v>99.623778000000001</v>
      </c>
      <c r="D1052" t="str">
        <f>ObesityDataSet_raw_and_data_sin!Q1052</f>
        <v>Overweight_Level_II</v>
      </c>
      <c r="E1052" t="b">
        <f t="shared" si="65"/>
        <v>0</v>
      </c>
      <c r="F1052">
        <f>C1052/(B1052*B1052)</f>
        <v>28.15717696752521</v>
      </c>
      <c r="G1052" t="str">
        <f t="shared" si="66"/>
        <v>Overweight</v>
      </c>
      <c r="H1052" t="str">
        <f t="shared" si="67"/>
        <v>OK</v>
      </c>
      <c r="I1052" t="str">
        <f t="shared" si="64"/>
        <v>OK</v>
      </c>
    </row>
    <row r="1053" spans="1:9" x14ac:dyDescent="0.2">
      <c r="A1053" t="str">
        <f>ObesityDataSet_raw_and_data_sin!A1053</f>
        <v>Male</v>
      </c>
      <c r="B1053">
        <f>ObesityDataSet_raw_and_data_sin!C1053</f>
        <v>1.726774</v>
      </c>
      <c r="C1053">
        <f>ObesityDataSet_raw_and_data_sin!D1053</f>
        <v>82.853748999999993</v>
      </c>
      <c r="D1053" t="str">
        <f>ObesityDataSet_raw_and_data_sin!Q1053</f>
        <v>Overweight_Level_II</v>
      </c>
      <c r="E1053" t="b">
        <f t="shared" si="65"/>
        <v>0</v>
      </c>
      <c r="F1053">
        <f>C1053/(B1053*B1053)</f>
        <v>27.786968106330058</v>
      </c>
      <c r="G1053" t="str">
        <f t="shared" si="66"/>
        <v>Overweight</v>
      </c>
      <c r="H1053" t="str">
        <f t="shared" si="67"/>
        <v>OK</v>
      </c>
      <c r="I1053" t="str">
        <f t="shared" si="64"/>
        <v>OK</v>
      </c>
    </row>
    <row r="1054" spans="1:9" x14ac:dyDescent="0.2">
      <c r="A1054" t="str">
        <f>ObesityDataSet_raw_and_data_sin!A1054</f>
        <v>Male</v>
      </c>
      <c r="B1054">
        <f>ObesityDataSet_raw_and_data_sin!C1054</f>
        <v>1.7319599999999999</v>
      </c>
      <c r="C1054">
        <f>ObesityDataSet_raw_and_data_sin!D1054</f>
        <v>84.315607999999997</v>
      </c>
      <c r="D1054" t="str">
        <f>ObesityDataSet_raw_and_data_sin!Q1054</f>
        <v>Overweight_Level_II</v>
      </c>
      <c r="E1054" t="b">
        <f t="shared" si="65"/>
        <v>0</v>
      </c>
      <c r="F1054">
        <f>C1054/(B1054*B1054)</f>
        <v>28.10814988488492</v>
      </c>
      <c r="G1054" t="str">
        <f t="shared" si="66"/>
        <v>Overweight</v>
      </c>
      <c r="H1054" t="str">
        <f t="shared" si="67"/>
        <v>OK</v>
      </c>
      <c r="I1054" t="str">
        <f t="shared" si="64"/>
        <v>OK</v>
      </c>
    </row>
    <row r="1055" spans="1:9" x14ac:dyDescent="0.2">
      <c r="A1055" t="str">
        <f>ObesityDataSet_raw_and_data_sin!A1055</f>
        <v>Male</v>
      </c>
      <c r="B1055">
        <f>ObesityDataSet_raw_and_data_sin!C1055</f>
        <v>1.7512779999999999</v>
      </c>
      <c r="C1055">
        <f>ObesityDataSet_raw_and_data_sin!D1055</f>
        <v>86.963628</v>
      </c>
      <c r="D1055" t="str">
        <f>ObesityDataSet_raw_and_data_sin!Q1055</f>
        <v>Overweight_Level_II</v>
      </c>
      <c r="E1055" t="b">
        <f t="shared" si="65"/>
        <v>0</v>
      </c>
      <c r="F1055">
        <f>C1055/(B1055*B1055)</f>
        <v>28.354857277343264</v>
      </c>
      <c r="G1055" t="str">
        <f t="shared" si="66"/>
        <v>Overweight</v>
      </c>
      <c r="H1055" t="str">
        <f t="shared" si="67"/>
        <v>OK</v>
      </c>
      <c r="I1055" t="str">
        <f t="shared" si="64"/>
        <v>OK</v>
      </c>
    </row>
    <row r="1056" spans="1:9" x14ac:dyDescent="0.2">
      <c r="A1056" t="str">
        <f>ObesityDataSet_raw_and_data_sin!A1056</f>
        <v>Male</v>
      </c>
      <c r="B1056">
        <f>ObesityDataSet_raw_and_data_sin!C1056</f>
        <v>1.780448</v>
      </c>
      <c r="C1056">
        <f>ObesityDataSet_raw_and_data_sin!D1056</f>
        <v>88.431954000000005</v>
      </c>
      <c r="D1056" t="str">
        <f>ObesityDataSet_raw_and_data_sin!Q1056</f>
        <v>Overweight_Level_II</v>
      </c>
      <c r="E1056" t="b">
        <f t="shared" si="65"/>
        <v>0</v>
      </c>
      <c r="F1056">
        <f>C1056/(B1056*B1056)</f>
        <v>27.89655874808513</v>
      </c>
      <c r="G1056" t="str">
        <f t="shared" si="66"/>
        <v>Overweight</v>
      </c>
      <c r="H1056" t="str">
        <f t="shared" si="67"/>
        <v>OK</v>
      </c>
      <c r="I1056" t="str">
        <f t="shared" si="64"/>
        <v>OK</v>
      </c>
    </row>
    <row r="1057" spans="1:9" x14ac:dyDescent="0.2">
      <c r="A1057" t="str">
        <f>ObesityDataSet_raw_and_data_sin!A1057</f>
        <v>Male</v>
      </c>
      <c r="B1057">
        <f>ObesityDataSet_raw_and_data_sin!C1057</f>
        <v>1.85</v>
      </c>
      <c r="C1057">
        <f>ObesityDataSet_raw_and_data_sin!D1057</f>
        <v>97.920349999999999</v>
      </c>
      <c r="D1057" t="str">
        <f>ObesityDataSet_raw_and_data_sin!Q1057</f>
        <v>Overweight_Level_II</v>
      </c>
      <c r="E1057" t="b">
        <f t="shared" si="65"/>
        <v>0</v>
      </c>
      <c r="F1057">
        <f>C1057/(B1057*B1057)</f>
        <v>28.610766983199412</v>
      </c>
      <c r="G1057" t="str">
        <f t="shared" si="66"/>
        <v>Overweight</v>
      </c>
      <c r="H1057" t="str">
        <f t="shared" si="67"/>
        <v>OK</v>
      </c>
      <c r="I1057" t="str">
        <f t="shared" si="64"/>
        <v>OK</v>
      </c>
    </row>
    <row r="1058" spans="1:9" x14ac:dyDescent="0.2">
      <c r="A1058" t="str">
        <f>ObesityDataSet_raw_and_data_sin!A1058</f>
        <v>Male</v>
      </c>
      <c r="B1058">
        <f>ObesityDataSet_raw_and_data_sin!C1058</f>
        <v>1.7852410000000001</v>
      </c>
      <c r="C1058">
        <f>ObesityDataSet_raw_and_data_sin!D1058</f>
        <v>88.037480000000002</v>
      </c>
      <c r="D1058" t="str">
        <f>ObesityDataSet_raw_and_data_sin!Q1058</f>
        <v>Overweight_Level_II</v>
      </c>
      <c r="E1058" t="b">
        <f t="shared" si="65"/>
        <v>0</v>
      </c>
      <c r="F1058">
        <f>C1058/(B1058*B1058)</f>
        <v>27.623194290404982</v>
      </c>
      <c r="G1058" t="str">
        <f t="shared" si="66"/>
        <v>Overweight</v>
      </c>
      <c r="H1058" t="str">
        <f t="shared" si="67"/>
        <v>OK</v>
      </c>
      <c r="I1058" t="str">
        <f t="shared" si="64"/>
        <v>OK</v>
      </c>
    </row>
    <row r="1059" spans="1:9" x14ac:dyDescent="0.2">
      <c r="A1059" t="str">
        <f>ObesityDataSet_raw_and_data_sin!A1059</f>
        <v>Male</v>
      </c>
      <c r="B1059">
        <f>ObesityDataSet_raw_and_data_sin!C1059</f>
        <v>1.718845</v>
      </c>
      <c r="C1059">
        <f>ObesityDataSet_raw_and_data_sin!D1059</f>
        <v>86.319886999999994</v>
      </c>
      <c r="D1059" t="str">
        <f>ObesityDataSet_raw_and_data_sin!Q1059</f>
        <v>Overweight_Level_II</v>
      </c>
      <c r="E1059" t="b">
        <f t="shared" si="65"/>
        <v>0</v>
      </c>
      <c r="F1059">
        <f>C1059/(B1059*B1059)</f>
        <v>29.217121921460002</v>
      </c>
      <c r="G1059" t="str">
        <f t="shared" si="66"/>
        <v>Overweight</v>
      </c>
      <c r="H1059" t="str">
        <f t="shared" si="67"/>
        <v>OK</v>
      </c>
      <c r="I1059" t="str">
        <f t="shared" si="64"/>
        <v>OK</v>
      </c>
    </row>
    <row r="1060" spans="1:9" x14ac:dyDescent="0.2">
      <c r="A1060" t="str">
        <f>ObesityDataSet_raw_and_data_sin!A1060</f>
        <v>Female</v>
      </c>
      <c r="B1060">
        <f>ObesityDataSet_raw_and_data_sin!C1060</f>
        <v>1.5302480000000001</v>
      </c>
      <c r="C1060">
        <f>ObesityDataSet_raw_and_data_sin!D1060</f>
        <v>68.850970000000004</v>
      </c>
      <c r="D1060" t="str">
        <f>ObesityDataSet_raw_and_data_sin!Q1060</f>
        <v>Overweight_Level_II</v>
      </c>
      <c r="E1060" t="b">
        <f t="shared" si="65"/>
        <v>0</v>
      </c>
      <c r="F1060">
        <f>C1060/(B1060*B1060)</f>
        <v>29.40264646557727</v>
      </c>
      <c r="G1060" t="str">
        <f t="shared" si="66"/>
        <v>Overweight</v>
      </c>
      <c r="H1060" t="str">
        <f t="shared" si="67"/>
        <v>OK</v>
      </c>
      <c r="I1060" t="str">
        <f t="shared" si="64"/>
        <v>OK</v>
      </c>
    </row>
    <row r="1061" spans="1:9" x14ac:dyDescent="0.2">
      <c r="A1061" t="str">
        <f>ObesityDataSet_raw_and_data_sin!A1061</f>
        <v>Female</v>
      </c>
      <c r="B1061">
        <f>ObesityDataSet_raw_and_data_sin!C1061</f>
        <v>1.664927</v>
      </c>
      <c r="C1061">
        <f>ObesityDataSet_raw_and_data_sin!D1061</f>
        <v>80.386077999999998</v>
      </c>
      <c r="D1061" t="str">
        <f>ObesityDataSet_raw_and_data_sin!Q1061</f>
        <v>Overweight_Level_II</v>
      </c>
      <c r="E1061" t="b">
        <f t="shared" si="65"/>
        <v>0</v>
      </c>
      <c r="F1061">
        <f>C1061/(B1061*B1061)</f>
        <v>28.999495832013451</v>
      </c>
      <c r="G1061" t="str">
        <f t="shared" si="66"/>
        <v>Overweight</v>
      </c>
      <c r="H1061" t="str">
        <f t="shared" si="67"/>
        <v>OK</v>
      </c>
      <c r="I1061" t="str">
        <f t="shared" si="64"/>
        <v>OK</v>
      </c>
    </row>
    <row r="1062" spans="1:9" x14ac:dyDescent="0.2">
      <c r="A1062" t="str">
        <f>ObesityDataSet_raw_and_data_sin!A1062</f>
        <v>Female</v>
      </c>
      <c r="B1062">
        <f>ObesityDataSet_raw_and_data_sin!C1062</f>
        <v>1.673333</v>
      </c>
      <c r="C1062">
        <f>ObesityDataSet_raw_and_data_sin!D1062</f>
        <v>77.205685000000003</v>
      </c>
      <c r="D1062" t="str">
        <f>ObesityDataSet_raw_and_data_sin!Q1062</f>
        <v>Overweight_Level_II</v>
      </c>
      <c r="E1062" t="b">
        <f t="shared" si="65"/>
        <v>0</v>
      </c>
      <c r="F1062">
        <f>C1062/(B1062*B1062)</f>
        <v>27.573032246837997</v>
      </c>
      <c r="G1062" t="str">
        <f t="shared" si="66"/>
        <v>Overweight</v>
      </c>
      <c r="H1062" t="str">
        <f t="shared" si="67"/>
        <v>OK</v>
      </c>
      <c r="I1062" t="str">
        <f t="shared" si="64"/>
        <v>OK</v>
      </c>
    </row>
    <row r="1063" spans="1:9" x14ac:dyDescent="0.2">
      <c r="A1063" t="str">
        <f>ObesityDataSet_raw_and_data_sin!A1063</f>
        <v>Male</v>
      </c>
      <c r="B1063">
        <f>ObesityDataSet_raw_and_data_sin!C1063</f>
        <v>1.725587</v>
      </c>
      <c r="C1063">
        <f>ObesityDataSet_raw_and_data_sin!D1063</f>
        <v>82.480214000000004</v>
      </c>
      <c r="D1063" t="str">
        <f>ObesityDataSet_raw_and_data_sin!Q1063</f>
        <v>Overweight_Level_II</v>
      </c>
      <c r="E1063" t="b">
        <f t="shared" si="65"/>
        <v>0</v>
      </c>
      <c r="F1063">
        <f>C1063/(B1063*B1063)</f>
        <v>27.699763337046242</v>
      </c>
      <c r="G1063" t="str">
        <f t="shared" si="66"/>
        <v>Overweight</v>
      </c>
      <c r="H1063" t="str">
        <f t="shared" si="67"/>
        <v>OK</v>
      </c>
      <c r="I1063" t="str">
        <f t="shared" si="64"/>
        <v>OK</v>
      </c>
    </row>
    <row r="1064" spans="1:9" x14ac:dyDescent="0.2">
      <c r="A1064" t="str">
        <f>ObesityDataSet_raw_and_data_sin!A1064</f>
        <v>Female</v>
      </c>
      <c r="B1064">
        <f>ObesityDataSet_raw_and_data_sin!C1064</f>
        <v>1.7338750000000001</v>
      </c>
      <c r="C1064">
        <f>ObesityDataSet_raw_and_data_sin!D1064</f>
        <v>86.94538</v>
      </c>
      <c r="D1064" t="str">
        <f>ObesityDataSet_raw_and_data_sin!Q1064</f>
        <v>Overweight_Level_II</v>
      </c>
      <c r="E1064" t="b">
        <f t="shared" si="65"/>
        <v>0</v>
      </c>
      <c r="F1064">
        <f>C1064/(B1064*B1064)</f>
        <v>28.920842507120192</v>
      </c>
      <c r="G1064" t="str">
        <f t="shared" si="66"/>
        <v>Overweight</v>
      </c>
      <c r="H1064" t="str">
        <f t="shared" si="67"/>
        <v>OK</v>
      </c>
      <c r="I1064" t="str">
        <f t="shared" si="64"/>
        <v>OK</v>
      </c>
    </row>
    <row r="1065" spans="1:9" x14ac:dyDescent="0.2">
      <c r="A1065" t="str">
        <f>ObesityDataSet_raw_and_data_sin!A1065</f>
        <v>Female</v>
      </c>
      <c r="B1065">
        <f>ObesityDataSet_raw_and_data_sin!C1065</f>
        <v>1.675953</v>
      </c>
      <c r="C1065">
        <f>ObesityDataSet_raw_and_data_sin!D1065</f>
        <v>79.668319999999994</v>
      </c>
      <c r="D1065" t="str">
        <f>ObesityDataSet_raw_and_data_sin!Q1065</f>
        <v>Overweight_Level_II</v>
      </c>
      <c r="E1065" t="b">
        <f t="shared" si="65"/>
        <v>0</v>
      </c>
      <c r="F1065">
        <f>C1065/(B1065*B1065)</f>
        <v>28.36364157575327</v>
      </c>
      <c r="G1065" t="str">
        <f t="shared" si="66"/>
        <v>Overweight</v>
      </c>
      <c r="H1065" t="str">
        <f t="shared" si="67"/>
        <v>OK</v>
      </c>
      <c r="I1065" t="str">
        <f t="shared" si="64"/>
        <v>OK</v>
      </c>
    </row>
    <row r="1066" spans="1:9" x14ac:dyDescent="0.2">
      <c r="A1066" t="str">
        <f>ObesityDataSet_raw_and_data_sin!A1066</f>
        <v>Male</v>
      </c>
      <c r="B1066">
        <f>ObesityDataSet_raw_and_data_sin!C1066</f>
        <v>1.786238</v>
      </c>
      <c r="C1066">
        <f>ObesityDataSet_raw_and_data_sin!D1066</f>
        <v>89.802492000000001</v>
      </c>
      <c r="D1066" t="str">
        <f>ObesityDataSet_raw_and_data_sin!Q1066</f>
        <v>Overweight_Level_II</v>
      </c>
      <c r="E1066" t="b">
        <f t="shared" si="65"/>
        <v>0</v>
      </c>
      <c r="F1066">
        <f>C1066/(B1066*B1066)</f>
        <v>28.145550016494674</v>
      </c>
      <c r="G1066" t="str">
        <f t="shared" si="66"/>
        <v>Overweight</v>
      </c>
      <c r="H1066" t="str">
        <f t="shared" si="67"/>
        <v>OK</v>
      </c>
      <c r="I1066" t="str">
        <f t="shared" si="64"/>
        <v>OK</v>
      </c>
    </row>
    <row r="1067" spans="1:9" x14ac:dyDescent="0.2">
      <c r="A1067" t="str">
        <f>ObesityDataSet_raw_and_data_sin!A1067</f>
        <v>Male</v>
      </c>
      <c r="B1067">
        <f>ObesityDataSet_raw_and_data_sin!C1067</f>
        <v>1.718534</v>
      </c>
      <c r="C1067">
        <f>ObesityDataSet_raw_and_data_sin!D1067</f>
        <v>80</v>
      </c>
      <c r="D1067" t="str">
        <f>ObesityDataSet_raw_and_data_sin!Q1067</f>
        <v>Overweight_Level_II</v>
      </c>
      <c r="E1067" t="b">
        <f t="shared" si="65"/>
        <v>0</v>
      </c>
      <c r="F1067">
        <f>C1067/(B1067*B1067)</f>
        <v>27.087799703051385</v>
      </c>
      <c r="G1067" t="str">
        <f t="shared" si="66"/>
        <v>Overweight</v>
      </c>
      <c r="H1067" t="str">
        <f t="shared" si="67"/>
        <v>OK</v>
      </c>
      <c r="I1067" t="str">
        <f t="shared" si="64"/>
        <v>OK</v>
      </c>
    </row>
    <row r="1068" spans="1:9" x14ac:dyDescent="0.2">
      <c r="A1068" t="str">
        <f>ObesityDataSet_raw_and_data_sin!A1068</f>
        <v>Male</v>
      </c>
      <c r="B1068">
        <f>ObesityDataSet_raw_and_data_sin!C1068</f>
        <v>1.919543</v>
      </c>
      <c r="C1068">
        <f>ObesityDataSet_raw_and_data_sin!D1068</f>
        <v>101.544589</v>
      </c>
      <c r="D1068" t="str">
        <f>ObesityDataSet_raw_and_data_sin!Q1068</f>
        <v>Overweight_Level_II</v>
      </c>
      <c r="E1068" t="b">
        <f t="shared" si="65"/>
        <v>0</v>
      </c>
      <c r="F1068">
        <f>C1068/(B1068*B1068)</f>
        <v>27.558850292850366</v>
      </c>
      <c r="G1068" t="str">
        <f t="shared" si="66"/>
        <v>Overweight</v>
      </c>
      <c r="H1068" t="str">
        <f t="shared" si="67"/>
        <v>OK</v>
      </c>
      <c r="I1068" t="str">
        <f t="shared" si="64"/>
        <v>OK</v>
      </c>
    </row>
    <row r="1069" spans="1:9" x14ac:dyDescent="0.2">
      <c r="A1069" t="str">
        <f>ObesityDataSet_raw_and_data_sin!A1069</f>
        <v>Male</v>
      </c>
      <c r="B1069">
        <f>ObesityDataSet_raw_and_data_sin!C1069</f>
        <v>1.707613</v>
      </c>
      <c r="C1069">
        <f>ObesityDataSet_raw_and_data_sin!D1069</f>
        <v>82.586893000000003</v>
      </c>
      <c r="D1069" t="str">
        <f>ObesityDataSet_raw_and_data_sin!Q1069</f>
        <v>Overweight_Level_II</v>
      </c>
      <c r="E1069" t="b">
        <f t="shared" si="65"/>
        <v>0</v>
      </c>
      <c r="F1069">
        <f>C1069/(B1069*B1069)</f>
        <v>28.322541577157889</v>
      </c>
      <c r="G1069" t="str">
        <f t="shared" si="66"/>
        <v>Overweight</v>
      </c>
      <c r="H1069" t="str">
        <f t="shared" si="67"/>
        <v>OK</v>
      </c>
      <c r="I1069" t="str">
        <f t="shared" si="64"/>
        <v>OK</v>
      </c>
    </row>
    <row r="1070" spans="1:9" x14ac:dyDescent="0.2">
      <c r="A1070" t="str">
        <f>ObesityDataSet_raw_and_data_sin!A1070</f>
        <v>Male</v>
      </c>
      <c r="B1070">
        <f>ObesityDataSet_raw_and_data_sin!C1070</f>
        <v>1.658393</v>
      </c>
      <c r="C1070">
        <f>ObesityDataSet_raw_and_data_sin!D1070</f>
        <v>80</v>
      </c>
      <c r="D1070" t="str">
        <f>ObesityDataSet_raw_and_data_sin!Q1070</f>
        <v>Overweight_Level_II</v>
      </c>
      <c r="E1070" t="b">
        <f t="shared" si="65"/>
        <v>0</v>
      </c>
      <c r="F1070">
        <f>C1070/(B1070*B1070)</f>
        <v>29.088081280405014</v>
      </c>
      <c r="G1070" t="str">
        <f t="shared" si="66"/>
        <v>Overweight</v>
      </c>
      <c r="H1070" t="str">
        <f t="shared" si="67"/>
        <v>OK</v>
      </c>
      <c r="I1070" t="str">
        <f t="shared" si="64"/>
        <v>OK</v>
      </c>
    </row>
    <row r="1071" spans="1:9" x14ac:dyDescent="0.2">
      <c r="A1071" t="str">
        <f>ObesityDataSet_raw_and_data_sin!A1071</f>
        <v>Female</v>
      </c>
      <c r="B1071">
        <f>ObesityDataSet_raw_and_data_sin!C1071</f>
        <v>1.5368189999999999</v>
      </c>
      <c r="C1071">
        <f>ObesityDataSet_raw_and_data_sin!D1071</f>
        <v>65.912688000000003</v>
      </c>
      <c r="D1071" t="str">
        <f>ObesityDataSet_raw_and_data_sin!Q1071</f>
        <v>Overweight_Level_II</v>
      </c>
      <c r="E1071" t="b">
        <f t="shared" si="65"/>
        <v>0</v>
      </c>
      <c r="F1071">
        <f>C1071/(B1071*B1071)</f>
        <v>27.907670116702235</v>
      </c>
      <c r="G1071" t="str">
        <f t="shared" si="66"/>
        <v>Overweight</v>
      </c>
      <c r="H1071" t="str">
        <f t="shared" si="67"/>
        <v>OK</v>
      </c>
      <c r="I1071" t="str">
        <f t="shared" si="64"/>
        <v>OK</v>
      </c>
    </row>
    <row r="1072" spans="1:9" x14ac:dyDescent="0.2">
      <c r="A1072" t="str">
        <f>ObesityDataSet_raw_and_data_sin!A1072</f>
        <v>Male</v>
      </c>
      <c r="B1072">
        <f>ObesityDataSet_raw_and_data_sin!C1072</f>
        <v>1.8054589999999999</v>
      </c>
      <c r="C1072">
        <f>ObesityDataSet_raw_and_data_sin!D1072</f>
        <v>90.138679999999994</v>
      </c>
      <c r="D1072" t="str">
        <f>ObesityDataSet_raw_and_data_sin!Q1072</f>
        <v>Overweight_Level_II</v>
      </c>
      <c r="E1072" t="b">
        <f t="shared" si="65"/>
        <v>0</v>
      </c>
      <c r="F1072">
        <f>C1072/(B1072*B1072)</f>
        <v>27.652597538854735</v>
      </c>
      <c r="G1072" t="str">
        <f t="shared" si="66"/>
        <v>Overweight</v>
      </c>
      <c r="H1072" t="str">
        <f t="shared" si="67"/>
        <v>OK</v>
      </c>
      <c r="I1072" t="str">
        <f t="shared" si="64"/>
        <v>OK</v>
      </c>
    </row>
    <row r="1073" spans="1:9" x14ac:dyDescent="0.2">
      <c r="A1073" t="str">
        <f>ObesityDataSet_raw_and_data_sin!A1073</f>
        <v>Female</v>
      </c>
      <c r="B1073">
        <f>ObesityDataSet_raw_and_data_sin!C1073</f>
        <v>1.5210079999999999</v>
      </c>
      <c r="C1073">
        <f>ObesityDataSet_raw_and_data_sin!D1073</f>
        <v>67.083121000000006</v>
      </c>
      <c r="D1073" t="str">
        <f>ObesityDataSet_raw_and_data_sin!Q1073</f>
        <v>Overweight_Level_II</v>
      </c>
      <c r="E1073" t="b">
        <f t="shared" si="65"/>
        <v>0</v>
      </c>
      <c r="F1073">
        <f>C1073/(B1073*B1073)</f>
        <v>28.996812683665048</v>
      </c>
      <c r="G1073" t="str">
        <f t="shared" si="66"/>
        <v>Overweight</v>
      </c>
      <c r="H1073" t="str">
        <f t="shared" si="67"/>
        <v>OK</v>
      </c>
      <c r="I1073" t="str">
        <f t="shared" si="64"/>
        <v>OK</v>
      </c>
    </row>
    <row r="1074" spans="1:9" x14ac:dyDescent="0.2">
      <c r="A1074" t="str">
        <f>ObesityDataSet_raw_and_data_sin!A1074</f>
        <v>Male</v>
      </c>
      <c r="B1074">
        <f>ObesityDataSet_raw_and_data_sin!C1074</f>
        <v>1.7447330000000001</v>
      </c>
      <c r="C1074">
        <f>ObesityDataSet_raw_and_data_sin!D1074</f>
        <v>87.279889999999995</v>
      </c>
      <c r="D1074" t="str">
        <f>ObesityDataSet_raw_and_data_sin!Q1074</f>
        <v>Overweight_Level_II</v>
      </c>
      <c r="E1074" t="b">
        <f t="shared" si="65"/>
        <v>0</v>
      </c>
      <c r="F1074">
        <f>C1074/(B1074*B1074)</f>
        <v>28.671884558648383</v>
      </c>
      <c r="G1074" t="str">
        <f t="shared" si="66"/>
        <v>Overweight</v>
      </c>
      <c r="H1074" t="str">
        <f t="shared" si="67"/>
        <v>OK</v>
      </c>
      <c r="I1074" t="str">
        <f t="shared" si="64"/>
        <v>OK</v>
      </c>
    </row>
    <row r="1075" spans="1:9" x14ac:dyDescent="0.2">
      <c r="A1075" t="str">
        <f>ObesityDataSet_raw_and_data_sin!A1075</f>
        <v>Female</v>
      </c>
      <c r="B1075">
        <f>ObesityDataSet_raw_and_data_sin!C1075</f>
        <v>1.529223</v>
      </c>
      <c r="C1075">
        <f>ObesityDataSet_raw_and_data_sin!D1075</f>
        <v>65.140407999999994</v>
      </c>
      <c r="D1075" t="str">
        <f>ObesityDataSet_raw_and_data_sin!Q1075</f>
        <v>Overweight_Level_II</v>
      </c>
      <c r="E1075" t="b">
        <f t="shared" si="65"/>
        <v>0</v>
      </c>
      <c r="F1075">
        <f>C1075/(B1075*B1075)</f>
        <v>27.855363600543857</v>
      </c>
      <c r="G1075" t="str">
        <f t="shared" si="66"/>
        <v>Overweight</v>
      </c>
      <c r="H1075" t="str">
        <f t="shared" si="67"/>
        <v>OK</v>
      </c>
      <c r="I1075" t="str">
        <f t="shared" si="64"/>
        <v>OK</v>
      </c>
    </row>
    <row r="1076" spans="1:9" x14ac:dyDescent="0.2">
      <c r="A1076" t="str">
        <f>ObesityDataSet_raw_and_data_sin!A1076</f>
        <v>Male</v>
      </c>
      <c r="B1076">
        <f>ObesityDataSet_raw_and_data_sin!C1076</f>
        <v>1.799742</v>
      </c>
      <c r="C1076">
        <f>ObesityDataSet_raw_and_data_sin!D1076</f>
        <v>89.981679999999997</v>
      </c>
      <c r="D1076" t="str">
        <f>ObesityDataSet_raw_and_data_sin!Q1076</f>
        <v>Overweight_Level_II</v>
      </c>
      <c r="E1076" t="b">
        <f t="shared" si="65"/>
        <v>0</v>
      </c>
      <c r="F1076">
        <f>C1076/(B1076*B1076)</f>
        <v>27.780086510863462</v>
      </c>
      <c r="G1076" t="str">
        <f t="shared" si="66"/>
        <v>Overweight</v>
      </c>
      <c r="H1076" t="str">
        <f t="shared" si="67"/>
        <v>OK</v>
      </c>
      <c r="I1076" t="str">
        <f t="shared" si="64"/>
        <v>OK</v>
      </c>
    </row>
    <row r="1077" spans="1:9" x14ac:dyDescent="0.2">
      <c r="A1077" t="str">
        <f>ObesityDataSet_raw_and_data_sin!A1077</f>
        <v>Female</v>
      </c>
      <c r="B1077">
        <f>ObesityDataSet_raw_and_data_sin!C1077</f>
        <v>1.681314</v>
      </c>
      <c r="C1077">
        <f>ObesityDataSet_raw_and_data_sin!D1077</f>
        <v>80.037201999999994</v>
      </c>
      <c r="D1077" t="str">
        <f>ObesityDataSet_raw_and_data_sin!Q1077</f>
        <v>Overweight_Level_II</v>
      </c>
      <c r="E1077" t="b">
        <f t="shared" si="65"/>
        <v>0</v>
      </c>
      <c r="F1077">
        <f>C1077/(B1077*B1077)</f>
        <v>28.313544388792945</v>
      </c>
      <c r="G1077" t="str">
        <f t="shared" si="66"/>
        <v>Overweight</v>
      </c>
      <c r="H1077" t="str">
        <f t="shared" si="67"/>
        <v>OK</v>
      </c>
      <c r="I1077" t="str">
        <f t="shared" si="64"/>
        <v>OK</v>
      </c>
    </row>
    <row r="1078" spans="1:9" x14ac:dyDescent="0.2">
      <c r="A1078" t="str">
        <f>ObesityDataSet_raw_and_data_sin!A1078</f>
        <v>Male</v>
      </c>
      <c r="B1078">
        <f>ObesityDataSet_raw_and_data_sin!C1078</f>
        <v>1.706912</v>
      </c>
      <c r="C1078">
        <f>ObesityDataSet_raw_and_data_sin!D1078</f>
        <v>85.743727000000007</v>
      </c>
      <c r="D1078" t="str">
        <f>ObesityDataSet_raw_and_data_sin!Q1078</f>
        <v>Overweight_Level_II</v>
      </c>
      <c r="E1078" t="b">
        <f t="shared" si="65"/>
        <v>0</v>
      </c>
      <c r="F1078">
        <f>C1078/(B1078*B1078)</f>
        <v>29.429310948798786</v>
      </c>
      <c r="G1078" t="str">
        <f t="shared" si="66"/>
        <v>Overweight</v>
      </c>
      <c r="H1078" t="str">
        <f t="shared" si="67"/>
        <v>OK</v>
      </c>
      <c r="I1078" t="str">
        <f t="shared" si="64"/>
        <v>OK</v>
      </c>
    </row>
    <row r="1079" spans="1:9" x14ac:dyDescent="0.2">
      <c r="A1079" t="str">
        <f>ObesityDataSet_raw_and_data_sin!A1079</f>
        <v>Female</v>
      </c>
      <c r="B1079">
        <f>ObesityDataSet_raw_and_data_sin!C1079</f>
        <v>1.6635089999999999</v>
      </c>
      <c r="C1079">
        <f>ObesityDataSet_raw_and_data_sin!D1079</f>
        <v>80</v>
      </c>
      <c r="D1079" t="str">
        <f>ObesityDataSet_raw_and_data_sin!Q1079</f>
        <v>Overweight_Level_II</v>
      </c>
      <c r="E1079" t="b">
        <f t="shared" si="65"/>
        <v>0</v>
      </c>
      <c r="F1079">
        <f>C1079/(B1079*B1079)</f>
        <v>28.909439878889835</v>
      </c>
      <c r="G1079" t="str">
        <f t="shared" si="66"/>
        <v>Overweight</v>
      </c>
      <c r="H1079" t="str">
        <f t="shared" si="67"/>
        <v>OK</v>
      </c>
      <c r="I1079" t="str">
        <f t="shared" si="64"/>
        <v>OK</v>
      </c>
    </row>
    <row r="1080" spans="1:9" x14ac:dyDescent="0.2">
      <c r="A1080" t="str">
        <f>ObesityDataSet_raw_and_data_sin!A1080</f>
        <v>Male</v>
      </c>
      <c r="B1080">
        <f>ObesityDataSet_raw_and_data_sin!C1080</f>
        <v>1.752265</v>
      </c>
      <c r="C1080">
        <f>ObesityDataSet_raw_and_data_sin!D1080</f>
        <v>88.096062000000003</v>
      </c>
      <c r="D1080" t="str">
        <f>ObesityDataSet_raw_and_data_sin!Q1080</f>
        <v>Overweight_Level_II</v>
      </c>
      <c r="E1080" t="b">
        <f t="shared" si="65"/>
        <v>0</v>
      </c>
      <c r="F1080">
        <f>C1080/(B1080*B1080)</f>
        <v>28.6917423729777</v>
      </c>
      <c r="G1080" t="str">
        <f t="shared" si="66"/>
        <v>Overweight</v>
      </c>
      <c r="H1080" t="str">
        <f t="shared" si="67"/>
        <v>OK</v>
      </c>
      <c r="I1080" t="str">
        <f t="shared" si="64"/>
        <v>OK</v>
      </c>
    </row>
    <row r="1081" spans="1:9" x14ac:dyDescent="0.2">
      <c r="A1081" t="str">
        <f>ObesityDataSet_raw_and_data_sin!A1081</f>
        <v>Male</v>
      </c>
      <c r="B1081">
        <f>ObesityDataSet_raw_and_data_sin!C1081</f>
        <v>1.7353430000000001</v>
      </c>
      <c r="C1081">
        <f>ObesityDataSet_raw_and_data_sin!D1081</f>
        <v>83.337721000000002</v>
      </c>
      <c r="D1081" t="str">
        <f>ObesityDataSet_raw_and_data_sin!Q1081</f>
        <v>Overweight_Level_II</v>
      </c>
      <c r="E1081" t="b">
        <f t="shared" si="65"/>
        <v>0</v>
      </c>
      <c r="F1081">
        <f>C1081/(B1081*B1081)</f>
        <v>27.673937976885249</v>
      </c>
      <c r="G1081" t="str">
        <f t="shared" si="66"/>
        <v>Overweight</v>
      </c>
      <c r="H1081" t="str">
        <f t="shared" si="67"/>
        <v>OK</v>
      </c>
      <c r="I1081" t="str">
        <f t="shared" si="64"/>
        <v>OK</v>
      </c>
    </row>
    <row r="1082" spans="1:9" x14ac:dyDescent="0.2">
      <c r="A1082" t="str">
        <f>ObesityDataSet_raw_and_data_sin!A1082</f>
        <v>Female</v>
      </c>
      <c r="B1082">
        <f>ObesityDataSet_raw_and_data_sin!C1082</f>
        <v>1.7</v>
      </c>
      <c r="C1082">
        <f>ObesityDataSet_raw_and_data_sin!D1082</f>
        <v>78</v>
      </c>
      <c r="D1082" t="str">
        <f>ObesityDataSet_raw_and_data_sin!Q1082</f>
        <v>Overweight_Level_II</v>
      </c>
      <c r="E1082" t="b">
        <f t="shared" si="65"/>
        <v>0</v>
      </c>
      <c r="F1082">
        <f>C1082/(B1082*B1082)</f>
        <v>26.989619377162633</v>
      </c>
      <c r="G1082" t="str">
        <f t="shared" si="66"/>
        <v>Overweight</v>
      </c>
      <c r="H1082" t="str">
        <f t="shared" si="67"/>
        <v>OK</v>
      </c>
      <c r="I1082" t="str">
        <f t="shared" si="64"/>
        <v>OK</v>
      </c>
    </row>
    <row r="1083" spans="1:9" x14ac:dyDescent="0.2">
      <c r="A1083" t="str">
        <f>ObesityDataSet_raw_and_data_sin!A1083</f>
        <v>Male</v>
      </c>
      <c r="B1083">
        <f>ObesityDataSet_raw_and_data_sin!C1083</f>
        <v>1.7</v>
      </c>
      <c r="C1083">
        <f>ObesityDataSet_raw_and_data_sin!D1083</f>
        <v>83.414072000000004</v>
      </c>
      <c r="D1083" t="str">
        <f>ObesityDataSet_raw_and_data_sin!Q1083</f>
        <v>Overweight_Level_II</v>
      </c>
      <c r="E1083" t="b">
        <f t="shared" si="65"/>
        <v>0</v>
      </c>
      <c r="F1083">
        <f>C1083/(B1083*B1083)</f>
        <v>28.863000692041528</v>
      </c>
      <c r="G1083" t="str">
        <f t="shared" si="66"/>
        <v>Overweight</v>
      </c>
      <c r="H1083" t="str">
        <f t="shared" si="67"/>
        <v>OK</v>
      </c>
      <c r="I1083" t="str">
        <f t="shared" si="64"/>
        <v>OK</v>
      </c>
    </row>
    <row r="1084" spans="1:9" x14ac:dyDescent="0.2">
      <c r="A1084" t="str">
        <f>ObesityDataSet_raw_and_data_sin!A1084</f>
        <v>Female</v>
      </c>
      <c r="B1084">
        <f>ObesityDataSet_raw_and_data_sin!C1084</f>
        <v>1.633794</v>
      </c>
      <c r="C1084">
        <f>ObesityDataSet_raw_and_data_sin!D1084</f>
        <v>77.858531999999997</v>
      </c>
      <c r="D1084" t="str">
        <f>ObesityDataSet_raw_and_data_sin!Q1084</f>
        <v>Overweight_Level_II</v>
      </c>
      <c r="E1084" t="b">
        <f t="shared" si="65"/>
        <v>0</v>
      </c>
      <c r="F1084">
        <f>C1084/(B1084*B1084)</f>
        <v>29.168333529725388</v>
      </c>
      <c r="G1084" t="str">
        <f t="shared" si="66"/>
        <v>Overweight</v>
      </c>
      <c r="H1084" t="str">
        <f t="shared" si="67"/>
        <v>OK</v>
      </c>
      <c r="I1084" t="str">
        <f t="shared" si="64"/>
        <v>OK</v>
      </c>
    </row>
    <row r="1085" spans="1:9" x14ac:dyDescent="0.2">
      <c r="A1085" t="str">
        <f>ObesityDataSet_raw_and_data_sin!A1085</f>
        <v>Male</v>
      </c>
      <c r="B1085">
        <f>ObesityDataSet_raw_and_data_sin!C1085</f>
        <v>1.856759</v>
      </c>
      <c r="C1085">
        <f>ObesityDataSet_raw_and_data_sin!D1085</f>
        <v>95.887056000000001</v>
      </c>
      <c r="D1085" t="str">
        <f>ObesityDataSet_raw_and_data_sin!Q1085</f>
        <v>Overweight_Level_II</v>
      </c>
      <c r="E1085" t="b">
        <f t="shared" si="65"/>
        <v>0</v>
      </c>
      <c r="F1085">
        <f>C1085/(B1085*B1085)</f>
        <v>27.813068756212733</v>
      </c>
      <c r="G1085" t="str">
        <f t="shared" si="66"/>
        <v>Overweight</v>
      </c>
      <c r="H1085" t="str">
        <f t="shared" si="67"/>
        <v>OK</v>
      </c>
      <c r="I1085" t="str">
        <f t="shared" si="64"/>
        <v>OK</v>
      </c>
    </row>
    <row r="1086" spans="1:9" x14ac:dyDescent="0.2">
      <c r="A1086" t="str">
        <f>ObesityDataSet_raw_and_data_sin!A1086</f>
        <v>Male</v>
      </c>
      <c r="B1086">
        <f>ObesityDataSet_raw_and_data_sin!C1086</f>
        <v>1.77433</v>
      </c>
      <c r="C1086">
        <f>ObesityDataSet_raw_and_data_sin!D1086</f>
        <v>90</v>
      </c>
      <c r="D1086" t="str">
        <f>ObesityDataSet_raw_and_data_sin!Q1086</f>
        <v>Overweight_Level_II</v>
      </c>
      <c r="E1086" t="b">
        <f t="shared" si="65"/>
        <v>0</v>
      </c>
      <c r="F1086">
        <f>C1086/(B1086*B1086)</f>
        <v>28.58733811572376</v>
      </c>
      <c r="G1086" t="str">
        <f t="shared" si="66"/>
        <v>Overweight</v>
      </c>
      <c r="H1086" t="str">
        <f t="shared" si="67"/>
        <v>OK</v>
      </c>
      <c r="I1086" t="str">
        <f t="shared" si="64"/>
        <v>OK</v>
      </c>
    </row>
    <row r="1087" spans="1:9" x14ac:dyDescent="0.2">
      <c r="A1087" t="str">
        <f>ObesityDataSet_raw_and_data_sin!A1087</f>
        <v>Female</v>
      </c>
      <c r="B1087">
        <f>ObesityDataSet_raw_and_data_sin!C1087</f>
        <v>1.7</v>
      </c>
      <c r="C1087">
        <f>ObesityDataSet_raw_and_data_sin!D1087</f>
        <v>78</v>
      </c>
      <c r="D1087" t="str">
        <f>ObesityDataSet_raw_and_data_sin!Q1087</f>
        <v>Overweight_Level_II</v>
      </c>
      <c r="E1087" t="b">
        <f t="shared" si="65"/>
        <v>0</v>
      </c>
      <c r="F1087">
        <f>C1087/(B1087*B1087)</f>
        <v>26.989619377162633</v>
      </c>
      <c r="G1087" t="str">
        <f t="shared" si="66"/>
        <v>Overweight</v>
      </c>
      <c r="H1087" t="str">
        <f t="shared" si="67"/>
        <v>OK</v>
      </c>
      <c r="I1087" t="str">
        <f t="shared" si="64"/>
        <v>OK</v>
      </c>
    </row>
    <row r="1088" spans="1:9" x14ac:dyDescent="0.2">
      <c r="A1088" t="str">
        <f>ObesityDataSet_raw_and_data_sin!A1088</f>
        <v>Male</v>
      </c>
      <c r="B1088">
        <f>ObesityDataSet_raw_and_data_sin!C1088</f>
        <v>1.719509</v>
      </c>
      <c r="C1088">
        <f>ObesityDataSet_raw_and_data_sin!D1088</f>
        <v>84.416515000000004</v>
      </c>
      <c r="D1088" t="str">
        <f>ObesityDataSet_raw_and_data_sin!Q1088</f>
        <v>Overweight_Level_II</v>
      </c>
      <c r="E1088" t="b">
        <f t="shared" si="65"/>
        <v>0</v>
      </c>
      <c r="F1088">
        <f>C1088/(B1088*B1088)</f>
        <v>28.550815165558468</v>
      </c>
      <c r="G1088" t="str">
        <f t="shared" si="66"/>
        <v>Overweight</v>
      </c>
      <c r="H1088" t="str">
        <f t="shared" si="67"/>
        <v>OK</v>
      </c>
      <c r="I1088" t="str">
        <f t="shared" si="64"/>
        <v>OK</v>
      </c>
    </row>
    <row r="1089" spans="1:9" x14ac:dyDescent="0.2">
      <c r="A1089" t="str">
        <f>ObesityDataSet_raw_and_data_sin!A1089</f>
        <v>Female</v>
      </c>
      <c r="B1089">
        <f>ObesityDataSet_raw_and_data_sin!C1089</f>
        <v>1.658202</v>
      </c>
      <c r="C1089">
        <f>ObesityDataSet_raw_and_data_sin!D1089</f>
        <v>78</v>
      </c>
      <c r="D1089" t="str">
        <f>ObesityDataSet_raw_and_data_sin!Q1089</f>
        <v>Overweight_Level_II</v>
      </c>
      <c r="E1089" t="b">
        <f t="shared" si="65"/>
        <v>0</v>
      </c>
      <c r="F1089">
        <f>C1089/(B1089*B1089)</f>
        <v>28.367413120517668</v>
      </c>
      <c r="G1089" t="str">
        <f t="shared" si="66"/>
        <v>Overweight</v>
      </c>
      <c r="H1089" t="str">
        <f t="shared" si="67"/>
        <v>OK</v>
      </c>
      <c r="I1089" t="str">
        <f t="shared" si="64"/>
        <v>OK</v>
      </c>
    </row>
    <row r="1090" spans="1:9" x14ac:dyDescent="0.2">
      <c r="A1090" t="str">
        <f>ObesityDataSet_raw_and_data_sin!A1090</f>
        <v>Male</v>
      </c>
      <c r="B1090">
        <f>ObesityDataSet_raw_and_data_sin!C1090</f>
        <v>1.6572210000000001</v>
      </c>
      <c r="C1090">
        <f>ObesityDataSet_raw_and_data_sin!D1090</f>
        <v>80.993212999999997</v>
      </c>
      <c r="D1090" t="str">
        <f>ObesityDataSet_raw_and_data_sin!Q1090</f>
        <v>Overweight_Level_II</v>
      </c>
      <c r="E1090" t="b">
        <f t="shared" si="65"/>
        <v>0</v>
      </c>
      <c r="F1090">
        <f>C1090/(B1090*B1090)</f>
        <v>29.490882707180102</v>
      </c>
      <c r="G1090" t="str">
        <f t="shared" si="66"/>
        <v>Overweight</v>
      </c>
      <c r="H1090" t="str">
        <f t="shared" si="67"/>
        <v>OK</v>
      </c>
      <c r="I1090" t="str">
        <f t="shared" ref="I1090:I1153" si="68">IF(AND(LEFT(D1090,10)="Overweight",G1090&lt;&gt;"Overweight"),"ERROR","OK")</f>
        <v>OK</v>
      </c>
    </row>
    <row r="1091" spans="1:9" x14ac:dyDescent="0.2">
      <c r="A1091" t="str">
        <f>ObesityDataSet_raw_and_data_sin!A1091</f>
        <v>Male</v>
      </c>
      <c r="B1091">
        <f>ObesityDataSet_raw_and_data_sin!C1091</f>
        <v>1.7133480000000001</v>
      </c>
      <c r="C1091">
        <f>ObesityDataSet_raw_and_data_sin!D1091</f>
        <v>84.722222000000002</v>
      </c>
      <c r="D1091" t="str">
        <f>ObesityDataSet_raw_and_data_sin!Q1091</f>
        <v>Overweight_Level_II</v>
      </c>
      <c r="E1091" t="b">
        <f t="shared" ref="E1091:E1154" si="69">IF(AND(A1091="Female", B1091&lt;1.5), TRUE, IF(AND(A1091="Male",B1091&lt;1.6),TRUE, FALSE))</f>
        <v>0</v>
      </c>
      <c r="F1091">
        <f>C1091/(B1091*B1091)</f>
        <v>28.860654351048073</v>
      </c>
      <c r="G1091" t="str">
        <f t="shared" ref="G1091:G1154" si="70">IF(E1091=TRUE,IF(F1091&lt;23,"Normal",IF(F1091&lt;25,"Overweight","Obese")),IF(F1091&lt;25,"Normal",IF(F1091&lt;30,"Overweight","Obese")))</f>
        <v>Overweight</v>
      </c>
      <c r="H1091" t="str">
        <f t="shared" ref="H1091:H1154" si="71">IF(AND(D1091="Normal_Weight",G1091&lt;&gt;"Normal"),"ERROR","OK")</f>
        <v>OK</v>
      </c>
      <c r="I1091" t="str">
        <f t="shared" si="68"/>
        <v>OK</v>
      </c>
    </row>
    <row r="1092" spans="1:9" x14ac:dyDescent="0.2">
      <c r="A1092" t="str">
        <f>ObesityDataSet_raw_and_data_sin!A1092</f>
        <v>Male</v>
      </c>
      <c r="B1092">
        <f>ObesityDataSet_raw_and_data_sin!C1092</f>
        <v>1.6771780000000001</v>
      </c>
      <c r="C1092">
        <f>ObesityDataSet_raw_and_data_sin!D1092</f>
        <v>80.379575000000003</v>
      </c>
      <c r="D1092" t="str">
        <f>ObesityDataSet_raw_and_data_sin!Q1092</f>
        <v>Overweight_Level_II</v>
      </c>
      <c r="E1092" t="b">
        <f t="shared" si="69"/>
        <v>0</v>
      </c>
      <c r="F1092">
        <f>C1092/(B1092*B1092)</f>
        <v>28.575075829128242</v>
      </c>
      <c r="G1092" t="str">
        <f t="shared" si="70"/>
        <v>Overweight</v>
      </c>
      <c r="H1092" t="str">
        <f t="shared" si="71"/>
        <v>OK</v>
      </c>
      <c r="I1092" t="str">
        <f t="shared" si="68"/>
        <v>OK</v>
      </c>
    </row>
    <row r="1093" spans="1:9" x14ac:dyDescent="0.2">
      <c r="A1093" t="str">
        <f>ObesityDataSet_raw_and_data_sin!A1093</f>
        <v>Female</v>
      </c>
      <c r="B1093">
        <f>ObesityDataSet_raw_and_data_sin!C1093</f>
        <v>1.67805</v>
      </c>
      <c r="C1093">
        <f>ObesityDataSet_raw_and_data_sin!D1093</f>
        <v>77.224574000000004</v>
      </c>
      <c r="D1093" t="str">
        <f>ObesityDataSet_raw_and_data_sin!Q1093</f>
        <v>Overweight_Level_II</v>
      </c>
      <c r="E1093" t="b">
        <f t="shared" si="69"/>
        <v>0</v>
      </c>
      <c r="F1093">
        <f>C1093/(B1093*B1093)</f>
        <v>27.424942580940389</v>
      </c>
      <c r="G1093" t="str">
        <f t="shared" si="70"/>
        <v>Overweight</v>
      </c>
      <c r="H1093" t="str">
        <f t="shared" si="71"/>
        <v>OK</v>
      </c>
      <c r="I1093" t="str">
        <f t="shared" si="68"/>
        <v>OK</v>
      </c>
    </row>
    <row r="1094" spans="1:9" x14ac:dyDescent="0.2">
      <c r="A1094" t="str">
        <f>ObesityDataSet_raw_and_data_sin!A1094</f>
        <v>Male</v>
      </c>
      <c r="B1094">
        <f>ObesityDataSet_raw_and_data_sin!C1094</f>
        <v>1.717722</v>
      </c>
      <c r="C1094">
        <f>ObesityDataSet_raw_and_data_sin!D1094</f>
        <v>81.929910000000007</v>
      </c>
      <c r="D1094" t="str">
        <f>ObesityDataSet_raw_and_data_sin!Q1094</f>
        <v>Overweight_Level_II</v>
      </c>
      <c r="E1094" t="b">
        <f t="shared" si="69"/>
        <v>0</v>
      </c>
      <c r="F1094">
        <f>C1094/(B1094*B1094)</f>
        <v>27.767496245522828</v>
      </c>
      <c r="G1094" t="str">
        <f t="shared" si="70"/>
        <v>Overweight</v>
      </c>
      <c r="H1094" t="str">
        <f t="shared" si="71"/>
        <v>OK</v>
      </c>
      <c r="I1094" t="str">
        <f t="shared" si="68"/>
        <v>OK</v>
      </c>
    </row>
    <row r="1095" spans="1:9" x14ac:dyDescent="0.2">
      <c r="A1095" t="str">
        <f>ObesityDataSet_raw_and_data_sin!A1095</f>
        <v>Female</v>
      </c>
      <c r="B1095">
        <f>ObesityDataSet_raw_and_data_sin!C1095</f>
        <v>1.4864839999999999</v>
      </c>
      <c r="C1095">
        <f>ObesityDataSet_raw_and_data_sin!D1095</f>
        <v>60.117992999999998</v>
      </c>
      <c r="D1095" t="str">
        <f>ObesityDataSet_raw_and_data_sin!Q1095</f>
        <v>Overweight_Level_II</v>
      </c>
      <c r="E1095" t="b">
        <f t="shared" si="69"/>
        <v>1</v>
      </c>
      <c r="F1095">
        <f>C1095/(B1095*B1095)</f>
        <v>27.207209174785646</v>
      </c>
      <c r="G1095" t="str">
        <f t="shared" si="70"/>
        <v>Obese</v>
      </c>
      <c r="H1095" t="str">
        <f t="shared" si="71"/>
        <v>OK</v>
      </c>
      <c r="I1095" t="str">
        <f t="shared" si="68"/>
        <v>ERROR</v>
      </c>
    </row>
    <row r="1096" spans="1:9" x14ac:dyDescent="0.2">
      <c r="A1096" t="str">
        <f>ObesityDataSet_raw_and_data_sin!A1096</f>
        <v>Female</v>
      </c>
      <c r="B1096">
        <f>ObesityDataSet_raw_and_data_sin!C1096</f>
        <v>1.503379</v>
      </c>
      <c r="C1096">
        <f>ObesityDataSet_raw_and_data_sin!D1096</f>
        <v>64.342459000000005</v>
      </c>
      <c r="D1096" t="str">
        <f>ObesityDataSet_raw_and_data_sin!Q1096</f>
        <v>Overweight_Level_II</v>
      </c>
      <c r="E1096" t="b">
        <f t="shared" si="69"/>
        <v>0</v>
      </c>
      <c r="F1096">
        <f>C1096/(B1096*B1096)</f>
        <v>28.468245048772769</v>
      </c>
      <c r="G1096" t="str">
        <f t="shared" si="70"/>
        <v>Overweight</v>
      </c>
      <c r="H1096" t="str">
        <f t="shared" si="71"/>
        <v>OK</v>
      </c>
      <c r="I1096" t="str">
        <f t="shared" si="68"/>
        <v>OK</v>
      </c>
    </row>
    <row r="1097" spans="1:9" x14ac:dyDescent="0.2">
      <c r="A1097" t="str">
        <f>ObesityDataSet_raw_and_data_sin!A1097</f>
        <v>Male</v>
      </c>
      <c r="B1097">
        <f>ObesityDataSet_raw_and_data_sin!C1097</f>
        <v>1.7189810000000001</v>
      </c>
      <c r="C1097">
        <f>ObesityDataSet_raw_and_data_sin!D1097</f>
        <v>81.66995</v>
      </c>
      <c r="D1097" t="str">
        <f>ObesityDataSet_raw_and_data_sin!Q1097</f>
        <v>Overweight_Level_II</v>
      </c>
      <c r="E1097" t="b">
        <f t="shared" si="69"/>
        <v>0</v>
      </c>
      <c r="F1097">
        <f>C1097/(B1097*B1097)</f>
        <v>27.63886068739323</v>
      </c>
      <c r="G1097" t="str">
        <f t="shared" si="70"/>
        <v>Overweight</v>
      </c>
      <c r="H1097" t="str">
        <f t="shared" si="71"/>
        <v>OK</v>
      </c>
      <c r="I1097" t="str">
        <f t="shared" si="68"/>
        <v>OK</v>
      </c>
    </row>
    <row r="1098" spans="1:9" x14ac:dyDescent="0.2">
      <c r="A1098" t="str">
        <f>ObesityDataSet_raw_and_data_sin!A1098</f>
        <v>Female</v>
      </c>
      <c r="B1098">
        <f>ObesityDataSet_raw_and_data_sin!C1098</f>
        <v>1.6883539999999999</v>
      </c>
      <c r="C1098">
        <f>ObesityDataSet_raw_and_data_sin!D1098</f>
        <v>79.278896000000003</v>
      </c>
      <c r="D1098" t="str">
        <f>ObesityDataSet_raw_and_data_sin!Q1098</f>
        <v>Overweight_Level_II</v>
      </c>
      <c r="E1098" t="b">
        <f t="shared" si="69"/>
        <v>0</v>
      </c>
      <c r="F1098">
        <f>C1098/(B1098*B1098)</f>
        <v>27.811894389898765</v>
      </c>
      <c r="G1098" t="str">
        <f t="shared" si="70"/>
        <v>Overweight</v>
      </c>
      <c r="H1098" t="str">
        <f t="shared" si="71"/>
        <v>OK</v>
      </c>
      <c r="I1098" t="str">
        <f t="shared" si="68"/>
        <v>OK</v>
      </c>
    </row>
    <row r="1099" spans="1:9" x14ac:dyDescent="0.2">
      <c r="A1099" t="str">
        <f>ObesityDataSet_raw_and_data_sin!A1099</f>
        <v>Female</v>
      </c>
      <c r="B1099">
        <f>ObesityDataSet_raw_and_data_sin!C1099</f>
        <v>1.665807</v>
      </c>
      <c r="C1099">
        <f>ObesityDataSet_raw_and_data_sin!D1099</f>
        <v>77.098973000000001</v>
      </c>
      <c r="D1099" t="str">
        <f>ObesityDataSet_raw_and_data_sin!Q1099</f>
        <v>Overweight_Level_II</v>
      </c>
      <c r="E1099" t="b">
        <f t="shared" si="69"/>
        <v>0</v>
      </c>
      <c r="F1099">
        <f>C1099/(B1099*B1099)</f>
        <v>27.784285156568451</v>
      </c>
      <c r="G1099" t="str">
        <f t="shared" si="70"/>
        <v>Overweight</v>
      </c>
      <c r="H1099" t="str">
        <f t="shared" si="71"/>
        <v>OK</v>
      </c>
      <c r="I1099" t="str">
        <f t="shared" si="68"/>
        <v>OK</v>
      </c>
    </row>
    <row r="1100" spans="1:9" x14ac:dyDescent="0.2">
      <c r="A1100" t="str">
        <f>ObesityDataSet_raw_and_data_sin!A1100</f>
        <v>Male</v>
      </c>
      <c r="B1100">
        <f>ObesityDataSet_raw_and_data_sin!C1100</f>
        <v>1.838441</v>
      </c>
      <c r="C1100">
        <f>ObesityDataSet_raw_and_data_sin!D1100</f>
        <v>97.029248999999993</v>
      </c>
      <c r="D1100" t="str">
        <f>ObesityDataSet_raw_and_data_sin!Q1100</f>
        <v>Overweight_Level_II</v>
      </c>
      <c r="E1100" t="b">
        <f t="shared" si="69"/>
        <v>0</v>
      </c>
      <c r="F1100">
        <f>C1100/(B1100*B1100)</f>
        <v>28.708022387493138</v>
      </c>
      <c r="G1100" t="str">
        <f t="shared" si="70"/>
        <v>Overweight</v>
      </c>
      <c r="H1100" t="str">
        <f t="shared" si="71"/>
        <v>OK</v>
      </c>
      <c r="I1100" t="str">
        <f t="shared" si="68"/>
        <v>OK</v>
      </c>
    </row>
    <row r="1101" spans="1:9" x14ac:dyDescent="0.2">
      <c r="A1101" t="str">
        <f>ObesityDataSet_raw_and_data_sin!A1101</f>
        <v>Female</v>
      </c>
      <c r="B1101">
        <f>ObesityDataSet_raw_and_data_sin!C1101</f>
        <v>1.6534310000000001</v>
      </c>
      <c r="C1101">
        <f>ObesityDataSet_raw_and_data_sin!D1101</f>
        <v>75.090439000000003</v>
      </c>
      <c r="D1101" t="str">
        <f>ObesityDataSet_raw_and_data_sin!Q1101</f>
        <v>Overweight_Level_II</v>
      </c>
      <c r="E1101" t="b">
        <f t="shared" si="69"/>
        <v>0</v>
      </c>
      <c r="F1101">
        <f>C1101/(B1101*B1101)</f>
        <v>27.467079943015879</v>
      </c>
      <c r="G1101" t="str">
        <f t="shared" si="70"/>
        <v>Overweight</v>
      </c>
      <c r="H1101" t="str">
        <f t="shared" si="71"/>
        <v>OK</v>
      </c>
      <c r="I1101" t="str">
        <f t="shared" si="68"/>
        <v>OK</v>
      </c>
    </row>
    <row r="1102" spans="1:9" x14ac:dyDescent="0.2">
      <c r="A1102" t="str">
        <f>ObesityDataSet_raw_and_data_sin!A1102</f>
        <v>Male</v>
      </c>
      <c r="B1102">
        <f>ObesityDataSet_raw_and_data_sin!C1102</f>
        <v>1.6998180000000001</v>
      </c>
      <c r="C1102">
        <f>ObesityDataSet_raw_and_data_sin!D1102</f>
        <v>78</v>
      </c>
      <c r="D1102" t="str">
        <f>ObesityDataSet_raw_and_data_sin!Q1102</f>
        <v>Overweight_Level_II</v>
      </c>
      <c r="E1102" t="b">
        <f t="shared" si="69"/>
        <v>0</v>
      </c>
      <c r="F1102">
        <f>C1102/(B1102*B1102)</f>
        <v>26.995399259123161</v>
      </c>
      <c r="G1102" t="str">
        <f t="shared" si="70"/>
        <v>Overweight</v>
      </c>
      <c r="H1102" t="str">
        <f t="shared" si="71"/>
        <v>OK</v>
      </c>
      <c r="I1102" t="str">
        <f t="shared" si="68"/>
        <v>OK</v>
      </c>
    </row>
    <row r="1103" spans="1:9" x14ac:dyDescent="0.2">
      <c r="A1103" t="str">
        <f>ObesityDataSet_raw_and_data_sin!A1103</f>
        <v>Male</v>
      </c>
      <c r="B1103">
        <f>ObesityDataSet_raw_and_data_sin!C1103</f>
        <v>1.718097</v>
      </c>
      <c r="C1103">
        <f>ObesityDataSet_raw_and_data_sin!D1103</f>
        <v>88.600877999999994</v>
      </c>
      <c r="D1103" t="str">
        <f>ObesityDataSet_raw_and_data_sin!Q1103</f>
        <v>Overweight_Level_II</v>
      </c>
      <c r="E1103" t="b">
        <f t="shared" si="69"/>
        <v>0</v>
      </c>
      <c r="F1103">
        <f>C1103/(B1103*B1103)</f>
        <v>30.015298489431871</v>
      </c>
      <c r="G1103" t="str">
        <f t="shared" si="70"/>
        <v>Obese</v>
      </c>
      <c r="H1103" t="str">
        <f t="shared" si="71"/>
        <v>OK</v>
      </c>
      <c r="I1103" t="str">
        <f t="shared" si="68"/>
        <v>ERROR</v>
      </c>
    </row>
    <row r="1104" spans="1:9" x14ac:dyDescent="0.2">
      <c r="A1104" t="str">
        <f>ObesityDataSet_raw_and_data_sin!A1104</f>
        <v>Male</v>
      </c>
      <c r="B1104">
        <f>ObesityDataSet_raw_and_data_sin!C1104</f>
        <v>1.7313890000000001</v>
      </c>
      <c r="C1104">
        <f>ObesityDataSet_raw_and_data_sin!D1104</f>
        <v>84.064875000000001</v>
      </c>
      <c r="D1104" t="str">
        <f>ObesityDataSet_raw_and_data_sin!Q1104</f>
        <v>Overweight_Level_II</v>
      </c>
      <c r="E1104" t="b">
        <f t="shared" si="69"/>
        <v>0</v>
      </c>
      <c r="F1104">
        <f>C1104/(B1104*B1104)</f>
        <v>28.043051112595979</v>
      </c>
      <c r="G1104" t="str">
        <f t="shared" si="70"/>
        <v>Overweight</v>
      </c>
      <c r="H1104" t="str">
        <f t="shared" si="71"/>
        <v>OK</v>
      </c>
      <c r="I1104" t="str">
        <f t="shared" si="68"/>
        <v>OK</v>
      </c>
    </row>
    <row r="1105" spans="1:9" x14ac:dyDescent="0.2">
      <c r="A1105" t="str">
        <f>ObesityDataSet_raw_and_data_sin!A1105</f>
        <v>Male</v>
      </c>
      <c r="B1105">
        <f>ObesityDataSet_raw_and_data_sin!C1105</f>
        <v>1.699667</v>
      </c>
      <c r="C1105">
        <f>ObesityDataSet_raw_and_data_sin!D1105</f>
        <v>79.677930000000003</v>
      </c>
      <c r="D1105" t="str">
        <f>ObesityDataSet_raw_and_data_sin!Q1105</f>
        <v>Overweight_Level_II</v>
      </c>
      <c r="E1105" t="b">
        <f t="shared" si="69"/>
        <v>0</v>
      </c>
      <c r="F1105">
        <f>C1105/(B1105*B1105)</f>
        <v>27.581022205851035</v>
      </c>
      <c r="G1105" t="str">
        <f t="shared" si="70"/>
        <v>Overweight</v>
      </c>
      <c r="H1105" t="str">
        <f t="shared" si="71"/>
        <v>OK</v>
      </c>
      <c r="I1105" t="str">
        <f t="shared" si="68"/>
        <v>OK</v>
      </c>
    </row>
    <row r="1106" spans="1:9" x14ac:dyDescent="0.2">
      <c r="A1106" t="str">
        <f>ObesityDataSet_raw_and_data_sin!A1106</f>
        <v>Female</v>
      </c>
      <c r="B1106">
        <f>ObesityDataSet_raw_and_data_sin!C1106</f>
        <v>1.698626</v>
      </c>
      <c r="C1106">
        <f>ObesityDataSet_raw_and_data_sin!D1106</f>
        <v>78.637307000000007</v>
      </c>
      <c r="D1106" t="str">
        <f>ObesityDataSet_raw_and_data_sin!Q1106</f>
        <v>Overweight_Level_II</v>
      </c>
      <c r="E1106" t="b">
        <f t="shared" si="69"/>
        <v>0</v>
      </c>
      <c r="F1106">
        <f>C1106/(B1106*B1106)</f>
        <v>27.254178604934648</v>
      </c>
      <c r="G1106" t="str">
        <f t="shared" si="70"/>
        <v>Overweight</v>
      </c>
      <c r="H1106" t="str">
        <f t="shared" si="71"/>
        <v>OK</v>
      </c>
      <c r="I1106" t="str">
        <f t="shared" si="68"/>
        <v>OK</v>
      </c>
    </row>
    <row r="1107" spans="1:9" x14ac:dyDescent="0.2">
      <c r="A1107" t="str">
        <f>ObesityDataSet_raw_and_data_sin!A1107</f>
        <v>Male</v>
      </c>
      <c r="B1107">
        <f>ObesityDataSet_raw_and_data_sin!C1107</f>
        <v>1.8237650000000001</v>
      </c>
      <c r="C1107">
        <f>ObesityDataSet_raw_and_data_sin!D1107</f>
        <v>96.945262</v>
      </c>
      <c r="D1107" t="str">
        <f>ObesityDataSet_raw_and_data_sin!Q1107</f>
        <v>Overweight_Level_II</v>
      </c>
      <c r="E1107" t="b">
        <f t="shared" si="69"/>
        <v>0</v>
      </c>
      <c r="F1107">
        <f>C1107/(B1107*B1107)</f>
        <v>29.146662687486856</v>
      </c>
      <c r="G1107" t="str">
        <f t="shared" si="70"/>
        <v>Overweight</v>
      </c>
      <c r="H1107" t="str">
        <f t="shared" si="71"/>
        <v>OK</v>
      </c>
      <c r="I1107" t="str">
        <f t="shared" si="68"/>
        <v>OK</v>
      </c>
    </row>
    <row r="1108" spans="1:9" x14ac:dyDescent="0.2">
      <c r="A1108" t="str">
        <f>ObesityDataSet_raw_and_data_sin!A1108</f>
        <v>Male</v>
      </c>
      <c r="B1108">
        <f>ObesityDataSet_raw_and_data_sin!C1108</f>
        <v>1.708742</v>
      </c>
      <c r="C1108">
        <f>ObesityDataSet_raw_and_data_sin!D1108</f>
        <v>83.001642000000004</v>
      </c>
      <c r="D1108" t="str">
        <f>ObesityDataSet_raw_and_data_sin!Q1108</f>
        <v>Overweight_Level_II</v>
      </c>
      <c r="E1108" t="b">
        <f t="shared" si="69"/>
        <v>0</v>
      </c>
      <c r="F1108">
        <f>C1108/(B1108*B1108)</f>
        <v>28.427174498359079</v>
      </c>
      <c r="G1108" t="str">
        <f t="shared" si="70"/>
        <v>Overweight</v>
      </c>
      <c r="H1108" t="str">
        <f t="shared" si="71"/>
        <v>OK</v>
      </c>
      <c r="I1108" t="str">
        <f t="shared" si="68"/>
        <v>OK</v>
      </c>
    </row>
    <row r="1109" spans="1:9" x14ac:dyDescent="0.2">
      <c r="A1109" t="str">
        <f>ObesityDataSet_raw_and_data_sin!A1109</f>
        <v>Female</v>
      </c>
      <c r="B1109">
        <f>ObesityDataSet_raw_and_data_sin!C1109</f>
        <v>1.6674690000000001</v>
      </c>
      <c r="C1109">
        <f>ObesityDataSet_raw_and_data_sin!D1109</f>
        <v>80.993373000000005</v>
      </c>
      <c r="D1109" t="str">
        <f>ObesityDataSet_raw_and_data_sin!Q1109</f>
        <v>Overweight_Level_II</v>
      </c>
      <c r="E1109" t="b">
        <f t="shared" si="69"/>
        <v>0</v>
      </c>
      <c r="F1109">
        <f>C1109/(B1109*B1109)</f>
        <v>29.129561587445394</v>
      </c>
      <c r="G1109" t="str">
        <f t="shared" si="70"/>
        <v>Overweight</v>
      </c>
      <c r="H1109" t="str">
        <f t="shared" si="71"/>
        <v>OK</v>
      </c>
      <c r="I1109" t="str">
        <f t="shared" si="68"/>
        <v>OK</v>
      </c>
    </row>
    <row r="1110" spans="1:9" x14ac:dyDescent="0.2">
      <c r="A1110" t="str">
        <f>ObesityDataSet_raw_and_data_sin!A1110</f>
        <v>Female</v>
      </c>
      <c r="B1110">
        <f>ObesityDataSet_raw_and_data_sin!C1110</f>
        <v>1.588147</v>
      </c>
      <c r="C1110">
        <f>ObesityDataSet_raw_and_data_sin!D1110</f>
        <v>73.939267999999998</v>
      </c>
      <c r="D1110" t="str">
        <f>ObesityDataSet_raw_and_data_sin!Q1110</f>
        <v>Overweight_Level_II</v>
      </c>
      <c r="E1110" t="b">
        <f t="shared" si="69"/>
        <v>0</v>
      </c>
      <c r="F1110">
        <f>C1110/(B1110*B1110)</f>
        <v>29.315259952034076</v>
      </c>
      <c r="G1110" t="str">
        <f t="shared" si="70"/>
        <v>Overweight</v>
      </c>
      <c r="H1110" t="str">
        <f t="shared" si="71"/>
        <v>OK</v>
      </c>
      <c r="I1110" t="str">
        <f t="shared" si="68"/>
        <v>OK</v>
      </c>
    </row>
    <row r="1111" spans="1:9" x14ac:dyDescent="0.2">
      <c r="A1111" t="str">
        <f>ObesityDataSet_raw_and_data_sin!A1111</f>
        <v>Male</v>
      </c>
      <c r="B1111">
        <f>ObesityDataSet_raw_and_data_sin!C1111</f>
        <v>1.835024</v>
      </c>
      <c r="C1111">
        <f>ObesityDataSet_raw_and_data_sin!D1111</f>
        <v>92.368358999999998</v>
      </c>
      <c r="D1111" t="str">
        <f>ObesityDataSet_raw_and_data_sin!Q1111</f>
        <v>Overweight_Level_II</v>
      </c>
      <c r="E1111" t="b">
        <f t="shared" si="69"/>
        <v>0</v>
      </c>
      <c r="F1111">
        <f>C1111/(B1111*B1111)</f>
        <v>27.430879395449566</v>
      </c>
      <c r="G1111" t="str">
        <f t="shared" si="70"/>
        <v>Overweight</v>
      </c>
      <c r="H1111" t="str">
        <f t="shared" si="71"/>
        <v>OK</v>
      </c>
      <c r="I1111" t="str">
        <f t="shared" si="68"/>
        <v>OK</v>
      </c>
    </row>
    <row r="1112" spans="1:9" x14ac:dyDescent="0.2">
      <c r="A1112" t="str">
        <f>ObesityDataSet_raw_and_data_sin!A1112</f>
        <v>Male</v>
      </c>
      <c r="B1112">
        <f>ObesityDataSet_raw_and_data_sin!C1112</f>
        <v>1.7088000000000001</v>
      </c>
      <c r="C1112">
        <f>ObesityDataSet_raw_and_data_sin!D1112</f>
        <v>83.520112999999995</v>
      </c>
      <c r="D1112" t="str">
        <f>ObesityDataSet_raw_and_data_sin!Q1112</f>
        <v>Overweight_Level_II</v>
      </c>
      <c r="E1112" t="b">
        <f t="shared" si="69"/>
        <v>0</v>
      </c>
      <c r="F1112">
        <f>C1112/(B1112*B1112)</f>
        <v>28.602803501087994</v>
      </c>
      <c r="G1112" t="str">
        <f t="shared" si="70"/>
        <v>Overweight</v>
      </c>
      <c r="H1112" t="str">
        <f t="shared" si="71"/>
        <v>OK</v>
      </c>
      <c r="I1112" t="str">
        <f t="shared" si="68"/>
        <v>OK</v>
      </c>
    </row>
    <row r="1113" spans="1:9" x14ac:dyDescent="0.2">
      <c r="A1113" t="str">
        <f>ObesityDataSet_raw_and_data_sin!A1113</f>
        <v>Male</v>
      </c>
      <c r="B1113">
        <f>ObesityDataSet_raw_and_data_sin!C1113</f>
        <v>1.6809909999999999</v>
      </c>
      <c r="C1113">
        <f>ObesityDataSet_raw_and_data_sin!D1113</f>
        <v>79.752915999999999</v>
      </c>
      <c r="D1113" t="str">
        <f>ObesityDataSet_raw_and_data_sin!Q1113</f>
        <v>Overweight_Level_II</v>
      </c>
      <c r="E1113" t="b">
        <f t="shared" si="69"/>
        <v>0</v>
      </c>
      <c r="F1113">
        <f>C1113/(B1113*B1113)</f>
        <v>28.223820059113713</v>
      </c>
      <c r="G1113" t="str">
        <f t="shared" si="70"/>
        <v>Overweight</v>
      </c>
      <c r="H1113" t="str">
        <f t="shared" si="71"/>
        <v>OK</v>
      </c>
      <c r="I1113" t="str">
        <f t="shared" si="68"/>
        <v>OK</v>
      </c>
    </row>
    <row r="1114" spans="1:9" x14ac:dyDescent="0.2">
      <c r="A1114" t="str">
        <f>ObesityDataSet_raw_and_data_sin!A1114</f>
        <v>Male</v>
      </c>
      <c r="B1114">
        <f>ObesityDataSet_raw_and_data_sin!C1114</f>
        <v>1.8352710000000001</v>
      </c>
      <c r="C1114">
        <f>ObesityDataSet_raw_and_data_sin!D1114</f>
        <v>97.588260000000005</v>
      </c>
      <c r="D1114" t="str">
        <f>ObesityDataSet_raw_and_data_sin!Q1114</f>
        <v>Overweight_Level_II</v>
      </c>
      <c r="E1114" t="b">
        <f t="shared" si="69"/>
        <v>0</v>
      </c>
      <c r="F1114">
        <f>C1114/(B1114*B1114)</f>
        <v>28.973247095104242</v>
      </c>
      <c r="G1114" t="str">
        <f t="shared" si="70"/>
        <v>Overweight</v>
      </c>
      <c r="H1114" t="str">
        <f t="shared" si="71"/>
        <v>OK</v>
      </c>
      <c r="I1114" t="str">
        <f t="shared" si="68"/>
        <v>OK</v>
      </c>
    </row>
    <row r="1115" spans="1:9" x14ac:dyDescent="0.2">
      <c r="A1115" t="str">
        <f>ObesityDataSet_raw_and_data_sin!A1115</f>
        <v>Male</v>
      </c>
      <c r="B1115">
        <f>ObesityDataSet_raw_and_data_sin!C1115</f>
        <v>1.7428189999999999</v>
      </c>
      <c r="C1115">
        <f>ObesityDataSet_raw_and_data_sin!D1115</f>
        <v>86.565147999999994</v>
      </c>
      <c r="D1115" t="str">
        <f>ObesityDataSet_raw_and_data_sin!Q1115</f>
        <v>Overweight_Level_II</v>
      </c>
      <c r="E1115" t="b">
        <f t="shared" si="69"/>
        <v>0</v>
      </c>
      <c r="F1115">
        <f>C1115/(B1115*B1115)</f>
        <v>28.49958290144437</v>
      </c>
      <c r="G1115" t="str">
        <f t="shared" si="70"/>
        <v>Overweight</v>
      </c>
      <c r="H1115" t="str">
        <f t="shared" si="71"/>
        <v>OK</v>
      </c>
      <c r="I1115" t="str">
        <f t="shared" si="68"/>
        <v>OK</v>
      </c>
    </row>
    <row r="1116" spans="1:9" x14ac:dyDescent="0.2">
      <c r="A1116" t="str">
        <f>ObesityDataSet_raw_and_data_sin!A1116</f>
        <v>Male</v>
      </c>
      <c r="B1116">
        <f>ObesityDataSet_raw_and_data_sin!C1116</f>
        <v>1.7411920000000001</v>
      </c>
      <c r="C1116">
        <f>ObesityDataSet_raw_and_data_sin!D1116</f>
        <v>84.773348999999996</v>
      </c>
      <c r="D1116" t="str">
        <f>ObesityDataSet_raw_and_data_sin!Q1116</f>
        <v>Overweight_Level_II</v>
      </c>
      <c r="E1116" t="b">
        <f t="shared" si="69"/>
        <v>0</v>
      </c>
      <c r="F1116">
        <f>C1116/(B1116*B1116)</f>
        <v>27.961857250703719</v>
      </c>
      <c r="G1116" t="str">
        <f t="shared" si="70"/>
        <v>Overweight</v>
      </c>
      <c r="H1116" t="str">
        <f t="shared" si="71"/>
        <v>OK</v>
      </c>
      <c r="I1116" t="str">
        <f t="shared" si="68"/>
        <v>OK</v>
      </c>
    </row>
    <row r="1117" spans="1:9" x14ac:dyDescent="0.2">
      <c r="A1117" t="str">
        <f>ObesityDataSet_raw_and_data_sin!A1117</f>
        <v>Male</v>
      </c>
      <c r="B1117">
        <f>ObesityDataSet_raw_and_data_sin!C1117</f>
        <v>1.7597210000000001</v>
      </c>
      <c r="C1117">
        <f>ObesityDataSet_raw_and_data_sin!D1117</f>
        <v>86.080500000000001</v>
      </c>
      <c r="D1117" t="str">
        <f>ObesityDataSet_raw_and_data_sin!Q1117</f>
        <v>Overweight_Level_II</v>
      </c>
      <c r="E1117" t="b">
        <f t="shared" si="69"/>
        <v>0</v>
      </c>
      <c r="F1117">
        <f>C1117/(B1117*B1117)</f>
        <v>27.79823021761689</v>
      </c>
      <c r="G1117" t="str">
        <f t="shared" si="70"/>
        <v>Overweight</v>
      </c>
      <c r="H1117" t="str">
        <f t="shared" si="71"/>
        <v>OK</v>
      </c>
      <c r="I1117" t="str">
        <f t="shared" si="68"/>
        <v>OK</v>
      </c>
    </row>
    <row r="1118" spans="1:9" x14ac:dyDescent="0.2">
      <c r="A1118" t="str">
        <f>ObesityDataSet_raw_and_data_sin!A1118</f>
        <v>Male</v>
      </c>
      <c r="B1118">
        <f>ObesityDataSet_raw_and_data_sin!C1118</f>
        <v>1.810616</v>
      </c>
      <c r="C1118">
        <f>ObesityDataSet_raw_and_data_sin!D1118</f>
        <v>92.860253999999998</v>
      </c>
      <c r="D1118" t="str">
        <f>ObesityDataSet_raw_and_data_sin!Q1118</f>
        <v>Overweight_Level_II</v>
      </c>
      <c r="E1118" t="b">
        <f t="shared" si="69"/>
        <v>0</v>
      </c>
      <c r="F1118">
        <f>C1118/(B1118*B1118)</f>
        <v>28.325472273312137</v>
      </c>
      <c r="G1118" t="str">
        <f t="shared" si="70"/>
        <v>Overweight</v>
      </c>
      <c r="H1118" t="str">
        <f t="shared" si="71"/>
        <v>OK</v>
      </c>
      <c r="I1118" t="str">
        <f t="shared" si="68"/>
        <v>OK</v>
      </c>
    </row>
    <row r="1119" spans="1:9" x14ac:dyDescent="0.2">
      <c r="A1119" t="str">
        <f>ObesityDataSet_raw_and_data_sin!A1119</f>
        <v>Male</v>
      </c>
      <c r="B1119">
        <f>ObesityDataSet_raw_and_data_sin!C1119</f>
        <v>1.763101</v>
      </c>
      <c r="C1119">
        <f>ObesityDataSet_raw_and_data_sin!D1119</f>
        <v>88.532032000000001</v>
      </c>
      <c r="D1119" t="str">
        <f>ObesityDataSet_raw_and_data_sin!Q1119</f>
        <v>Overweight_Level_II</v>
      </c>
      <c r="E1119" t="b">
        <f t="shared" si="69"/>
        <v>0</v>
      </c>
      <c r="F1119">
        <f>C1119/(B1119*B1119)</f>
        <v>28.480397655139129</v>
      </c>
      <c r="G1119" t="str">
        <f t="shared" si="70"/>
        <v>Overweight</v>
      </c>
      <c r="H1119" t="str">
        <f t="shared" si="71"/>
        <v>OK</v>
      </c>
      <c r="I1119" t="str">
        <f t="shared" si="68"/>
        <v>OK</v>
      </c>
    </row>
    <row r="1120" spans="1:9" x14ac:dyDescent="0.2">
      <c r="A1120" t="str">
        <f>ObesityDataSet_raw_and_data_sin!A1120</f>
        <v>Female</v>
      </c>
      <c r="B1120">
        <f>ObesityDataSet_raw_and_data_sin!C1120</f>
        <v>1.5433380000000001</v>
      </c>
      <c r="C1120">
        <f>ObesityDataSet_raw_and_data_sin!D1120</f>
        <v>71.799982</v>
      </c>
      <c r="D1120" t="str">
        <f>ObesityDataSet_raw_and_data_sin!Q1120</f>
        <v>Overweight_Level_II</v>
      </c>
      <c r="E1120" t="b">
        <f t="shared" si="69"/>
        <v>0</v>
      </c>
      <c r="F1120">
        <f>C1120/(B1120*B1120)</f>
        <v>30.144094067413512</v>
      </c>
      <c r="G1120" t="str">
        <f t="shared" si="70"/>
        <v>Obese</v>
      </c>
      <c r="H1120" t="str">
        <f t="shared" si="71"/>
        <v>OK</v>
      </c>
      <c r="I1120" t="str">
        <f t="shared" si="68"/>
        <v>ERROR</v>
      </c>
    </row>
    <row r="1121" spans="1:9" x14ac:dyDescent="0.2">
      <c r="A1121" t="str">
        <f>ObesityDataSet_raw_and_data_sin!A1121</f>
        <v>Female</v>
      </c>
      <c r="B1121">
        <f>ObesityDataSet_raw_and_data_sin!C1121</f>
        <v>1.6518120000000001</v>
      </c>
      <c r="C1121">
        <f>ObesityDataSet_raw_and_data_sin!D1121</f>
        <v>79.437921000000003</v>
      </c>
      <c r="D1121" t="str">
        <f>ObesityDataSet_raw_and_data_sin!Q1121</f>
        <v>Overweight_Level_II</v>
      </c>
      <c r="E1121" t="b">
        <f t="shared" si="69"/>
        <v>0</v>
      </c>
      <c r="F1121">
        <f>C1121/(B1121*B1121)</f>
        <v>29.114318981045507</v>
      </c>
      <c r="G1121" t="str">
        <f t="shared" si="70"/>
        <v>Overweight</v>
      </c>
      <c r="H1121" t="str">
        <f t="shared" si="71"/>
        <v>OK</v>
      </c>
      <c r="I1121" t="str">
        <f t="shared" si="68"/>
        <v>OK</v>
      </c>
    </row>
    <row r="1122" spans="1:9" x14ac:dyDescent="0.2">
      <c r="A1122" t="str">
        <f>ObesityDataSet_raw_and_data_sin!A1122</f>
        <v>Male</v>
      </c>
      <c r="B1122">
        <f>ObesityDataSet_raw_and_data_sin!C1122</f>
        <v>1.7324919999999999</v>
      </c>
      <c r="C1122">
        <f>ObesityDataSet_raw_and_data_sin!D1122</f>
        <v>84.557796999999994</v>
      </c>
      <c r="D1122" t="str">
        <f>ObesityDataSet_raw_and_data_sin!Q1122</f>
        <v>Overweight_Level_II</v>
      </c>
      <c r="E1122" t="b">
        <f t="shared" si="69"/>
        <v>0</v>
      </c>
      <c r="F1122">
        <f>C1122/(B1122*B1122)</f>
        <v>28.171578631703699</v>
      </c>
      <c r="G1122" t="str">
        <f t="shared" si="70"/>
        <v>Overweight</v>
      </c>
      <c r="H1122" t="str">
        <f t="shared" si="71"/>
        <v>OK</v>
      </c>
      <c r="I1122" t="str">
        <f t="shared" si="68"/>
        <v>OK</v>
      </c>
    </row>
    <row r="1123" spans="1:9" x14ac:dyDescent="0.2">
      <c r="A1123" t="str">
        <f>ObesityDataSet_raw_and_data_sin!A1123</f>
        <v>Female</v>
      </c>
      <c r="B1123">
        <f>ObesityDataSet_raw_and_data_sin!C1123</f>
        <v>1.7063489999999999</v>
      </c>
      <c r="C1123">
        <f>ObesityDataSet_raw_and_data_sin!D1123</f>
        <v>85.720787999999999</v>
      </c>
      <c r="D1123" t="str">
        <f>ObesityDataSet_raw_and_data_sin!Q1123</f>
        <v>Overweight_Level_II</v>
      </c>
      <c r="E1123" t="b">
        <f t="shared" si="69"/>
        <v>0</v>
      </c>
      <c r="F1123">
        <f>C1123/(B1123*B1123)</f>
        <v>29.440855801768485</v>
      </c>
      <c r="G1123" t="str">
        <f t="shared" si="70"/>
        <v>Overweight</v>
      </c>
      <c r="H1123" t="str">
        <f t="shared" si="71"/>
        <v>OK</v>
      </c>
      <c r="I1123" t="str">
        <f t="shared" si="68"/>
        <v>OK</v>
      </c>
    </row>
    <row r="1124" spans="1:9" x14ac:dyDescent="0.2">
      <c r="A1124" t="str">
        <f>ObesityDataSet_raw_and_data_sin!A1124</f>
        <v>Male</v>
      </c>
      <c r="B1124">
        <f>ObesityDataSet_raw_and_data_sin!C1124</f>
        <v>1.7806789999999999</v>
      </c>
      <c r="C1124">
        <f>ObesityDataSet_raw_and_data_sin!D1124</f>
        <v>89.667406</v>
      </c>
      <c r="D1124" t="str">
        <f>ObesityDataSet_raw_and_data_sin!Q1124</f>
        <v>Overweight_Level_II</v>
      </c>
      <c r="E1124" t="b">
        <f t="shared" si="69"/>
        <v>0</v>
      </c>
      <c r="F1124">
        <f>C1124/(B1124*B1124)</f>
        <v>28.278953397592559</v>
      </c>
      <c r="G1124" t="str">
        <f t="shared" si="70"/>
        <v>Overweight</v>
      </c>
      <c r="H1124" t="str">
        <f t="shared" si="71"/>
        <v>OK</v>
      </c>
      <c r="I1124" t="str">
        <f t="shared" si="68"/>
        <v>OK</v>
      </c>
    </row>
    <row r="1125" spans="1:9" x14ac:dyDescent="0.2">
      <c r="A1125" t="str">
        <f>ObesityDataSet_raw_and_data_sin!A1125</f>
        <v>Male</v>
      </c>
      <c r="B1125">
        <f>ObesityDataSet_raw_and_data_sin!C1125</f>
        <v>1.7586869999999999</v>
      </c>
      <c r="C1125">
        <f>ObesityDataSet_raw_and_data_sin!D1125</f>
        <v>89.673648</v>
      </c>
      <c r="D1125" t="str">
        <f>ObesityDataSet_raw_and_data_sin!Q1125</f>
        <v>Overweight_Level_II</v>
      </c>
      <c r="E1125" t="b">
        <f t="shared" si="69"/>
        <v>0</v>
      </c>
      <c r="F1125">
        <f>C1125/(B1125*B1125)</f>
        <v>28.992637858839615</v>
      </c>
      <c r="G1125" t="str">
        <f t="shared" si="70"/>
        <v>Overweight</v>
      </c>
      <c r="H1125" t="str">
        <f t="shared" si="71"/>
        <v>OK</v>
      </c>
      <c r="I1125" t="str">
        <f t="shared" si="68"/>
        <v>OK</v>
      </c>
    </row>
    <row r="1126" spans="1:9" x14ac:dyDescent="0.2">
      <c r="A1126" t="str">
        <f>ObesityDataSet_raw_and_data_sin!A1126</f>
        <v>Male</v>
      </c>
      <c r="B1126">
        <f>ObesityDataSet_raw_and_data_sin!C1126</f>
        <v>1.7045729999999999</v>
      </c>
      <c r="C1126">
        <f>ObesityDataSet_raw_and_data_sin!D1126</f>
        <v>80</v>
      </c>
      <c r="D1126" t="str">
        <f>ObesityDataSet_raw_and_data_sin!Q1126</f>
        <v>Overweight_Level_II</v>
      </c>
      <c r="E1126" t="b">
        <f t="shared" si="69"/>
        <v>0</v>
      </c>
      <c r="F1126">
        <f>C1126/(B1126*B1126)</f>
        <v>27.533332337730862</v>
      </c>
      <c r="G1126" t="str">
        <f t="shared" si="70"/>
        <v>Overweight</v>
      </c>
      <c r="H1126" t="str">
        <f t="shared" si="71"/>
        <v>OK</v>
      </c>
      <c r="I1126" t="str">
        <f t="shared" si="68"/>
        <v>OK</v>
      </c>
    </row>
    <row r="1127" spans="1:9" x14ac:dyDescent="0.2">
      <c r="A1127" t="str">
        <f>ObesityDataSet_raw_and_data_sin!A1127</f>
        <v>Male</v>
      </c>
      <c r="B1127">
        <f>ObesityDataSet_raw_and_data_sin!C1127</f>
        <v>1.716545</v>
      </c>
      <c r="C1127">
        <f>ObesityDataSet_raw_and_data_sin!D1127</f>
        <v>80.005808999999999</v>
      </c>
      <c r="D1127" t="str">
        <f>ObesityDataSet_raw_and_data_sin!Q1127</f>
        <v>Overweight_Level_II</v>
      </c>
      <c r="E1127" t="b">
        <f t="shared" si="69"/>
        <v>0</v>
      </c>
      <c r="F1127">
        <f>C1127/(B1127*B1127)</f>
        <v>27.152582053532942</v>
      </c>
      <c r="G1127" t="str">
        <f t="shared" si="70"/>
        <v>Overweight</v>
      </c>
      <c r="H1127" t="str">
        <f t="shared" si="71"/>
        <v>OK</v>
      </c>
      <c r="I1127" t="str">
        <f t="shared" si="68"/>
        <v>OK</v>
      </c>
    </row>
    <row r="1128" spans="1:9" x14ac:dyDescent="0.2">
      <c r="A1128" t="str">
        <f>ObesityDataSet_raw_and_data_sin!A1128</f>
        <v>Male</v>
      </c>
      <c r="B1128">
        <f>ObesityDataSet_raw_and_data_sin!C1128</f>
        <v>1.903832</v>
      </c>
      <c r="C1128">
        <f>ObesityDataSet_raw_and_data_sin!D1128</f>
        <v>99.812443000000002</v>
      </c>
      <c r="D1128" t="str">
        <f>ObesityDataSet_raw_and_data_sin!Q1128</f>
        <v>Overweight_Level_II</v>
      </c>
      <c r="E1128" t="b">
        <f t="shared" si="69"/>
        <v>0</v>
      </c>
      <c r="F1128">
        <f>C1128/(B1128*B1128)</f>
        <v>27.537685835013196</v>
      </c>
      <c r="G1128" t="str">
        <f t="shared" si="70"/>
        <v>Overweight</v>
      </c>
      <c r="H1128" t="str">
        <f t="shared" si="71"/>
        <v>OK</v>
      </c>
      <c r="I1128" t="str">
        <f t="shared" si="68"/>
        <v>OK</v>
      </c>
    </row>
    <row r="1129" spans="1:9" x14ac:dyDescent="0.2">
      <c r="A1129" t="str">
        <f>ObesityDataSet_raw_and_data_sin!A1129</f>
        <v>Male</v>
      </c>
      <c r="B1129">
        <f>ObesityDataSet_raw_and_data_sin!C1129</f>
        <v>1.7425379999999999</v>
      </c>
      <c r="C1129">
        <f>ObesityDataSet_raw_and_data_sin!D1129</f>
        <v>83.390983000000006</v>
      </c>
      <c r="D1129" t="str">
        <f>ObesityDataSet_raw_and_data_sin!Q1129</f>
        <v>Overweight_Level_II</v>
      </c>
      <c r="E1129" t="b">
        <f t="shared" si="69"/>
        <v>0</v>
      </c>
      <c r="F1129">
        <f>C1129/(B1129*B1129)</f>
        <v>27.463417427004597</v>
      </c>
      <c r="G1129" t="str">
        <f t="shared" si="70"/>
        <v>Overweight</v>
      </c>
      <c r="H1129" t="str">
        <f t="shared" si="71"/>
        <v>OK</v>
      </c>
      <c r="I1129" t="str">
        <f t="shared" si="68"/>
        <v>OK</v>
      </c>
    </row>
    <row r="1130" spans="1:9" x14ac:dyDescent="0.2">
      <c r="A1130" t="str">
        <f>ObesityDataSet_raw_and_data_sin!A1130</f>
        <v>Male</v>
      </c>
      <c r="B1130">
        <f>ObesityDataSet_raw_and_data_sin!C1130</f>
        <v>1.7477389999999999</v>
      </c>
      <c r="C1130">
        <f>ObesityDataSet_raw_and_data_sin!D1130</f>
        <v>83.314156999999994</v>
      </c>
      <c r="D1130" t="str">
        <f>ObesityDataSet_raw_and_data_sin!Q1130</f>
        <v>Overweight_Level_II</v>
      </c>
      <c r="E1130" t="b">
        <f t="shared" si="69"/>
        <v>0</v>
      </c>
      <c r="F1130">
        <f>C1130/(B1130*B1130)</f>
        <v>27.275055909077679</v>
      </c>
      <c r="G1130" t="str">
        <f t="shared" si="70"/>
        <v>Overweight</v>
      </c>
      <c r="H1130" t="str">
        <f t="shared" si="71"/>
        <v>OK</v>
      </c>
      <c r="I1130" t="str">
        <f t="shared" si="68"/>
        <v>OK</v>
      </c>
    </row>
    <row r="1131" spans="1:9" x14ac:dyDescent="0.2">
      <c r="A1131" t="str">
        <f>ObesityDataSet_raw_and_data_sin!A1131</f>
        <v>Male</v>
      </c>
      <c r="B1131">
        <f>ObesityDataSet_raw_and_data_sin!C1131</f>
        <v>1.7170369999999999</v>
      </c>
      <c r="C1131">
        <f>ObesityDataSet_raw_and_data_sin!D1131</f>
        <v>80</v>
      </c>
      <c r="D1131" t="str">
        <f>ObesityDataSet_raw_and_data_sin!Q1131</f>
        <v>Overweight_Level_II</v>
      </c>
      <c r="E1131" t="b">
        <f t="shared" si="69"/>
        <v>0</v>
      </c>
      <c r="F1131">
        <f>C1131/(B1131*B1131)</f>
        <v>27.135053330223776</v>
      </c>
      <c r="G1131" t="str">
        <f t="shared" si="70"/>
        <v>Overweight</v>
      </c>
      <c r="H1131" t="str">
        <f t="shared" si="71"/>
        <v>OK</v>
      </c>
      <c r="I1131" t="str">
        <f t="shared" si="68"/>
        <v>OK</v>
      </c>
    </row>
    <row r="1132" spans="1:9" x14ac:dyDescent="0.2">
      <c r="A1132" t="str">
        <f>ObesityDataSet_raw_and_data_sin!A1132</f>
        <v>Female</v>
      </c>
      <c r="B1132">
        <f>ObesityDataSet_raw_and_data_sin!C1132</f>
        <v>1.65</v>
      </c>
      <c r="C1132">
        <f>ObesityDataSet_raw_and_data_sin!D1132</f>
        <v>80</v>
      </c>
      <c r="D1132" t="str">
        <f>ObesityDataSet_raw_and_data_sin!Q1132</f>
        <v>Overweight_Level_II</v>
      </c>
      <c r="E1132" t="b">
        <f t="shared" si="69"/>
        <v>0</v>
      </c>
      <c r="F1132">
        <f>C1132/(B1132*B1132)</f>
        <v>29.384756657483933</v>
      </c>
      <c r="G1132" t="str">
        <f t="shared" si="70"/>
        <v>Overweight</v>
      </c>
      <c r="H1132" t="str">
        <f t="shared" si="71"/>
        <v>OK</v>
      </c>
      <c r="I1132" t="str">
        <f t="shared" si="68"/>
        <v>OK</v>
      </c>
    </row>
    <row r="1133" spans="1:9" x14ac:dyDescent="0.2">
      <c r="A1133" t="str">
        <f>ObesityDataSet_raw_and_data_sin!A1133</f>
        <v>Female</v>
      </c>
      <c r="B1133">
        <f>ObesityDataSet_raw_and_data_sin!C1133</f>
        <v>1.5779209999999999</v>
      </c>
      <c r="C1133">
        <f>ObesityDataSet_raw_and_data_sin!D1133</f>
        <v>65.293178999999995</v>
      </c>
      <c r="D1133" t="str">
        <f>ObesityDataSet_raw_and_data_sin!Q1133</f>
        <v>Overweight_Level_II</v>
      </c>
      <c r="E1133" t="b">
        <f t="shared" si="69"/>
        <v>0</v>
      </c>
      <c r="F1133">
        <f>C1133/(B1133*B1133)</f>
        <v>26.223901315902722</v>
      </c>
      <c r="G1133" t="str">
        <f t="shared" si="70"/>
        <v>Overweight</v>
      </c>
      <c r="H1133" t="str">
        <f t="shared" si="71"/>
        <v>OK</v>
      </c>
      <c r="I1133" t="str">
        <f t="shared" si="68"/>
        <v>OK</v>
      </c>
    </row>
    <row r="1134" spans="1:9" x14ac:dyDescent="0.2">
      <c r="A1134" t="str">
        <f>ObesityDataSet_raw_and_data_sin!A1134</f>
        <v>Male</v>
      </c>
      <c r="B1134">
        <f>ObesityDataSet_raw_and_data_sin!C1134</f>
        <v>1.7460549999999999</v>
      </c>
      <c r="C1134">
        <f>ObesityDataSet_raw_and_data_sin!D1134</f>
        <v>83.282231999999993</v>
      </c>
      <c r="D1134" t="str">
        <f>ObesityDataSet_raw_and_data_sin!Q1134</f>
        <v>Overweight_Level_II</v>
      </c>
      <c r="E1134" t="b">
        <f t="shared" si="69"/>
        <v>0</v>
      </c>
      <c r="F1134">
        <f>C1134/(B1134*B1134)</f>
        <v>27.317221025540046</v>
      </c>
      <c r="G1134" t="str">
        <f t="shared" si="70"/>
        <v>Overweight</v>
      </c>
      <c r="H1134" t="str">
        <f t="shared" si="71"/>
        <v>OK</v>
      </c>
      <c r="I1134" t="str">
        <f t="shared" si="68"/>
        <v>OK</v>
      </c>
    </row>
    <row r="1135" spans="1:9" x14ac:dyDescent="0.2">
      <c r="A1135" t="str">
        <f>ObesityDataSet_raw_and_data_sin!A1135</f>
        <v>Male</v>
      </c>
      <c r="B1135">
        <f>ObesityDataSet_raw_and_data_sin!C1135</f>
        <v>1.841151</v>
      </c>
      <c r="C1135">
        <f>ObesityDataSet_raw_and_data_sin!D1135</f>
        <v>91.798102999999998</v>
      </c>
      <c r="D1135" t="str">
        <f>ObesityDataSet_raw_and_data_sin!Q1135</f>
        <v>Overweight_Level_II</v>
      </c>
      <c r="E1135" t="b">
        <f t="shared" si="69"/>
        <v>0</v>
      </c>
      <c r="F1135">
        <f>C1135/(B1135*B1135)</f>
        <v>27.080388487702226</v>
      </c>
      <c r="G1135" t="str">
        <f t="shared" si="70"/>
        <v>Overweight</v>
      </c>
      <c r="H1135" t="str">
        <f t="shared" si="71"/>
        <v>OK</v>
      </c>
      <c r="I1135" t="str">
        <f t="shared" si="68"/>
        <v>OK</v>
      </c>
    </row>
    <row r="1136" spans="1:9" x14ac:dyDescent="0.2">
      <c r="A1136" t="str">
        <f>ObesityDataSet_raw_and_data_sin!A1136</f>
        <v>Female</v>
      </c>
      <c r="B1136">
        <f>ObesityDataSet_raw_and_data_sin!C1136</f>
        <v>1.517998</v>
      </c>
      <c r="C1136">
        <f>ObesityDataSet_raw_and_data_sin!D1136</f>
        <v>64.696247999999997</v>
      </c>
      <c r="D1136" t="str">
        <f>ObesityDataSet_raw_and_data_sin!Q1136</f>
        <v>Overweight_Level_II</v>
      </c>
      <c r="E1136" t="b">
        <f t="shared" si="69"/>
        <v>0</v>
      </c>
      <c r="F1136">
        <f>C1136/(B1136*B1136)</f>
        <v>28.076094541363865</v>
      </c>
      <c r="G1136" t="str">
        <f t="shared" si="70"/>
        <v>Overweight</v>
      </c>
      <c r="H1136" t="str">
        <f t="shared" si="71"/>
        <v>OK</v>
      </c>
      <c r="I1136" t="str">
        <f t="shared" si="68"/>
        <v>OK</v>
      </c>
    </row>
    <row r="1137" spans="1:9" x14ac:dyDescent="0.2">
      <c r="A1137" t="str">
        <f>ObesityDataSet_raw_and_data_sin!A1137</f>
        <v>Female</v>
      </c>
      <c r="B1137">
        <f>ObesityDataSet_raw_and_data_sin!C1137</f>
        <v>1.483284</v>
      </c>
      <c r="C1137">
        <f>ObesityDataSet_raw_and_data_sin!D1137</f>
        <v>62.894283000000001</v>
      </c>
      <c r="D1137" t="str">
        <f>ObesityDataSet_raw_and_data_sin!Q1137</f>
        <v>Overweight_Level_II</v>
      </c>
      <c r="E1137" t="b">
        <f t="shared" si="69"/>
        <v>1</v>
      </c>
      <c r="F1137">
        <f>C1137/(B1137*B1137)</f>
        <v>28.586602734349743</v>
      </c>
      <c r="G1137" t="str">
        <f t="shared" si="70"/>
        <v>Obese</v>
      </c>
      <c r="H1137" t="str">
        <f t="shared" si="71"/>
        <v>OK</v>
      </c>
      <c r="I1137" t="str">
        <f t="shared" si="68"/>
        <v>ERROR</v>
      </c>
    </row>
    <row r="1138" spans="1:9" x14ac:dyDescent="0.2">
      <c r="A1138" t="str">
        <f>ObesityDataSet_raw_and_data_sin!A1138</f>
        <v>Male</v>
      </c>
      <c r="B1138">
        <f>ObesityDataSet_raw_and_data_sin!C1138</f>
        <v>1.758972</v>
      </c>
      <c r="C1138">
        <f>ObesityDataSet_raw_and_data_sin!D1138</f>
        <v>87.861430999999996</v>
      </c>
      <c r="D1138" t="str">
        <f>ObesityDataSet_raw_and_data_sin!Q1138</f>
        <v>Overweight_Level_II</v>
      </c>
      <c r="E1138" t="b">
        <f t="shared" si="69"/>
        <v>0</v>
      </c>
      <c r="F1138">
        <f>C1138/(B1138*B1138)</f>
        <v>28.397520377483204</v>
      </c>
      <c r="G1138" t="str">
        <f t="shared" si="70"/>
        <v>Overweight</v>
      </c>
      <c r="H1138" t="str">
        <f t="shared" si="71"/>
        <v>OK</v>
      </c>
      <c r="I1138" t="str">
        <f t="shared" si="68"/>
        <v>OK</v>
      </c>
    </row>
    <row r="1139" spans="1:9" x14ac:dyDescent="0.2">
      <c r="A1139" t="str">
        <f>ObesityDataSet_raw_and_data_sin!A1139</f>
        <v>Female</v>
      </c>
      <c r="B1139">
        <f>ObesityDataSet_raw_and_data_sin!C1139</f>
        <v>1.5624340000000001</v>
      </c>
      <c r="C1139">
        <f>ObesityDataSet_raw_and_data_sin!D1139</f>
        <v>70.442774999999997</v>
      </c>
      <c r="D1139" t="str">
        <f>ObesityDataSet_raw_and_data_sin!Q1139</f>
        <v>Overweight_Level_II</v>
      </c>
      <c r="E1139" t="b">
        <f t="shared" si="69"/>
        <v>0</v>
      </c>
      <c r="F1139">
        <f>C1139/(B1139*B1139)</f>
        <v>28.855798326357583</v>
      </c>
      <c r="G1139" t="str">
        <f t="shared" si="70"/>
        <v>Overweight</v>
      </c>
      <c r="H1139" t="str">
        <f t="shared" si="71"/>
        <v>OK</v>
      </c>
      <c r="I1139" t="str">
        <f t="shared" si="68"/>
        <v>OK</v>
      </c>
    </row>
    <row r="1140" spans="1:9" x14ac:dyDescent="0.2">
      <c r="A1140" t="str">
        <f>ObesityDataSet_raw_and_data_sin!A1140</f>
        <v>Female</v>
      </c>
      <c r="B1140">
        <f>ObesityDataSet_raw_and_data_sin!C1140</f>
        <v>1.5470660000000001</v>
      </c>
      <c r="C1140">
        <f>ObesityDataSet_raw_and_data_sin!D1140</f>
        <v>67.473281999999998</v>
      </c>
      <c r="D1140" t="str">
        <f>ObesityDataSet_raw_and_data_sin!Q1140</f>
        <v>Overweight_Level_II</v>
      </c>
      <c r="E1140" t="b">
        <f t="shared" si="69"/>
        <v>0</v>
      </c>
      <c r="F1140">
        <f>C1140/(B1140*B1140)</f>
        <v>28.191238255239004</v>
      </c>
      <c r="G1140" t="str">
        <f t="shared" si="70"/>
        <v>Overweight</v>
      </c>
      <c r="H1140" t="str">
        <f t="shared" si="71"/>
        <v>OK</v>
      </c>
      <c r="I1140" t="str">
        <f t="shared" si="68"/>
        <v>OK</v>
      </c>
    </row>
    <row r="1141" spans="1:9" x14ac:dyDescent="0.2">
      <c r="A1141" t="str">
        <f>ObesityDataSet_raw_and_data_sin!A1141</f>
        <v>Male</v>
      </c>
      <c r="B1141">
        <f>ObesityDataSet_raw_and_data_sin!C1141</f>
        <v>1.792435</v>
      </c>
      <c r="C1141">
        <f>ObesityDataSet_raw_and_data_sin!D1141</f>
        <v>89.998728999999997</v>
      </c>
      <c r="D1141" t="str">
        <f>ObesityDataSet_raw_and_data_sin!Q1141</f>
        <v>Overweight_Level_II</v>
      </c>
      <c r="E1141" t="b">
        <f t="shared" si="69"/>
        <v>0</v>
      </c>
      <c r="F1141">
        <f>C1141/(B1141*B1141)</f>
        <v>28.012350066863021</v>
      </c>
      <c r="G1141" t="str">
        <f t="shared" si="70"/>
        <v>Overweight</v>
      </c>
      <c r="H1141" t="str">
        <f t="shared" si="71"/>
        <v>OK</v>
      </c>
      <c r="I1141" t="str">
        <f t="shared" si="68"/>
        <v>OK</v>
      </c>
    </row>
    <row r="1142" spans="1:9" x14ac:dyDescent="0.2">
      <c r="A1142" t="str">
        <f>ObesityDataSet_raw_and_data_sin!A1142</f>
        <v>Male</v>
      </c>
      <c r="B1142">
        <f>ObesityDataSet_raw_and_data_sin!C1142</f>
        <v>1.7845549999999999</v>
      </c>
      <c r="C1142">
        <f>ObesityDataSet_raw_and_data_sin!D1142</f>
        <v>89.836691999999999</v>
      </c>
      <c r="D1142" t="str">
        <f>ObesityDataSet_raw_and_data_sin!Q1142</f>
        <v>Overweight_Level_II</v>
      </c>
      <c r="E1142" t="b">
        <f t="shared" si="69"/>
        <v>0</v>
      </c>
      <c r="F1142">
        <f>C1142/(B1142*B1142)</f>
        <v>28.209401809356734</v>
      </c>
      <c r="G1142" t="str">
        <f t="shared" si="70"/>
        <v>Overweight</v>
      </c>
      <c r="H1142" t="str">
        <f t="shared" si="71"/>
        <v>OK</v>
      </c>
      <c r="I1142" t="str">
        <f t="shared" si="68"/>
        <v>OK</v>
      </c>
    </row>
    <row r="1143" spans="1:9" x14ac:dyDescent="0.2">
      <c r="A1143" t="str">
        <f>ObesityDataSet_raw_and_data_sin!A1143</f>
        <v>Female</v>
      </c>
      <c r="B1143">
        <f>ObesityDataSet_raw_and_data_sin!C1143</f>
        <v>1.7002159999999999</v>
      </c>
      <c r="C1143">
        <f>ObesityDataSet_raw_and_data_sin!D1143</f>
        <v>80.473586999999995</v>
      </c>
      <c r="D1143" t="str">
        <f>ObesityDataSet_raw_and_data_sin!Q1143</f>
        <v>Overweight_Level_II</v>
      </c>
      <c r="E1143" t="b">
        <f t="shared" si="69"/>
        <v>0</v>
      </c>
      <c r="F1143">
        <f>C1143/(B1143*B1143)</f>
        <v>27.838457141261038</v>
      </c>
      <c r="G1143" t="str">
        <f t="shared" si="70"/>
        <v>Overweight</v>
      </c>
      <c r="H1143" t="str">
        <f t="shared" si="71"/>
        <v>OK</v>
      </c>
      <c r="I1143" t="str">
        <f t="shared" si="68"/>
        <v>OK</v>
      </c>
    </row>
    <row r="1144" spans="1:9" x14ac:dyDescent="0.2">
      <c r="A1144" t="str">
        <f>ObesityDataSet_raw_and_data_sin!A1144</f>
        <v>Male</v>
      </c>
      <c r="B1144">
        <f>ObesityDataSet_raw_and_data_sin!C1144</f>
        <v>1.6721010000000001</v>
      </c>
      <c r="C1144">
        <f>ObesityDataSet_raw_and_data_sin!D1144</f>
        <v>80.939733000000004</v>
      </c>
      <c r="D1144" t="str">
        <f>ObesityDataSet_raw_and_data_sin!Q1144</f>
        <v>Overweight_Level_II</v>
      </c>
      <c r="E1144" t="b">
        <f t="shared" si="69"/>
        <v>0</v>
      </c>
      <c r="F1144">
        <f>C1144/(B1144*B1144)</f>
        <v>28.949212501524535</v>
      </c>
      <c r="G1144" t="str">
        <f t="shared" si="70"/>
        <v>Overweight</v>
      </c>
      <c r="H1144" t="str">
        <f t="shared" si="71"/>
        <v>OK</v>
      </c>
      <c r="I1144" t="str">
        <f t="shared" si="68"/>
        <v>OK</v>
      </c>
    </row>
    <row r="1145" spans="1:9" x14ac:dyDescent="0.2">
      <c r="A1145" t="str">
        <f>ObesityDataSet_raw_and_data_sin!A1145</f>
        <v>Male</v>
      </c>
      <c r="B1145">
        <f>ObesityDataSet_raw_and_data_sin!C1145</f>
        <v>1.7</v>
      </c>
      <c r="C1145">
        <f>ObesityDataSet_raw_and_data_sin!D1145</f>
        <v>84.849349000000004</v>
      </c>
      <c r="D1145" t="str">
        <f>ObesityDataSet_raw_and_data_sin!Q1145</f>
        <v>Overweight_Level_II</v>
      </c>
      <c r="E1145" t="b">
        <f t="shared" si="69"/>
        <v>0</v>
      </c>
      <c r="F1145">
        <f>C1145/(B1145*B1145)</f>
        <v>29.359636332179935</v>
      </c>
      <c r="G1145" t="str">
        <f t="shared" si="70"/>
        <v>Overweight</v>
      </c>
      <c r="H1145" t="str">
        <f t="shared" si="71"/>
        <v>OK</v>
      </c>
      <c r="I1145" t="str">
        <f t="shared" si="68"/>
        <v>OK</v>
      </c>
    </row>
    <row r="1146" spans="1:9" x14ac:dyDescent="0.2">
      <c r="A1146" t="str">
        <f>ObesityDataSet_raw_and_data_sin!A1146</f>
        <v>Male</v>
      </c>
      <c r="B1146">
        <f>ObesityDataSet_raw_and_data_sin!C1146</f>
        <v>1.7213480000000001</v>
      </c>
      <c r="C1146">
        <f>ObesityDataSet_raw_and_data_sin!D1146</f>
        <v>83.986714000000006</v>
      </c>
      <c r="D1146" t="str">
        <f>ObesityDataSet_raw_and_data_sin!Q1146</f>
        <v>Overweight_Level_II</v>
      </c>
      <c r="E1146" t="b">
        <f t="shared" si="69"/>
        <v>0</v>
      </c>
      <c r="F1146">
        <f>C1146/(B1146*B1146)</f>
        <v>28.344789178533883</v>
      </c>
      <c r="G1146" t="str">
        <f t="shared" si="70"/>
        <v>Overweight</v>
      </c>
      <c r="H1146" t="str">
        <f t="shared" si="71"/>
        <v>OK</v>
      </c>
      <c r="I1146" t="str">
        <f t="shared" si="68"/>
        <v>OK</v>
      </c>
    </row>
    <row r="1147" spans="1:9" x14ac:dyDescent="0.2">
      <c r="A1147" t="str">
        <f>ObesityDataSet_raw_and_data_sin!A1147</f>
        <v>Female</v>
      </c>
      <c r="B1147">
        <f>ObesityDataSet_raw_and_data_sin!C1147</f>
        <v>1.7</v>
      </c>
      <c r="C1147">
        <f>ObesityDataSet_raw_and_data_sin!D1147</f>
        <v>78.008387999999997</v>
      </c>
      <c r="D1147" t="str">
        <f>ObesityDataSet_raw_and_data_sin!Q1147</f>
        <v>Overweight_Level_II</v>
      </c>
      <c r="E1147" t="b">
        <f t="shared" si="69"/>
        <v>0</v>
      </c>
      <c r="F1147">
        <f>C1147/(B1147*B1147)</f>
        <v>26.992521799307962</v>
      </c>
      <c r="G1147" t="str">
        <f t="shared" si="70"/>
        <v>Overweight</v>
      </c>
      <c r="H1147" t="str">
        <f t="shared" si="71"/>
        <v>OK</v>
      </c>
      <c r="I1147" t="str">
        <f t="shared" si="68"/>
        <v>OK</v>
      </c>
    </row>
    <row r="1148" spans="1:9" x14ac:dyDescent="0.2">
      <c r="A1148" t="str">
        <f>ObesityDataSet_raw_and_data_sin!A1148</f>
        <v>Male</v>
      </c>
      <c r="B1148">
        <f>ObesityDataSet_raw_and_data_sin!C1148</f>
        <v>1.803129</v>
      </c>
      <c r="C1148">
        <f>ObesityDataSet_raw_and_data_sin!D1148</f>
        <v>91.052215000000004</v>
      </c>
      <c r="D1148" t="str">
        <f>ObesityDataSet_raw_and_data_sin!Q1148</f>
        <v>Overweight_Level_II</v>
      </c>
      <c r="E1148" t="b">
        <f t="shared" si="69"/>
        <v>0</v>
      </c>
      <c r="F1148">
        <f>C1148/(B1148*B1148)</f>
        <v>28.005086517187511</v>
      </c>
      <c r="G1148" t="str">
        <f t="shared" si="70"/>
        <v>Overweight</v>
      </c>
      <c r="H1148" t="str">
        <f t="shared" si="71"/>
        <v>OK</v>
      </c>
      <c r="I1148" t="str">
        <f t="shared" si="68"/>
        <v>OK</v>
      </c>
    </row>
    <row r="1149" spans="1:9" x14ac:dyDescent="0.2">
      <c r="A1149" t="str">
        <f>ObesityDataSet_raw_and_data_sin!A1149</f>
        <v>Female</v>
      </c>
      <c r="B1149">
        <f>ObesityDataSet_raw_and_data_sin!C1149</f>
        <v>1.7000200000000001</v>
      </c>
      <c r="C1149">
        <f>ObesityDataSet_raw_and_data_sin!D1149</f>
        <v>80.420434</v>
      </c>
      <c r="D1149" t="str">
        <f>ObesityDataSet_raw_and_data_sin!Q1149</f>
        <v>Overweight_Level_II</v>
      </c>
      <c r="E1149" t="b">
        <f t="shared" si="69"/>
        <v>0</v>
      </c>
      <c r="F1149">
        <f>C1149/(B1149*B1149)</f>
        <v>27.826485047711472</v>
      </c>
      <c r="G1149" t="str">
        <f t="shared" si="70"/>
        <v>Overweight</v>
      </c>
      <c r="H1149" t="str">
        <f t="shared" si="71"/>
        <v>OK</v>
      </c>
      <c r="I1149" t="str">
        <f t="shared" si="68"/>
        <v>OK</v>
      </c>
    </row>
    <row r="1150" spans="1:9" x14ac:dyDescent="0.2">
      <c r="A1150" t="str">
        <f>ObesityDataSet_raw_and_data_sin!A1150</f>
        <v>Female</v>
      </c>
      <c r="B1150">
        <f>ObesityDataSet_raw_and_data_sin!C1150</f>
        <v>1.7</v>
      </c>
      <c r="C1150">
        <f>ObesityDataSet_raw_and_data_sin!D1150</f>
        <v>78.041337999999996</v>
      </c>
      <c r="D1150" t="str">
        <f>ObesityDataSet_raw_and_data_sin!Q1150</f>
        <v>Overweight_Level_II</v>
      </c>
      <c r="E1150" t="b">
        <f t="shared" si="69"/>
        <v>0</v>
      </c>
      <c r="F1150">
        <f>C1150/(B1150*B1150)</f>
        <v>27.003923183391006</v>
      </c>
      <c r="G1150" t="str">
        <f t="shared" si="70"/>
        <v>Overweight</v>
      </c>
      <c r="H1150" t="str">
        <f t="shared" si="71"/>
        <v>OK</v>
      </c>
      <c r="I1150" t="str">
        <f t="shared" si="68"/>
        <v>OK</v>
      </c>
    </row>
    <row r="1151" spans="1:9" x14ac:dyDescent="0.2">
      <c r="A1151" t="str">
        <f>ObesityDataSet_raw_and_data_sin!A1151</f>
        <v>Male</v>
      </c>
      <c r="B1151">
        <f>ObesityDataSet_raw_and_data_sin!C1151</f>
        <v>1.7135990000000001</v>
      </c>
      <c r="C1151">
        <f>ObesityDataSet_raw_and_data_sin!D1151</f>
        <v>83.285753</v>
      </c>
      <c r="D1151" t="str">
        <f>ObesityDataSet_raw_and_data_sin!Q1151</f>
        <v>Overweight_Level_II</v>
      </c>
      <c r="E1151" t="b">
        <f t="shared" si="69"/>
        <v>0</v>
      </c>
      <c r="F1151">
        <f>C1151/(B1151*B1151)</f>
        <v>28.363009898158321</v>
      </c>
      <c r="G1151" t="str">
        <f t="shared" si="70"/>
        <v>Overweight</v>
      </c>
      <c r="H1151" t="str">
        <f t="shared" si="71"/>
        <v>OK</v>
      </c>
      <c r="I1151" t="str">
        <f t="shared" si="68"/>
        <v>OK</v>
      </c>
    </row>
    <row r="1152" spans="1:9" x14ac:dyDescent="0.2">
      <c r="A1152" t="str">
        <f>ObesityDataSet_raw_and_data_sin!A1152</f>
        <v>Male</v>
      </c>
      <c r="B1152">
        <f>ObesityDataSet_raw_and_data_sin!C1152</f>
        <v>1.662728</v>
      </c>
      <c r="C1152">
        <f>ObesityDataSet_raw_and_data_sin!D1152</f>
        <v>77.473203999999996</v>
      </c>
      <c r="D1152" t="str">
        <f>ObesityDataSet_raw_and_data_sin!Q1152</f>
        <v>Overweight_Level_II</v>
      </c>
      <c r="E1152" t="b">
        <f t="shared" si="69"/>
        <v>0</v>
      </c>
      <c r="F1152">
        <f>C1152/(B1152*B1152)</f>
        <v>28.02264316218745</v>
      </c>
      <c r="G1152" t="str">
        <f t="shared" si="70"/>
        <v>Overweight</v>
      </c>
      <c r="H1152" t="str">
        <f t="shared" si="71"/>
        <v>OK</v>
      </c>
      <c r="I1152" t="str">
        <f t="shared" si="68"/>
        <v>OK</v>
      </c>
    </row>
    <row r="1153" spans="1:9" x14ac:dyDescent="0.2">
      <c r="A1153" t="str">
        <f>ObesityDataSet_raw_and_data_sin!A1153</f>
        <v>Male</v>
      </c>
      <c r="B1153">
        <f>ObesityDataSet_raw_and_data_sin!C1153</f>
        <v>1.837399</v>
      </c>
      <c r="C1153">
        <f>ObesityDataSet_raw_and_data_sin!D1153</f>
        <v>95.952027000000001</v>
      </c>
      <c r="D1153" t="str">
        <f>ObesityDataSet_raw_and_data_sin!Q1153</f>
        <v>Overweight_Level_II</v>
      </c>
      <c r="E1153" t="b">
        <f t="shared" si="69"/>
        <v>0</v>
      </c>
      <c r="F1153">
        <f>C1153/(B1153*B1153)</f>
        <v>28.421513573899151</v>
      </c>
      <c r="G1153" t="str">
        <f t="shared" si="70"/>
        <v>Overweight</v>
      </c>
      <c r="H1153" t="str">
        <f t="shared" si="71"/>
        <v>OK</v>
      </c>
      <c r="I1153" t="str">
        <f t="shared" si="68"/>
        <v>OK</v>
      </c>
    </row>
    <row r="1154" spans="1:9" x14ac:dyDescent="0.2">
      <c r="A1154" t="str">
        <f>ObesityDataSet_raw_and_data_sin!A1154</f>
        <v>Male</v>
      </c>
      <c r="B1154">
        <f>ObesityDataSet_raw_and_data_sin!C1154</f>
        <v>1.80827</v>
      </c>
      <c r="C1154">
        <f>ObesityDataSet_raw_and_data_sin!D1154</f>
        <v>91.363292999999999</v>
      </c>
      <c r="D1154" t="str">
        <f>ObesityDataSet_raw_and_data_sin!Q1154</f>
        <v>Overweight_Level_II</v>
      </c>
      <c r="E1154" t="b">
        <f t="shared" si="69"/>
        <v>0</v>
      </c>
      <c r="F1154">
        <f>C1154/(B1154*B1154)</f>
        <v>27.941208750856031</v>
      </c>
      <c r="G1154" t="str">
        <f t="shared" si="70"/>
        <v>Overweight</v>
      </c>
      <c r="H1154" t="str">
        <f t="shared" si="71"/>
        <v>OK</v>
      </c>
      <c r="I1154" t="str">
        <f t="shared" ref="I1154:I1217" si="72">IF(AND(LEFT(D1154,10)="Overweight",G1154&lt;&gt;"Overweight"),"ERROR","OK")</f>
        <v>OK</v>
      </c>
    </row>
    <row r="1155" spans="1:9" x14ac:dyDescent="0.2">
      <c r="A1155" t="str">
        <f>ObesityDataSet_raw_and_data_sin!A1155</f>
        <v>Male</v>
      </c>
      <c r="B1155">
        <f>ObesityDataSet_raw_and_data_sin!C1155</f>
        <v>1.7145079999999999</v>
      </c>
      <c r="C1155">
        <f>ObesityDataSet_raw_and_data_sin!D1155</f>
        <v>85.137112999999999</v>
      </c>
      <c r="D1155" t="str">
        <f>ObesityDataSet_raw_and_data_sin!Q1155</f>
        <v>Overweight_Level_II</v>
      </c>
      <c r="E1155" t="b">
        <f t="shared" ref="E1155:E1218" si="73">IF(AND(A1155="Female", B1155&lt;1.5), TRUE, IF(AND(A1155="Male",B1155&lt;1.6),TRUE, FALSE))</f>
        <v>0</v>
      </c>
      <c r="F1155">
        <f>C1155/(B1155*B1155)</f>
        <v>28.96275612300397</v>
      </c>
      <c r="G1155" t="str">
        <f t="shared" ref="G1155:G1218" si="74">IF(E1155=TRUE,IF(F1155&lt;23,"Normal",IF(F1155&lt;25,"Overweight","Obese")),IF(F1155&lt;25,"Normal",IF(F1155&lt;30,"Overweight","Obese")))</f>
        <v>Overweight</v>
      </c>
      <c r="H1155" t="str">
        <f t="shared" ref="H1155:H1218" si="75">IF(AND(D1155="Normal_Weight",G1155&lt;&gt;"Normal"),"ERROR","OK")</f>
        <v>OK</v>
      </c>
      <c r="I1155" t="str">
        <f t="shared" si="72"/>
        <v>OK</v>
      </c>
    </row>
    <row r="1156" spans="1:9" x14ac:dyDescent="0.2">
      <c r="A1156" t="str">
        <f>ObesityDataSet_raw_and_data_sin!A1156</f>
        <v>Male</v>
      </c>
      <c r="B1156">
        <f>ObesityDataSet_raw_and_data_sin!C1156</f>
        <v>1.7934509999999999</v>
      </c>
      <c r="C1156">
        <f>ObesityDataSet_raw_and_data_sin!D1156</f>
        <v>89.909259000000006</v>
      </c>
      <c r="D1156" t="str">
        <f>ObesityDataSet_raw_and_data_sin!Q1156</f>
        <v>Overweight_Level_II</v>
      </c>
      <c r="E1156" t="b">
        <f t="shared" si="73"/>
        <v>0</v>
      </c>
      <c r="F1156">
        <f>C1156/(B1156*B1156)</f>
        <v>27.952804512738368</v>
      </c>
      <c r="G1156" t="str">
        <f t="shared" si="74"/>
        <v>Overweight</v>
      </c>
      <c r="H1156" t="str">
        <f t="shared" si="75"/>
        <v>OK</v>
      </c>
      <c r="I1156" t="str">
        <f t="shared" si="72"/>
        <v>OK</v>
      </c>
    </row>
    <row r="1157" spans="1:9" x14ac:dyDescent="0.2">
      <c r="A1157" t="str">
        <f>ObesityDataSet_raw_and_data_sin!A1157</f>
        <v>Female</v>
      </c>
      <c r="B1157">
        <f>ObesityDataSet_raw_and_data_sin!C1157</f>
        <v>1.700499</v>
      </c>
      <c r="C1157">
        <f>ObesityDataSet_raw_and_data_sin!D1157</f>
        <v>81.108598999999998</v>
      </c>
      <c r="D1157" t="str">
        <f>ObesityDataSet_raw_and_data_sin!Q1157</f>
        <v>Overweight_Level_II</v>
      </c>
      <c r="E1157" t="b">
        <f t="shared" si="73"/>
        <v>0</v>
      </c>
      <c r="F1157">
        <f>C1157/(B1157*B1157)</f>
        <v>28.048790462949373</v>
      </c>
      <c r="G1157" t="str">
        <f t="shared" si="74"/>
        <v>Overweight</v>
      </c>
      <c r="H1157" t="str">
        <f t="shared" si="75"/>
        <v>OK</v>
      </c>
      <c r="I1157" t="str">
        <f t="shared" si="72"/>
        <v>OK</v>
      </c>
    </row>
    <row r="1158" spans="1:9" x14ac:dyDescent="0.2">
      <c r="A1158" t="str">
        <f>ObesityDataSet_raw_and_data_sin!A1158</f>
        <v>Male</v>
      </c>
      <c r="B1158">
        <f>ObesityDataSet_raw_and_data_sin!C1158</f>
        <v>1.6949970000000001</v>
      </c>
      <c r="C1158">
        <f>ObesityDataSet_raw_and_data_sin!D1158</f>
        <v>84.451423000000005</v>
      </c>
      <c r="D1158" t="str">
        <f>ObesityDataSet_raw_and_data_sin!Q1158</f>
        <v>Overweight_Level_II</v>
      </c>
      <c r="E1158" t="b">
        <f t="shared" si="73"/>
        <v>0</v>
      </c>
      <c r="F1158">
        <f>C1158/(B1158*B1158)</f>
        <v>29.394704864692763</v>
      </c>
      <c r="G1158" t="str">
        <f t="shared" si="74"/>
        <v>Overweight</v>
      </c>
      <c r="H1158" t="str">
        <f t="shared" si="75"/>
        <v>OK</v>
      </c>
      <c r="I1158" t="str">
        <f t="shared" si="72"/>
        <v>OK</v>
      </c>
    </row>
    <row r="1159" spans="1:9" x14ac:dyDescent="0.2">
      <c r="A1159" t="str">
        <f>ObesityDataSet_raw_and_data_sin!A1159</f>
        <v>Female</v>
      </c>
      <c r="B1159">
        <f>ObesityDataSet_raw_and_data_sin!C1159</f>
        <v>1.6889110000000001</v>
      </c>
      <c r="C1159">
        <f>ObesityDataSet_raw_and_data_sin!D1159</f>
        <v>78.434492000000006</v>
      </c>
      <c r="D1159" t="str">
        <f>ObesityDataSet_raw_and_data_sin!Q1159</f>
        <v>Overweight_Level_II</v>
      </c>
      <c r="E1159" t="b">
        <f t="shared" si="73"/>
        <v>0</v>
      </c>
      <c r="F1159">
        <f>C1159/(B1159*B1159)</f>
        <v>27.497522082329819</v>
      </c>
      <c r="G1159" t="str">
        <f t="shared" si="74"/>
        <v>Overweight</v>
      </c>
      <c r="H1159" t="str">
        <f t="shared" si="75"/>
        <v>OK</v>
      </c>
      <c r="I1159" t="str">
        <f t="shared" si="72"/>
        <v>OK</v>
      </c>
    </row>
    <row r="1160" spans="1:9" x14ac:dyDescent="0.2">
      <c r="A1160" t="str">
        <f>ObesityDataSet_raw_and_data_sin!A1160</f>
        <v>Male</v>
      </c>
      <c r="B1160">
        <f>ObesityDataSet_raw_and_data_sin!C1160</f>
        <v>1.673394</v>
      </c>
      <c r="C1160">
        <f>ObesityDataSet_raw_and_data_sin!D1160</f>
        <v>80.400306</v>
      </c>
      <c r="D1160" t="str">
        <f>ObesityDataSet_raw_and_data_sin!Q1160</f>
        <v>Overweight_Level_II</v>
      </c>
      <c r="E1160" t="b">
        <f t="shared" si="73"/>
        <v>0</v>
      </c>
      <c r="F1160">
        <f>C1160/(B1160*B1160)</f>
        <v>28.7118572898192</v>
      </c>
      <c r="G1160" t="str">
        <f t="shared" si="74"/>
        <v>Overweight</v>
      </c>
      <c r="H1160" t="str">
        <f t="shared" si="75"/>
        <v>OK</v>
      </c>
      <c r="I1160" t="str">
        <f t="shared" si="72"/>
        <v>OK</v>
      </c>
    </row>
    <row r="1161" spans="1:9" x14ac:dyDescent="0.2">
      <c r="A1161" t="str">
        <f>ObesityDataSet_raw_and_data_sin!A1161</f>
        <v>Male</v>
      </c>
      <c r="B1161">
        <f>ObesityDataSet_raw_and_data_sin!C1161</f>
        <v>1.7694989999999999</v>
      </c>
      <c r="C1161">
        <f>ObesityDataSet_raw_and_data_sin!D1161</f>
        <v>85</v>
      </c>
      <c r="D1161" t="str">
        <f>ObesityDataSet_raw_and_data_sin!Q1161</f>
        <v>Overweight_Level_II</v>
      </c>
      <c r="E1161" t="b">
        <f t="shared" si="73"/>
        <v>0</v>
      </c>
      <c r="F1161">
        <f>C1161/(B1161*B1161)</f>
        <v>27.146777452780274</v>
      </c>
      <c r="G1161" t="str">
        <f t="shared" si="74"/>
        <v>Overweight</v>
      </c>
      <c r="H1161" t="str">
        <f t="shared" si="75"/>
        <v>OK</v>
      </c>
      <c r="I1161" t="str">
        <f t="shared" si="72"/>
        <v>OK</v>
      </c>
    </row>
    <row r="1162" spans="1:9" x14ac:dyDescent="0.2">
      <c r="A1162" t="str">
        <f>ObesityDataSet_raw_and_data_sin!A1162</f>
        <v>Male</v>
      </c>
      <c r="B1162">
        <f>ObesityDataSet_raw_and_data_sin!C1162</f>
        <v>1.65</v>
      </c>
      <c r="C1162">
        <f>ObesityDataSet_raw_and_data_sin!D1162</f>
        <v>80</v>
      </c>
      <c r="D1162" t="str">
        <f>ObesityDataSet_raw_and_data_sin!Q1162</f>
        <v>Overweight_Level_II</v>
      </c>
      <c r="E1162" t="b">
        <f t="shared" si="73"/>
        <v>0</v>
      </c>
      <c r="F1162">
        <f>C1162/(B1162*B1162)</f>
        <v>29.384756657483933</v>
      </c>
      <c r="G1162" t="str">
        <f t="shared" si="74"/>
        <v>Overweight</v>
      </c>
      <c r="H1162" t="str">
        <f t="shared" si="75"/>
        <v>OK</v>
      </c>
      <c r="I1162" t="str">
        <f t="shared" si="72"/>
        <v>OK</v>
      </c>
    </row>
    <row r="1163" spans="1:9" x14ac:dyDescent="0.2">
      <c r="A1163" t="str">
        <f>ObesityDataSet_raw_and_data_sin!A1163</f>
        <v>Male</v>
      </c>
      <c r="B1163">
        <f>ObesityDataSet_raw_and_data_sin!C1163</f>
        <v>1.662669</v>
      </c>
      <c r="C1163">
        <f>ObesityDataSet_raw_and_data_sin!D1163</f>
        <v>79.863545999999999</v>
      </c>
      <c r="D1163" t="str">
        <f>ObesityDataSet_raw_and_data_sin!Q1163</f>
        <v>Overweight_Level_II</v>
      </c>
      <c r="E1163" t="b">
        <f t="shared" si="73"/>
        <v>0</v>
      </c>
      <c r="F1163">
        <f>C1163/(B1163*B1163)</f>
        <v>28.889298092531941</v>
      </c>
      <c r="G1163" t="str">
        <f t="shared" si="74"/>
        <v>Overweight</v>
      </c>
      <c r="H1163" t="str">
        <f t="shared" si="75"/>
        <v>OK</v>
      </c>
      <c r="I1163" t="str">
        <f t="shared" si="72"/>
        <v>OK</v>
      </c>
    </row>
    <row r="1164" spans="1:9" x14ac:dyDescent="0.2">
      <c r="A1164" t="str">
        <f>ObesityDataSet_raw_and_data_sin!A1164</f>
        <v>Female</v>
      </c>
      <c r="B1164">
        <f>ObesityDataSet_raw_and_data_sin!C1164</f>
        <v>1.6786099999999999</v>
      </c>
      <c r="C1164">
        <f>ObesityDataSet_raw_and_data_sin!D1164</f>
        <v>79.849252000000007</v>
      </c>
      <c r="D1164" t="str">
        <f>ObesityDataSet_raw_and_data_sin!Q1164</f>
        <v>Overweight_Level_II</v>
      </c>
      <c r="E1164" t="b">
        <f t="shared" si="73"/>
        <v>0</v>
      </c>
      <c r="F1164">
        <f>C1164/(B1164*B1164)</f>
        <v>28.338133385081555</v>
      </c>
      <c r="G1164" t="str">
        <f t="shared" si="74"/>
        <v>Overweight</v>
      </c>
      <c r="H1164" t="str">
        <f t="shared" si="75"/>
        <v>OK</v>
      </c>
      <c r="I1164" t="str">
        <f t="shared" si="72"/>
        <v>OK</v>
      </c>
    </row>
    <row r="1165" spans="1:9" x14ac:dyDescent="0.2">
      <c r="A1165" t="str">
        <f>ObesityDataSet_raw_and_data_sin!A1165</f>
        <v>Male</v>
      </c>
      <c r="B1165">
        <f>ObesityDataSet_raw_and_data_sin!C1165</f>
        <v>1.694423</v>
      </c>
      <c r="C1165">
        <f>ObesityDataSet_raw_and_data_sin!D1165</f>
        <v>80.311273</v>
      </c>
      <c r="D1165" t="str">
        <f>ObesityDataSet_raw_and_data_sin!Q1165</f>
        <v>Overweight_Level_II</v>
      </c>
      <c r="E1165" t="b">
        <f t="shared" si="73"/>
        <v>0</v>
      </c>
      <c r="F1165">
        <f>C1165/(B1165*B1165)</f>
        <v>27.972599936221762</v>
      </c>
      <c r="G1165" t="str">
        <f t="shared" si="74"/>
        <v>Overweight</v>
      </c>
      <c r="H1165" t="str">
        <f t="shared" si="75"/>
        <v>OK</v>
      </c>
      <c r="I1165" t="str">
        <f t="shared" si="72"/>
        <v>OK</v>
      </c>
    </row>
    <row r="1166" spans="1:9" x14ac:dyDescent="0.2">
      <c r="A1166" t="str">
        <f>ObesityDataSet_raw_and_data_sin!A1166</f>
        <v>Female</v>
      </c>
      <c r="B1166">
        <f>ObesityDataSet_raw_and_data_sin!C1166</f>
        <v>1.5054369999999999</v>
      </c>
      <c r="C1166">
        <f>ObesityDataSet_raw_and_data_sin!D1166</f>
        <v>63.892071000000001</v>
      </c>
      <c r="D1166" t="str">
        <f>ObesityDataSet_raw_and_data_sin!Q1166</f>
        <v>Overweight_Level_II</v>
      </c>
      <c r="E1166" t="b">
        <f t="shared" si="73"/>
        <v>0</v>
      </c>
      <c r="F1166">
        <f>C1166/(B1166*B1166)</f>
        <v>28.191734331702655</v>
      </c>
      <c r="G1166" t="str">
        <f t="shared" si="74"/>
        <v>Overweight</v>
      </c>
      <c r="H1166" t="str">
        <f t="shared" si="75"/>
        <v>OK</v>
      </c>
      <c r="I1166" t="str">
        <f t="shared" si="72"/>
        <v>OK</v>
      </c>
    </row>
    <row r="1167" spans="1:9" x14ac:dyDescent="0.2">
      <c r="A1167" t="str">
        <f>ObesityDataSet_raw_and_data_sin!A1167</f>
        <v>Female</v>
      </c>
      <c r="B1167">
        <f>ObesityDataSet_raw_and_data_sin!C1167</f>
        <v>1.505387</v>
      </c>
      <c r="C1167">
        <f>ObesityDataSet_raw_and_data_sin!D1167</f>
        <v>63.715218999999998</v>
      </c>
      <c r="D1167" t="str">
        <f>ObesityDataSet_raw_and_data_sin!Q1167</f>
        <v>Overweight_Level_II</v>
      </c>
      <c r="E1167" t="b">
        <f t="shared" si="73"/>
        <v>0</v>
      </c>
      <c r="F1167">
        <f>C1167/(B1167*B1167)</f>
        <v>28.115567734472101</v>
      </c>
      <c r="G1167" t="str">
        <f t="shared" si="74"/>
        <v>Overweight</v>
      </c>
      <c r="H1167" t="str">
        <f t="shared" si="75"/>
        <v>OK</v>
      </c>
      <c r="I1167" t="str">
        <f t="shared" si="72"/>
        <v>OK</v>
      </c>
    </row>
    <row r="1168" spans="1:9" x14ac:dyDescent="0.2">
      <c r="A1168" t="str">
        <f>ObesityDataSet_raw_and_data_sin!A1168</f>
        <v>Female</v>
      </c>
      <c r="B1168">
        <f>ObesityDataSet_raw_and_data_sin!C1168</f>
        <v>1.491441</v>
      </c>
      <c r="C1168">
        <f>ObesityDataSet_raw_and_data_sin!D1168</f>
        <v>62.269911999999998</v>
      </c>
      <c r="D1168" t="str">
        <f>ObesityDataSet_raw_and_data_sin!Q1168</f>
        <v>Overweight_Level_II</v>
      </c>
      <c r="E1168" t="b">
        <f t="shared" si="73"/>
        <v>1</v>
      </c>
      <c r="F1168">
        <f>C1168/(B1168*B1168)</f>
        <v>27.994073366456362</v>
      </c>
      <c r="G1168" t="str">
        <f t="shared" si="74"/>
        <v>Obese</v>
      </c>
      <c r="H1168" t="str">
        <f t="shared" si="75"/>
        <v>OK</v>
      </c>
      <c r="I1168" t="str">
        <f t="shared" si="72"/>
        <v>ERROR</v>
      </c>
    </row>
    <row r="1169" spans="1:9" x14ac:dyDescent="0.2">
      <c r="A1169" t="str">
        <f>ObesityDataSet_raw_and_data_sin!A1169</f>
        <v>Female</v>
      </c>
      <c r="B1169">
        <f>ObesityDataSet_raw_and_data_sin!C1169</f>
        <v>1.5094080000000001</v>
      </c>
      <c r="C1169">
        <f>ObesityDataSet_raw_and_data_sin!D1169</f>
        <v>64.852952999999999</v>
      </c>
      <c r="D1169" t="str">
        <f>ObesityDataSet_raw_and_data_sin!Q1169</f>
        <v>Overweight_Level_II</v>
      </c>
      <c r="E1169" t="b">
        <f t="shared" si="73"/>
        <v>0</v>
      </c>
      <c r="F1169">
        <f>C1169/(B1169*B1169)</f>
        <v>28.465345602123772</v>
      </c>
      <c r="G1169" t="str">
        <f t="shared" si="74"/>
        <v>Overweight</v>
      </c>
      <c r="H1169" t="str">
        <f t="shared" si="75"/>
        <v>OK</v>
      </c>
      <c r="I1169" t="str">
        <f t="shared" si="72"/>
        <v>OK</v>
      </c>
    </row>
    <row r="1170" spans="1:9" x14ac:dyDescent="0.2">
      <c r="A1170" t="str">
        <f>ObesityDataSet_raw_and_data_sin!A1170</f>
        <v>Male</v>
      </c>
      <c r="B1170">
        <f>ObesityDataSet_raw_and_data_sin!C1170</f>
        <v>1.6850449999999999</v>
      </c>
      <c r="C1170">
        <f>ObesityDataSet_raw_and_data_sin!D1170</f>
        <v>81.022119000000004</v>
      </c>
      <c r="D1170" t="str">
        <f>ObesityDataSet_raw_and_data_sin!Q1170</f>
        <v>Overweight_Level_II</v>
      </c>
      <c r="E1170" t="b">
        <f t="shared" si="73"/>
        <v>0</v>
      </c>
      <c r="F1170">
        <f>C1170/(B1170*B1170)</f>
        <v>28.535178290705556</v>
      </c>
      <c r="G1170" t="str">
        <f t="shared" si="74"/>
        <v>Overweight</v>
      </c>
      <c r="H1170" t="str">
        <f t="shared" si="75"/>
        <v>OK</v>
      </c>
      <c r="I1170" t="str">
        <f t="shared" si="72"/>
        <v>OK</v>
      </c>
    </row>
    <row r="1171" spans="1:9" x14ac:dyDescent="0.2">
      <c r="A1171" t="str">
        <f>ObesityDataSet_raw_and_data_sin!A1171</f>
        <v>Male</v>
      </c>
      <c r="B1171">
        <f>ObesityDataSet_raw_and_data_sin!C1171</f>
        <v>1.7230719999999999</v>
      </c>
      <c r="C1171">
        <f>ObesityDataSet_raw_and_data_sin!D1171</f>
        <v>82.338464000000002</v>
      </c>
      <c r="D1171" t="str">
        <f>ObesityDataSet_raw_and_data_sin!Q1171</f>
        <v>Overweight_Level_II</v>
      </c>
      <c r="E1171" t="b">
        <f t="shared" si="73"/>
        <v>0</v>
      </c>
      <c r="F1171">
        <f>C1171/(B1171*B1171)</f>
        <v>27.732939915042515</v>
      </c>
      <c r="G1171" t="str">
        <f t="shared" si="74"/>
        <v>Overweight</v>
      </c>
      <c r="H1171" t="str">
        <f t="shared" si="75"/>
        <v>OK</v>
      </c>
      <c r="I1171" t="str">
        <f t="shared" si="72"/>
        <v>OK</v>
      </c>
    </row>
    <row r="1172" spans="1:9" x14ac:dyDescent="0.2">
      <c r="A1172" t="str">
        <f>ObesityDataSet_raw_and_data_sin!A1172</f>
        <v>Female</v>
      </c>
      <c r="B1172">
        <f>ObesityDataSet_raw_and_data_sin!C1172</f>
        <v>1.6969540000000001</v>
      </c>
      <c r="C1172">
        <f>ObesityDataSet_raw_and_data_sin!D1172</f>
        <v>78.156035000000003</v>
      </c>
      <c r="D1172" t="str">
        <f>ObesityDataSet_raw_and_data_sin!Q1172</f>
        <v>Overweight_Level_II</v>
      </c>
      <c r="E1172" t="b">
        <f t="shared" si="73"/>
        <v>0</v>
      </c>
      <c r="F1172">
        <f>C1172/(B1172*B1172)</f>
        <v>27.140783388841374</v>
      </c>
      <c r="G1172" t="str">
        <f t="shared" si="74"/>
        <v>Overweight</v>
      </c>
      <c r="H1172" t="str">
        <f t="shared" si="75"/>
        <v>OK</v>
      </c>
      <c r="I1172" t="str">
        <f t="shared" si="72"/>
        <v>OK</v>
      </c>
    </row>
    <row r="1173" spans="1:9" x14ac:dyDescent="0.2">
      <c r="A1173" t="str">
        <f>ObesityDataSet_raw_and_data_sin!A1173</f>
        <v>Female</v>
      </c>
      <c r="B1173">
        <f>ObesityDataSet_raw_and_data_sin!C1173</f>
        <v>1.6760949999999999</v>
      </c>
      <c r="C1173">
        <f>ObesityDataSet_raw_and_data_sin!D1173</f>
        <v>79.079738000000006</v>
      </c>
      <c r="D1173" t="str">
        <f>ObesityDataSet_raw_and_data_sin!Q1173</f>
        <v>Overweight_Level_II</v>
      </c>
      <c r="E1173" t="b">
        <f t="shared" si="73"/>
        <v>0</v>
      </c>
      <c r="F1173">
        <f>C1173/(B1173*B1173)</f>
        <v>28.149323410169981</v>
      </c>
      <c r="G1173" t="str">
        <f t="shared" si="74"/>
        <v>Overweight</v>
      </c>
      <c r="H1173" t="str">
        <f t="shared" si="75"/>
        <v>OK</v>
      </c>
      <c r="I1173" t="str">
        <f t="shared" si="72"/>
        <v>OK</v>
      </c>
    </row>
    <row r="1174" spans="1:9" x14ac:dyDescent="0.2">
      <c r="A1174" t="str">
        <f>ObesityDataSet_raw_and_data_sin!A1174</f>
        <v>Female</v>
      </c>
      <c r="B1174">
        <f>ObesityDataSet_raw_and_data_sin!C1174</f>
        <v>1.6810210000000001</v>
      </c>
      <c r="C1174">
        <f>ObesityDataSet_raw_and_data_sin!D1174</f>
        <v>77.392178999999999</v>
      </c>
      <c r="D1174" t="str">
        <f>ObesityDataSet_raw_and_data_sin!Q1174</f>
        <v>Overweight_Level_II</v>
      </c>
      <c r="E1174" t="b">
        <f t="shared" si="73"/>
        <v>0</v>
      </c>
      <c r="F1174">
        <f>C1174/(B1174*B1174)</f>
        <v>27.387399494416918</v>
      </c>
      <c r="G1174" t="str">
        <f t="shared" si="74"/>
        <v>Overweight</v>
      </c>
      <c r="H1174" t="str">
        <f t="shared" si="75"/>
        <v>OK</v>
      </c>
      <c r="I1174" t="str">
        <f t="shared" si="72"/>
        <v>OK</v>
      </c>
    </row>
    <row r="1175" spans="1:9" x14ac:dyDescent="0.2">
      <c r="A1175" t="str">
        <f>ObesityDataSet_raw_and_data_sin!A1175</f>
        <v>Female</v>
      </c>
      <c r="B1175">
        <f>ObesityDataSet_raw_and_data_sin!C1175</f>
        <v>1.654067</v>
      </c>
      <c r="C1175">
        <f>ObesityDataSet_raw_and_data_sin!D1175</f>
        <v>79.697277999999997</v>
      </c>
      <c r="D1175" t="str">
        <f>ObesityDataSet_raw_and_data_sin!Q1175</f>
        <v>Overweight_Level_II</v>
      </c>
      <c r="E1175" t="b">
        <f t="shared" si="73"/>
        <v>0</v>
      </c>
      <c r="F1175">
        <f>C1175/(B1175*B1175)</f>
        <v>29.12978600848356</v>
      </c>
      <c r="G1175" t="str">
        <f t="shared" si="74"/>
        <v>Overweight</v>
      </c>
      <c r="H1175" t="str">
        <f t="shared" si="75"/>
        <v>OK</v>
      </c>
      <c r="I1175" t="str">
        <f t="shared" si="72"/>
        <v>OK</v>
      </c>
    </row>
    <row r="1176" spans="1:9" x14ac:dyDescent="0.2">
      <c r="A1176" t="str">
        <f>ObesityDataSet_raw_and_data_sin!A1176</f>
        <v>Male</v>
      </c>
      <c r="B1176">
        <f>ObesityDataSet_raw_and_data_sin!C1176</f>
        <v>1.840708</v>
      </c>
      <c r="C1176">
        <f>ObesityDataSet_raw_and_data_sin!D1176</f>
        <v>98.259422999999998</v>
      </c>
      <c r="D1176" t="str">
        <f>ObesityDataSet_raw_and_data_sin!Q1176</f>
        <v>Overweight_Level_II</v>
      </c>
      <c r="E1176" t="b">
        <f t="shared" si="73"/>
        <v>0</v>
      </c>
      <c r="F1176">
        <f>C1176/(B1176*B1176)</f>
        <v>29.000428162682297</v>
      </c>
      <c r="G1176" t="str">
        <f t="shared" si="74"/>
        <v>Overweight</v>
      </c>
      <c r="H1176" t="str">
        <f t="shared" si="75"/>
        <v>OK</v>
      </c>
      <c r="I1176" t="str">
        <f t="shared" si="72"/>
        <v>OK</v>
      </c>
    </row>
    <row r="1177" spans="1:9" x14ac:dyDescent="0.2">
      <c r="A1177" t="str">
        <f>ObesityDataSet_raw_and_data_sin!A1177</f>
        <v>Male</v>
      </c>
      <c r="B1177">
        <f>ObesityDataSet_raw_and_data_sin!C1177</f>
        <v>1.8360069999999999</v>
      </c>
      <c r="C1177">
        <f>ObesityDataSet_raw_and_data_sin!D1177</f>
        <v>97.416416999999996</v>
      </c>
      <c r="D1177" t="str">
        <f>ObesityDataSet_raw_and_data_sin!Q1177</f>
        <v>Overweight_Level_II</v>
      </c>
      <c r="E1177" t="b">
        <f t="shared" si="73"/>
        <v>0</v>
      </c>
      <c r="F1177">
        <f>C1177/(B1177*B1177)</f>
        <v>28.899044698364776</v>
      </c>
      <c r="G1177" t="str">
        <f t="shared" si="74"/>
        <v>Overweight</v>
      </c>
      <c r="H1177" t="str">
        <f t="shared" si="75"/>
        <v>OK</v>
      </c>
      <c r="I1177" t="str">
        <f t="shared" si="72"/>
        <v>OK</v>
      </c>
    </row>
    <row r="1178" spans="1:9" x14ac:dyDescent="0.2">
      <c r="A1178" t="str">
        <f>ObesityDataSet_raw_and_data_sin!A1178</f>
        <v>Female</v>
      </c>
      <c r="B1178">
        <f>ObesityDataSet_raw_and_data_sin!C1178</f>
        <v>1.556789</v>
      </c>
      <c r="C1178">
        <f>ObesityDataSet_raw_and_data_sin!D1178</f>
        <v>71.788180999999994</v>
      </c>
      <c r="D1178" t="str">
        <f>ObesityDataSet_raw_and_data_sin!Q1178</f>
        <v>Overweight_Level_II</v>
      </c>
      <c r="E1178" t="b">
        <f t="shared" si="73"/>
        <v>0</v>
      </c>
      <c r="F1178">
        <f>C1178/(B1178*B1178)</f>
        <v>29.620571977780664</v>
      </c>
      <c r="G1178" t="str">
        <f t="shared" si="74"/>
        <v>Overweight</v>
      </c>
      <c r="H1178" t="str">
        <f t="shared" si="75"/>
        <v>OK</v>
      </c>
      <c r="I1178" t="str">
        <f t="shared" si="72"/>
        <v>OK</v>
      </c>
    </row>
    <row r="1179" spans="1:9" x14ac:dyDescent="0.2">
      <c r="A1179" t="str">
        <f>ObesityDataSet_raw_and_data_sin!A1179</f>
        <v>Female</v>
      </c>
      <c r="B1179">
        <f>ObesityDataSet_raw_and_data_sin!C1179</f>
        <v>1.5891</v>
      </c>
      <c r="C1179">
        <f>ObesityDataSet_raw_and_data_sin!D1179</f>
        <v>72.713611</v>
      </c>
      <c r="D1179" t="str">
        <f>ObesityDataSet_raw_and_data_sin!Q1179</f>
        <v>Overweight_Level_II</v>
      </c>
      <c r="E1179" t="b">
        <f t="shared" si="73"/>
        <v>0</v>
      </c>
      <c r="F1179">
        <f>C1179/(B1179*B1179)</f>
        <v>28.794746347178151</v>
      </c>
      <c r="G1179" t="str">
        <f t="shared" si="74"/>
        <v>Overweight</v>
      </c>
      <c r="H1179" t="str">
        <f t="shared" si="75"/>
        <v>OK</v>
      </c>
      <c r="I1179" t="str">
        <f t="shared" si="72"/>
        <v>OK</v>
      </c>
    </row>
    <row r="1180" spans="1:9" x14ac:dyDescent="0.2">
      <c r="A1180" t="str">
        <f>ObesityDataSet_raw_and_data_sin!A1180</f>
        <v>Male</v>
      </c>
      <c r="B1180">
        <f>ObesityDataSet_raw_and_data_sin!C1180</f>
        <v>1.7006270000000001</v>
      </c>
      <c r="C1180">
        <f>ObesityDataSet_raw_and_data_sin!D1180</f>
        <v>78.048207000000005</v>
      </c>
      <c r="D1180" t="str">
        <f>ObesityDataSet_raw_and_data_sin!Q1180</f>
        <v>Overweight_Level_II</v>
      </c>
      <c r="E1180" t="b">
        <f t="shared" si="73"/>
        <v>0</v>
      </c>
      <c r="F1180">
        <f>C1180/(B1180*B1180)</f>
        <v>26.986389897883463</v>
      </c>
      <c r="G1180" t="str">
        <f t="shared" si="74"/>
        <v>Overweight</v>
      </c>
      <c r="H1180" t="str">
        <f t="shared" si="75"/>
        <v>OK</v>
      </c>
      <c r="I1180" t="str">
        <f t="shared" si="72"/>
        <v>OK</v>
      </c>
    </row>
    <row r="1181" spans="1:9" x14ac:dyDescent="0.2">
      <c r="A1181" t="str">
        <f>ObesityDataSet_raw_and_data_sin!A1181</f>
        <v>Male</v>
      </c>
      <c r="B1181">
        <f>ObesityDataSet_raw_and_data_sin!C1181</f>
        <v>1.743935</v>
      </c>
      <c r="C1181">
        <f>ObesityDataSet_raw_and_data_sin!D1181</f>
        <v>84.729196999999999</v>
      </c>
      <c r="D1181" t="str">
        <f>ObesityDataSet_raw_and_data_sin!Q1181</f>
        <v>Overweight_Level_II</v>
      </c>
      <c r="E1181" t="b">
        <f t="shared" si="73"/>
        <v>0</v>
      </c>
      <c r="F1181">
        <f>C1181/(B1181*B1181)</f>
        <v>27.859447718613424</v>
      </c>
      <c r="G1181" t="str">
        <f t="shared" si="74"/>
        <v>Overweight</v>
      </c>
      <c r="H1181" t="str">
        <f t="shared" si="75"/>
        <v>OK</v>
      </c>
      <c r="I1181" t="str">
        <f t="shared" si="72"/>
        <v>OK</v>
      </c>
    </row>
    <row r="1182" spans="1:9" x14ac:dyDescent="0.2">
      <c r="A1182" t="str">
        <f>ObesityDataSet_raw_and_data_sin!A1182</f>
        <v>Male</v>
      </c>
      <c r="B1182">
        <f>ObesityDataSet_raw_and_data_sin!C1182</f>
        <v>1.7426539999999999</v>
      </c>
      <c r="C1182">
        <f>ObesityDataSet_raw_and_data_sin!D1182</f>
        <v>85</v>
      </c>
      <c r="D1182" t="str">
        <f>ObesityDataSet_raw_and_data_sin!Q1182</f>
        <v>Overweight_Level_II</v>
      </c>
      <c r="E1182" t="b">
        <f t="shared" si="73"/>
        <v>0</v>
      </c>
      <c r="F1182">
        <f>C1182/(B1182*B1182)</f>
        <v>27.989593474399044</v>
      </c>
      <c r="G1182" t="str">
        <f t="shared" si="74"/>
        <v>Overweight</v>
      </c>
      <c r="H1182" t="str">
        <f t="shared" si="75"/>
        <v>OK</v>
      </c>
      <c r="I1182" t="str">
        <f t="shared" si="72"/>
        <v>OK</v>
      </c>
    </row>
    <row r="1183" spans="1:9" x14ac:dyDescent="0.2">
      <c r="A1183" t="str">
        <f>ObesityDataSet_raw_and_data_sin!A1183</f>
        <v>Male</v>
      </c>
      <c r="B1183">
        <f>ObesityDataSet_raw_and_data_sin!C1183</f>
        <v>1.7544409999999999</v>
      </c>
      <c r="C1183">
        <f>ObesityDataSet_raw_and_data_sin!D1183</f>
        <v>85.002883999999995</v>
      </c>
      <c r="D1183" t="str">
        <f>ObesityDataSet_raw_and_data_sin!Q1183</f>
        <v>Overweight_Level_II</v>
      </c>
      <c r="E1183" t="b">
        <f t="shared" si="73"/>
        <v>0</v>
      </c>
      <c r="F1183">
        <f>C1183/(B1183*B1183)</f>
        <v>27.615704375131529</v>
      </c>
      <c r="G1183" t="str">
        <f t="shared" si="74"/>
        <v>Overweight</v>
      </c>
      <c r="H1183" t="str">
        <f t="shared" si="75"/>
        <v>OK</v>
      </c>
      <c r="I1183" t="str">
        <f t="shared" si="72"/>
        <v>OK</v>
      </c>
    </row>
    <row r="1184" spans="1:9" x14ac:dyDescent="0.2">
      <c r="A1184" t="str">
        <f>ObesityDataSet_raw_and_data_sin!A1184</f>
        <v>Male</v>
      </c>
      <c r="B1184">
        <f>ObesityDataSet_raw_and_data_sin!C1184</f>
        <v>1.7193419999999999</v>
      </c>
      <c r="C1184">
        <f>ObesityDataSet_raw_and_data_sin!D1184</f>
        <v>80.790813</v>
      </c>
      <c r="D1184" t="str">
        <f>ObesityDataSet_raw_and_data_sin!Q1184</f>
        <v>Overweight_Level_II</v>
      </c>
      <c r="E1184" t="b">
        <f t="shared" si="73"/>
        <v>0</v>
      </c>
      <c r="F1184">
        <f>C1184/(B1184*B1184)</f>
        <v>27.329861700821663</v>
      </c>
      <c r="G1184" t="str">
        <f t="shared" si="74"/>
        <v>Overweight</v>
      </c>
      <c r="H1184" t="str">
        <f t="shared" si="75"/>
        <v>OK</v>
      </c>
      <c r="I1184" t="str">
        <f t="shared" si="72"/>
        <v>OK</v>
      </c>
    </row>
    <row r="1185" spans="1:9" x14ac:dyDescent="0.2">
      <c r="A1185" t="str">
        <f>ObesityDataSet_raw_and_data_sin!A1185</f>
        <v>Female</v>
      </c>
      <c r="B1185">
        <f>ObesityDataSet_raw_and_data_sin!C1185</f>
        <v>1.682253</v>
      </c>
      <c r="C1185">
        <f>ObesityDataSet_raw_and_data_sin!D1185</f>
        <v>77.431678000000005</v>
      </c>
      <c r="D1185" t="str">
        <f>ObesityDataSet_raw_and_data_sin!Q1185</f>
        <v>Overweight_Level_II</v>
      </c>
      <c r="E1185" t="b">
        <f t="shared" si="73"/>
        <v>0</v>
      </c>
      <c r="F1185">
        <f>C1185/(B1185*B1185)</f>
        <v>27.361257160009412</v>
      </c>
      <c r="G1185" t="str">
        <f t="shared" si="74"/>
        <v>Overweight</v>
      </c>
      <c r="H1185" t="str">
        <f t="shared" si="75"/>
        <v>OK</v>
      </c>
      <c r="I1185" t="str">
        <f t="shared" si="72"/>
        <v>OK</v>
      </c>
    </row>
    <row r="1186" spans="1:9" x14ac:dyDescent="0.2">
      <c r="A1186" t="str">
        <f>ObesityDataSet_raw_and_data_sin!A1186</f>
        <v>Male</v>
      </c>
      <c r="B1186">
        <f>ObesityDataSet_raw_and_data_sin!C1186</f>
        <v>1.7999019999999999</v>
      </c>
      <c r="C1186">
        <f>ObesityDataSet_raw_and_data_sin!D1186</f>
        <v>95.419668000000001</v>
      </c>
      <c r="D1186" t="str">
        <f>ObesityDataSet_raw_and_data_sin!Q1186</f>
        <v>Overweight_Level_II</v>
      </c>
      <c r="E1186" t="b">
        <f t="shared" si="73"/>
        <v>0</v>
      </c>
      <c r="F1186">
        <f>C1186/(B1186*B1186)</f>
        <v>29.453721910560652</v>
      </c>
      <c r="G1186" t="str">
        <f t="shared" si="74"/>
        <v>Overweight</v>
      </c>
      <c r="H1186" t="str">
        <f t="shared" si="75"/>
        <v>OK</v>
      </c>
      <c r="I1186" t="str">
        <f t="shared" si="72"/>
        <v>OK</v>
      </c>
    </row>
    <row r="1187" spans="1:9" x14ac:dyDescent="0.2">
      <c r="A1187" t="str">
        <f>ObesityDataSet_raw_and_data_sin!A1187</f>
        <v>Male</v>
      </c>
      <c r="B1187">
        <f>ObesityDataSet_raw_and_data_sin!C1187</f>
        <v>1.7094279999999999</v>
      </c>
      <c r="C1187">
        <f>ObesityDataSet_raw_and_data_sin!D1187</f>
        <v>83.014032999999998</v>
      </c>
      <c r="D1187" t="str">
        <f>ObesityDataSet_raw_and_data_sin!Q1187</f>
        <v>Overweight_Level_II</v>
      </c>
      <c r="E1187" t="b">
        <f t="shared" si="73"/>
        <v>0</v>
      </c>
      <c r="F1187">
        <f>C1187/(B1187*B1187)</f>
        <v>28.408603588058735</v>
      </c>
      <c r="G1187" t="str">
        <f t="shared" si="74"/>
        <v>Overweight</v>
      </c>
      <c r="H1187" t="str">
        <f t="shared" si="75"/>
        <v>OK</v>
      </c>
      <c r="I1187" t="str">
        <f t="shared" si="72"/>
        <v>OK</v>
      </c>
    </row>
    <row r="1188" spans="1:9" x14ac:dyDescent="0.2">
      <c r="A1188" t="str">
        <f>ObesityDataSet_raw_and_data_sin!A1188</f>
        <v>Male</v>
      </c>
      <c r="B1188">
        <f>ObesityDataSet_raw_and_data_sin!C1188</f>
        <v>1.752456</v>
      </c>
      <c r="C1188">
        <f>ObesityDataSet_raw_and_data_sin!D1188</f>
        <v>84.783755999999997</v>
      </c>
      <c r="D1188" t="str">
        <f>ObesityDataSet_raw_and_data_sin!Q1188</f>
        <v>Overweight_Level_II</v>
      </c>
      <c r="E1188" t="b">
        <f t="shared" si="73"/>
        <v>0</v>
      </c>
      <c r="F1188">
        <f>C1188/(B1188*B1188)</f>
        <v>27.606948619207206</v>
      </c>
      <c r="G1188" t="str">
        <f t="shared" si="74"/>
        <v>Overweight</v>
      </c>
      <c r="H1188" t="str">
        <f t="shared" si="75"/>
        <v>OK</v>
      </c>
      <c r="I1188" t="str">
        <f t="shared" si="72"/>
        <v>OK</v>
      </c>
    </row>
    <row r="1189" spans="1:9" x14ac:dyDescent="0.2">
      <c r="A1189" t="str">
        <f>ObesityDataSet_raw_and_data_sin!A1189</f>
        <v>Male</v>
      </c>
      <c r="B1189">
        <f>ObesityDataSet_raw_and_data_sin!C1189</f>
        <v>1.6859470000000001</v>
      </c>
      <c r="C1189">
        <f>ObesityDataSet_raw_and_data_sin!D1189</f>
        <v>83.325800000000001</v>
      </c>
      <c r="D1189" t="str">
        <f>ObesityDataSet_raw_and_data_sin!Q1189</f>
        <v>Overweight_Level_II</v>
      </c>
      <c r="E1189" t="b">
        <f t="shared" si="73"/>
        <v>0</v>
      </c>
      <c r="F1189">
        <f>C1189/(B1189*B1189)</f>
        <v>29.315118644505759</v>
      </c>
      <c r="G1189" t="str">
        <f t="shared" si="74"/>
        <v>Overweight</v>
      </c>
      <c r="H1189" t="str">
        <f t="shared" si="75"/>
        <v>OK</v>
      </c>
      <c r="I1189" t="str">
        <f t="shared" si="72"/>
        <v>OK</v>
      </c>
    </row>
    <row r="1190" spans="1:9" x14ac:dyDescent="0.2">
      <c r="A1190" t="str">
        <f>ObesityDataSet_raw_and_data_sin!A1190</f>
        <v>Female</v>
      </c>
      <c r="B1190">
        <f>ObesityDataSet_raw_and_data_sin!C1190</f>
        <v>1.5999989999999999</v>
      </c>
      <c r="C1190">
        <f>ObesityDataSet_raw_and_data_sin!D1190</f>
        <v>73.513873000000004</v>
      </c>
      <c r="D1190" t="str">
        <f>ObesityDataSet_raw_and_data_sin!Q1190</f>
        <v>Overweight_Level_II</v>
      </c>
      <c r="E1190" t="b">
        <f t="shared" si="73"/>
        <v>0</v>
      </c>
      <c r="F1190">
        <f>C1190/(B1190*B1190)</f>
        <v>28.716392536104454</v>
      </c>
      <c r="G1190" t="str">
        <f t="shared" si="74"/>
        <v>Overweight</v>
      </c>
      <c r="H1190" t="str">
        <f t="shared" si="75"/>
        <v>OK</v>
      </c>
      <c r="I1190" t="str">
        <f t="shared" si="72"/>
        <v>OK</v>
      </c>
    </row>
    <row r="1191" spans="1:9" x14ac:dyDescent="0.2">
      <c r="A1191" t="str">
        <f>ObesityDataSet_raw_and_data_sin!A1191</f>
        <v>Female</v>
      </c>
      <c r="B1191">
        <f>ObesityDataSet_raw_and_data_sin!C1191</f>
        <v>1.5500529999999999</v>
      </c>
      <c r="C1191">
        <f>ObesityDataSet_raw_and_data_sin!D1191</f>
        <v>72.951800000000006</v>
      </c>
      <c r="D1191" t="str">
        <f>ObesityDataSet_raw_and_data_sin!Q1191</f>
        <v>Overweight_Level_II</v>
      </c>
      <c r="E1191" t="b">
        <f t="shared" si="73"/>
        <v>0</v>
      </c>
      <c r="F1191">
        <f>C1191/(B1191*B1191)</f>
        <v>30.362876709289221</v>
      </c>
      <c r="G1191" t="str">
        <f t="shared" si="74"/>
        <v>Obese</v>
      </c>
      <c r="H1191" t="str">
        <f t="shared" si="75"/>
        <v>OK</v>
      </c>
      <c r="I1191" t="str">
        <f t="shared" si="72"/>
        <v>ERROR</v>
      </c>
    </row>
    <row r="1192" spans="1:9" x14ac:dyDescent="0.2">
      <c r="A1192" t="str">
        <f>ObesityDataSet_raw_and_data_sin!A1192</f>
        <v>Male</v>
      </c>
      <c r="B1192">
        <f>ObesityDataSet_raw_and_data_sin!C1192</f>
        <v>1.8280920000000001</v>
      </c>
      <c r="C1192">
        <f>ObesityDataSet_raw_and_data_sin!D1192</f>
        <v>91.495717999999997</v>
      </c>
      <c r="D1192" t="str">
        <f>ObesityDataSet_raw_and_data_sin!Q1192</f>
        <v>Overweight_Level_II</v>
      </c>
      <c r="E1192" t="b">
        <f t="shared" si="73"/>
        <v>0</v>
      </c>
      <c r="F1192">
        <f>C1192/(B1192*B1192)</f>
        <v>27.378186231612208</v>
      </c>
      <c r="G1192" t="str">
        <f t="shared" si="74"/>
        <v>Overweight</v>
      </c>
      <c r="H1192" t="str">
        <f t="shared" si="75"/>
        <v>OK</v>
      </c>
      <c r="I1192" t="str">
        <f t="shared" si="72"/>
        <v>OK</v>
      </c>
    </row>
    <row r="1193" spans="1:9" x14ac:dyDescent="0.2">
      <c r="A1193" t="str">
        <f>ObesityDataSet_raw_and_data_sin!A1193</f>
        <v>Male</v>
      </c>
      <c r="B1193">
        <f>ObesityDataSet_raw_and_data_sin!C1193</f>
        <v>1.7133799999999999</v>
      </c>
      <c r="C1193">
        <f>ObesityDataSet_raw_and_data_sin!D1193</f>
        <v>82.085549</v>
      </c>
      <c r="D1193" t="str">
        <f>ObesityDataSet_raw_and_data_sin!Q1193</f>
        <v>Overweight_Level_II</v>
      </c>
      <c r="E1193" t="b">
        <f t="shared" si="73"/>
        <v>0</v>
      </c>
      <c r="F1193">
        <f>C1193/(B1193*B1193)</f>
        <v>27.961426303472429</v>
      </c>
      <c r="G1193" t="str">
        <f t="shared" si="74"/>
        <v>Overweight</v>
      </c>
      <c r="H1193" t="str">
        <f t="shared" si="75"/>
        <v>OK</v>
      </c>
      <c r="I1193" t="str">
        <f t="shared" si="72"/>
        <v>OK</v>
      </c>
    </row>
    <row r="1194" spans="1:9" x14ac:dyDescent="0.2">
      <c r="A1194" t="str">
        <f>ObesityDataSet_raw_and_data_sin!A1194</f>
        <v>Male</v>
      </c>
      <c r="B1194">
        <f>ObesityDataSet_raw_and_data_sin!C1194</f>
        <v>1.6807639999999999</v>
      </c>
      <c r="C1194">
        <f>ObesityDataSet_raw_and_data_sin!D1194</f>
        <v>79.621463000000006</v>
      </c>
      <c r="D1194" t="str">
        <f>ObesityDataSet_raw_and_data_sin!Q1194</f>
        <v>Overweight_Level_II</v>
      </c>
      <c r="E1194" t="b">
        <f t="shared" si="73"/>
        <v>0</v>
      </c>
      <c r="F1194">
        <f>C1194/(B1194*B1194)</f>
        <v>28.184911689652775</v>
      </c>
      <c r="G1194" t="str">
        <f t="shared" si="74"/>
        <v>Overweight</v>
      </c>
      <c r="H1194" t="str">
        <f t="shared" si="75"/>
        <v>OK</v>
      </c>
      <c r="I1194" t="str">
        <f t="shared" si="72"/>
        <v>OK</v>
      </c>
    </row>
    <row r="1195" spans="1:9" x14ac:dyDescent="0.2">
      <c r="A1195" t="str">
        <f>ObesityDataSet_raw_and_data_sin!A1195</f>
        <v>Male</v>
      </c>
      <c r="B1195">
        <f>ObesityDataSet_raw_and_data_sin!C1195</f>
        <v>1.705584</v>
      </c>
      <c r="C1195">
        <f>ObesityDataSet_raw_and_data_sin!D1195</f>
        <v>78.025625000000005</v>
      </c>
      <c r="D1195" t="str">
        <f>ObesityDataSet_raw_and_data_sin!Q1195</f>
        <v>Overweight_Level_II</v>
      </c>
      <c r="E1195" t="b">
        <f t="shared" si="73"/>
        <v>0</v>
      </c>
      <c r="F1195">
        <f>C1195/(B1195*B1195)</f>
        <v>26.821992058662506</v>
      </c>
      <c r="G1195" t="str">
        <f t="shared" si="74"/>
        <v>Overweight</v>
      </c>
      <c r="H1195" t="str">
        <f t="shared" si="75"/>
        <v>OK</v>
      </c>
      <c r="I1195" t="str">
        <f t="shared" si="72"/>
        <v>OK</v>
      </c>
    </row>
    <row r="1196" spans="1:9" x14ac:dyDescent="0.2">
      <c r="A1196" t="str">
        <f>ObesityDataSet_raw_and_data_sin!A1196</f>
        <v>Male</v>
      </c>
      <c r="B1196">
        <f>ObesityDataSet_raw_and_data_sin!C1196</f>
        <v>1.841852</v>
      </c>
      <c r="C1196">
        <f>ObesityDataSet_raw_and_data_sin!D1196</f>
        <v>93.614245999999994</v>
      </c>
      <c r="D1196" t="str">
        <f>ObesityDataSet_raw_and_data_sin!Q1196</f>
        <v>Overweight_Level_II</v>
      </c>
      <c r="E1196" t="b">
        <f t="shared" si="73"/>
        <v>0</v>
      </c>
      <c r="F1196">
        <f>C1196/(B1196*B1196)</f>
        <v>27.595132499147937</v>
      </c>
      <c r="G1196" t="str">
        <f t="shared" si="74"/>
        <v>Overweight</v>
      </c>
      <c r="H1196" t="str">
        <f t="shared" si="75"/>
        <v>OK</v>
      </c>
      <c r="I1196" t="str">
        <f t="shared" si="72"/>
        <v>OK</v>
      </c>
    </row>
    <row r="1197" spans="1:9" x14ac:dyDescent="0.2">
      <c r="A1197" t="str">
        <f>ObesityDataSet_raw_and_data_sin!A1197</f>
        <v>Male</v>
      </c>
      <c r="B1197">
        <f>ObesityDataSet_raw_and_data_sin!C1197</f>
        <v>1.834986</v>
      </c>
      <c r="C1197">
        <f>ObesityDataSet_raw_and_data_sin!D1197</f>
        <v>99.083477999999999</v>
      </c>
      <c r="D1197" t="str">
        <f>ObesityDataSet_raw_and_data_sin!Q1197</f>
        <v>Overweight_Level_II</v>
      </c>
      <c r="E1197" t="b">
        <f t="shared" si="73"/>
        <v>0</v>
      </c>
      <c r="F1197">
        <f>C1197/(B1197*B1197)</f>
        <v>29.426305019054062</v>
      </c>
      <c r="G1197" t="str">
        <f t="shared" si="74"/>
        <v>Overweight</v>
      </c>
      <c r="H1197" t="str">
        <f t="shared" si="75"/>
        <v>OK</v>
      </c>
      <c r="I1197" t="str">
        <f t="shared" si="72"/>
        <v>OK</v>
      </c>
    </row>
    <row r="1198" spans="1:9" x14ac:dyDescent="0.2">
      <c r="A1198" t="str">
        <f>ObesityDataSet_raw_and_data_sin!A1198</f>
        <v>Male</v>
      </c>
      <c r="B1198">
        <f>ObesityDataSet_raw_and_data_sin!C1198</f>
        <v>1.724839</v>
      </c>
      <c r="C1198">
        <f>ObesityDataSet_raw_and_data_sin!D1198</f>
        <v>82.276349999999994</v>
      </c>
      <c r="D1198" t="str">
        <f>ObesityDataSet_raw_and_data_sin!Q1198</f>
        <v>Overweight_Level_II</v>
      </c>
      <c r="E1198" t="b">
        <f t="shared" si="73"/>
        <v>0</v>
      </c>
      <c r="F1198">
        <f>C1198/(B1198*B1198)</f>
        <v>27.655269196361395</v>
      </c>
      <c r="G1198" t="str">
        <f t="shared" si="74"/>
        <v>Overweight</v>
      </c>
      <c r="H1198" t="str">
        <f t="shared" si="75"/>
        <v>OK</v>
      </c>
      <c r="I1198" t="str">
        <f t="shared" si="72"/>
        <v>OK</v>
      </c>
    </row>
    <row r="1199" spans="1:9" x14ac:dyDescent="0.2">
      <c r="A1199" t="str">
        <f>ObesityDataSet_raw_and_data_sin!A1199</f>
        <v>Male</v>
      </c>
      <c r="B1199">
        <f>ObesityDataSet_raw_and_data_sin!C1199</f>
        <v>1.685127</v>
      </c>
      <c r="C1199">
        <f>ObesityDataSet_raw_and_data_sin!D1199</f>
        <v>83.986895000000004</v>
      </c>
      <c r="D1199" t="str">
        <f>ObesityDataSet_raw_and_data_sin!Q1199</f>
        <v>Overweight_Level_II</v>
      </c>
      <c r="E1199" t="b">
        <f t="shared" si="73"/>
        <v>0</v>
      </c>
      <c r="F1199">
        <f>C1199/(B1199*B1199)</f>
        <v>29.5764640323046</v>
      </c>
      <c r="G1199" t="str">
        <f t="shared" si="74"/>
        <v>Overweight</v>
      </c>
      <c r="H1199" t="str">
        <f t="shared" si="75"/>
        <v>OK</v>
      </c>
      <c r="I1199" t="str">
        <f t="shared" si="72"/>
        <v>OK</v>
      </c>
    </row>
    <row r="1200" spans="1:9" x14ac:dyDescent="0.2">
      <c r="A1200" t="str">
        <f>ObesityDataSet_raw_and_data_sin!A1200</f>
        <v>Male</v>
      </c>
      <c r="B1200">
        <f>ObesityDataSet_raw_and_data_sin!C1200</f>
        <v>1.750097</v>
      </c>
      <c r="C1200">
        <f>ObesityDataSet_raw_and_data_sin!D1200</f>
        <v>86.372140999999999</v>
      </c>
      <c r="D1200" t="str">
        <f>ObesityDataSet_raw_and_data_sin!Q1200</f>
        <v>Overweight_Level_II</v>
      </c>
      <c r="E1200" t="b">
        <f t="shared" si="73"/>
        <v>0</v>
      </c>
      <c r="F1200">
        <f>C1200/(B1200*B1200)</f>
        <v>28.200021821145373</v>
      </c>
      <c r="G1200" t="str">
        <f t="shared" si="74"/>
        <v>Overweight</v>
      </c>
      <c r="H1200" t="str">
        <f t="shared" si="75"/>
        <v>OK</v>
      </c>
      <c r="I1200" t="str">
        <f t="shared" si="72"/>
        <v>OK</v>
      </c>
    </row>
    <row r="1201" spans="1:9" x14ac:dyDescent="0.2">
      <c r="A1201" t="str">
        <f>ObesityDataSet_raw_and_data_sin!A1201</f>
        <v>Male</v>
      </c>
      <c r="B1201">
        <f>ObesityDataSet_raw_and_data_sin!C1201</f>
        <v>1.7579610000000001</v>
      </c>
      <c r="C1201">
        <f>ObesityDataSet_raw_and_data_sin!D1201</f>
        <v>87.906019000000001</v>
      </c>
      <c r="D1201" t="str">
        <f>ObesityDataSet_raw_and_data_sin!Q1201</f>
        <v>Overweight_Level_II</v>
      </c>
      <c r="E1201" t="b">
        <f t="shared" si="73"/>
        <v>0</v>
      </c>
      <c r="F1201">
        <f>C1201/(B1201*B1201)</f>
        <v>28.444620268936507</v>
      </c>
      <c r="G1201" t="str">
        <f t="shared" si="74"/>
        <v>Overweight</v>
      </c>
      <c r="H1201" t="str">
        <f t="shared" si="75"/>
        <v>OK</v>
      </c>
      <c r="I1201" t="str">
        <f t="shared" si="72"/>
        <v>OK</v>
      </c>
    </row>
    <row r="1202" spans="1:9" x14ac:dyDescent="0.2">
      <c r="A1202" t="str">
        <f>ObesityDataSet_raw_and_data_sin!A1202</f>
        <v>Male</v>
      </c>
      <c r="B1202">
        <f>ObesityDataSet_raw_and_data_sin!C1202</f>
        <v>1.848965</v>
      </c>
      <c r="C1202">
        <f>ObesityDataSet_raw_and_data_sin!D1202</f>
        <v>98.912261000000001</v>
      </c>
      <c r="D1202" t="str">
        <f>ObesityDataSet_raw_and_data_sin!Q1202</f>
        <v>Overweight_Level_II</v>
      </c>
      <c r="E1202" t="b">
        <f t="shared" si="73"/>
        <v>0</v>
      </c>
      <c r="F1202">
        <f>C1202/(B1202*B1202)</f>
        <v>28.932952153855812</v>
      </c>
      <c r="G1202" t="str">
        <f t="shared" si="74"/>
        <v>Overweight</v>
      </c>
      <c r="H1202" t="str">
        <f t="shared" si="75"/>
        <v>OK</v>
      </c>
      <c r="I1202" t="str">
        <f t="shared" si="72"/>
        <v>OK</v>
      </c>
    </row>
    <row r="1203" spans="1:9" x14ac:dyDescent="0.2">
      <c r="A1203" t="str">
        <f>ObesityDataSet_raw_and_data_sin!A1203</f>
        <v>Male</v>
      </c>
      <c r="B1203">
        <f>ObesityDataSet_raw_and_data_sin!C1203</f>
        <v>1.789193</v>
      </c>
      <c r="C1203">
        <f>ObesityDataSet_raw_and_data_sin!D1203</f>
        <v>89.393589000000006</v>
      </c>
      <c r="D1203" t="str">
        <f>ObesityDataSet_raw_and_data_sin!Q1203</f>
        <v>Overweight_Level_II</v>
      </c>
      <c r="E1203" t="b">
        <f t="shared" si="73"/>
        <v>0</v>
      </c>
      <c r="F1203">
        <f>C1203/(B1203*B1203)</f>
        <v>27.924923564681261</v>
      </c>
      <c r="G1203" t="str">
        <f t="shared" si="74"/>
        <v>Overweight</v>
      </c>
      <c r="H1203" t="str">
        <f t="shared" si="75"/>
        <v>OK</v>
      </c>
      <c r="I1203" t="str">
        <f t="shared" si="72"/>
        <v>OK</v>
      </c>
    </row>
    <row r="1204" spans="1:9" x14ac:dyDescent="0.2">
      <c r="A1204" t="str">
        <f>ObesityDataSet_raw_and_data_sin!A1204</f>
        <v>Male</v>
      </c>
      <c r="B1204">
        <f>ObesityDataSet_raw_and_data_sin!C1204</f>
        <v>1.716677</v>
      </c>
      <c r="C1204">
        <f>ObesityDataSet_raw_and_data_sin!D1204</f>
        <v>85.261339000000007</v>
      </c>
      <c r="D1204" t="str">
        <f>ObesityDataSet_raw_and_data_sin!Q1204</f>
        <v>Overweight_Level_II</v>
      </c>
      <c r="E1204" t="b">
        <f t="shared" si="73"/>
        <v>0</v>
      </c>
      <c r="F1204">
        <f>C1204/(B1204*B1204)</f>
        <v>28.93176785969343</v>
      </c>
      <c r="G1204" t="str">
        <f t="shared" si="74"/>
        <v>Overweight</v>
      </c>
      <c r="H1204" t="str">
        <f t="shared" si="75"/>
        <v>OK</v>
      </c>
      <c r="I1204" t="str">
        <f t="shared" si="72"/>
        <v>OK</v>
      </c>
    </row>
    <row r="1205" spans="1:9" x14ac:dyDescent="0.2">
      <c r="A1205" t="str">
        <f>ObesityDataSet_raw_and_data_sin!A1205</f>
        <v>Female</v>
      </c>
      <c r="B1205">
        <f>ObesityDataSet_raw_and_data_sin!C1205</f>
        <v>1.550122</v>
      </c>
      <c r="C1205">
        <f>ObesityDataSet_raw_and_data_sin!D1205</f>
        <v>69.936072999999993</v>
      </c>
      <c r="D1205" t="str">
        <f>ObesityDataSet_raw_and_data_sin!Q1205</f>
        <v>Overweight_Level_II</v>
      </c>
      <c r="E1205" t="b">
        <f t="shared" si="73"/>
        <v>0</v>
      </c>
      <c r="F1205">
        <f>C1205/(B1205*B1205)</f>
        <v>29.105125913914112</v>
      </c>
      <c r="G1205" t="str">
        <f t="shared" si="74"/>
        <v>Overweight</v>
      </c>
      <c r="H1205" t="str">
        <f t="shared" si="75"/>
        <v>OK</v>
      </c>
      <c r="I1205" t="str">
        <f t="shared" si="72"/>
        <v>OK</v>
      </c>
    </row>
    <row r="1206" spans="1:9" x14ac:dyDescent="0.2">
      <c r="A1206" t="str">
        <f>ObesityDataSet_raw_and_data_sin!A1206</f>
        <v>Female</v>
      </c>
      <c r="B1206">
        <f>ObesityDataSet_raw_and_data_sin!C1206</f>
        <v>1.663178</v>
      </c>
      <c r="C1206">
        <f>ObesityDataSet_raw_and_data_sin!D1206</f>
        <v>80.135166999999996</v>
      </c>
      <c r="D1206" t="str">
        <f>ObesityDataSet_raw_and_data_sin!Q1206</f>
        <v>Overweight_Level_II</v>
      </c>
      <c r="E1206" t="b">
        <f t="shared" si="73"/>
        <v>0</v>
      </c>
      <c r="F1206">
        <f>C1206/(B1206*B1206)</f>
        <v>28.96981241184649</v>
      </c>
      <c r="G1206" t="str">
        <f t="shared" si="74"/>
        <v>Overweight</v>
      </c>
      <c r="H1206" t="str">
        <f t="shared" si="75"/>
        <v>OK</v>
      </c>
      <c r="I1206" t="str">
        <f t="shared" si="72"/>
        <v>OK</v>
      </c>
    </row>
    <row r="1207" spans="1:9" x14ac:dyDescent="0.2">
      <c r="A1207" t="str">
        <f>ObesityDataSet_raw_and_data_sin!A1207</f>
        <v>Female</v>
      </c>
      <c r="B1207">
        <f>ObesityDataSet_raw_and_data_sin!C1207</f>
        <v>1.6792990000000001</v>
      </c>
      <c r="C1207">
        <f>ObesityDataSet_raw_and_data_sin!D1207</f>
        <v>77.355417000000003</v>
      </c>
      <c r="D1207" t="str">
        <f>ObesityDataSet_raw_and_data_sin!Q1207</f>
        <v>Overweight_Level_II</v>
      </c>
      <c r="E1207" t="b">
        <f t="shared" si="73"/>
        <v>0</v>
      </c>
      <c r="F1207">
        <f>C1207/(B1207*B1207)</f>
        <v>27.430559936312005</v>
      </c>
      <c r="G1207" t="str">
        <f t="shared" si="74"/>
        <v>Overweight</v>
      </c>
      <c r="H1207" t="str">
        <f t="shared" si="75"/>
        <v>OK</v>
      </c>
      <c r="I1207" t="str">
        <f t="shared" si="72"/>
        <v>OK</v>
      </c>
    </row>
    <row r="1208" spans="1:9" x14ac:dyDescent="0.2">
      <c r="A1208" t="str">
        <f>ObesityDataSet_raw_and_data_sin!A1208</f>
        <v>Male</v>
      </c>
      <c r="B1208">
        <f>ObesityDataSet_raw_and_data_sin!C1208</f>
        <v>1.729177</v>
      </c>
      <c r="C1208">
        <f>ObesityDataSet_raw_and_data_sin!D1208</f>
        <v>82.527240000000006</v>
      </c>
      <c r="D1208" t="str">
        <f>ObesityDataSet_raw_and_data_sin!Q1208</f>
        <v>Overweight_Level_II</v>
      </c>
      <c r="E1208" t="b">
        <f t="shared" si="73"/>
        <v>0</v>
      </c>
      <c r="F1208">
        <f>C1208/(B1208*B1208)</f>
        <v>27.600593472310305</v>
      </c>
      <c r="G1208" t="str">
        <f t="shared" si="74"/>
        <v>Overweight</v>
      </c>
      <c r="H1208" t="str">
        <f t="shared" si="75"/>
        <v>OK</v>
      </c>
      <c r="I1208" t="str">
        <f t="shared" si="72"/>
        <v>OK</v>
      </c>
    </row>
    <row r="1209" spans="1:9" x14ac:dyDescent="0.2">
      <c r="A1209" t="str">
        <f>ObesityDataSet_raw_and_data_sin!A1209</f>
        <v>Male</v>
      </c>
      <c r="B1209">
        <f>ObesityDataSet_raw_and_data_sin!C1209</f>
        <v>1.7191529999999999</v>
      </c>
      <c r="C1209">
        <f>ObesityDataSet_raw_and_data_sin!D1209</f>
        <v>86.464843000000002</v>
      </c>
      <c r="D1209" t="str">
        <f>ObesityDataSet_raw_and_data_sin!Q1209</f>
        <v>Overweight_Level_II</v>
      </c>
      <c r="E1209" t="b">
        <f t="shared" si="73"/>
        <v>0</v>
      </c>
      <c r="F1209">
        <f>C1209/(B1209*B1209)</f>
        <v>29.2557002976408</v>
      </c>
      <c r="G1209" t="str">
        <f t="shared" si="74"/>
        <v>Overweight</v>
      </c>
      <c r="H1209" t="str">
        <f t="shared" si="75"/>
        <v>OK</v>
      </c>
      <c r="I1209" t="str">
        <f t="shared" si="72"/>
        <v>OK</v>
      </c>
    </row>
    <row r="1210" spans="1:9" x14ac:dyDescent="0.2">
      <c r="A1210" t="str">
        <f>ObesityDataSet_raw_and_data_sin!A1210</f>
        <v>Female</v>
      </c>
      <c r="B1210">
        <f>ObesityDataSet_raw_and_data_sin!C1210</f>
        <v>1.6873260000000001</v>
      </c>
      <c r="C1210">
        <f>ObesityDataSet_raw_and_data_sin!D1210</f>
        <v>80.413996999999995</v>
      </c>
      <c r="D1210" t="str">
        <f>ObesityDataSet_raw_and_data_sin!Q1210</f>
        <v>Overweight_Level_II</v>
      </c>
      <c r="E1210" t="b">
        <f t="shared" si="73"/>
        <v>0</v>
      </c>
      <c r="F1210">
        <f>C1210/(B1210*B1210)</f>
        <v>28.244484466259856</v>
      </c>
      <c r="G1210" t="str">
        <f t="shared" si="74"/>
        <v>Overweight</v>
      </c>
      <c r="H1210" t="str">
        <f t="shared" si="75"/>
        <v>OK</v>
      </c>
      <c r="I1210" t="str">
        <f t="shared" si="72"/>
        <v>OK</v>
      </c>
    </row>
    <row r="1211" spans="1:9" x14ac:dyDescent="0.2">
      <c r="A1211" t="str">
        <f>ObesityDataSet_raw_and_data_sin!A1211</f>
        <v>Male</v>
      </c>
      <c r="B1211">
        <f>ObesityDataSet_raw_and_data_sin!C1211</f>
        <v>1.7724489999999999</v>
      </c>
      <c r="C1211">
        <f>ObesityDataSet_raw_and_data_sin!D1211</f>
        <v>105</v>
      </c>
      <c r="D1211" t="str">
        <f>ObesityDataSet_raw_and_data_sin!Q1211</f>
        <v>Obesity_Type_I</v>
      </c>
      <c r="E1211" t="b">
        <f t="shared" si="73"/>
        <v>0</v>
      </c>
      <c r="F1211">
        <f>C1211/(B1211*B1211)</f>
        <v>33.42272099368293</v>
      </c>
      <c r="G1211" t="str">
        <f t="shared" si="74"/>
        <v>Obese</v>
      </c>
      <c r="H1211" t="str">
        <f t="shared" si="75"/>
        <v>OK</v>
      </c>
      <c r="I1211" t="str">
        <f t="shared" si="72"/>
        <v>OK</v>
      </c>
    </row>
    <row r="1212" spans="1:9" x14ac:dyDescent="0.2">
      <c r="A1212" t="str">
        <f>ObesityDataSet_raw_and_data_sin!A1212</f>
        <v>Male</v>
      </c>
      <c r="B1212">
        <f>ObesityDataSet_raw_and_data_sin!C1212</f>
        <v>1.8371170000000001</v>
      </c>
      <c r="C1212">
        <f>ObesityDataSet_raw_and_data_sin!D1212</f>
        <v>105.712219</v>
      </c>
      <c r="D1212" t="str">
        <f>ObesityDataSet_raw_and_data_sin!Q1212</f>
        <v>Obesity_Type_I</v>
      </c>
      <c r="E1212" t="b">
        <f t="shared" si="73"/>
        <v>0</v>
      </c>
      <c r="F1212">
        <f>C1212/(B1212*B1212)</f>
        <v>31.322149434407628</v>
      </c>
      <c r="G1212" t="str">
        <f t="shared" si="74"/>
        <v>Obese</v>
      </c>
      <c r="H1212" t="str">
        <f t="shared" si="75"/>
        <v>OK</v>
      </c>
      <c r="I1212" t="str">
        <f t="shared" si="72"/>
        <v>OK</v>
      </c>
    </row>
    <row r="1213" spans="1:9" x14ac:dyDescent="0.2">
      <c r="A1213" t="str">
        <f>ObesityDataSet_raw_and_data_sin!A1213</f>
        <v>Male</v>
      </c>
      <c r="B1213">
        <f>ObesityDataSet_raw_and_data_sin!C1213</f>
        <v>1.7843770000000001</v>
      </c>
      <c r="C1213">
        <f>ObesityDataSet_raw_and_data_sin!D1213</f>
        <v>102.872505</v>
      </c>
      <c r="D1213" t="str">
        <f>ObesityDataSet_raw_and_data_sin!Q1213</f>
        <v>Obesity_Type_I</v>
      </c>
      <c r="E1213" t="b">
        <f t="shared" si="73"/>
        <v>0</v>
      </c>
      <c r="F1213">
        <f>C1213/(B1213*B1213)</f>
        <v>32.30919086202455</v>
      </c>
      <c r="G1213" t="str">
        <f t="shared" si="74"/>
        <v>Obese</v>
      </c>
      <c r="H1213" t="str">
        <f t="shared" si="75"/>
        <v>OK</v>
      </c>
      <c r="I1213" t="str">
        <f t="shared" si="72"/>
        <v>OK</v>
      </c>
    </row>
    <row r="1214" spans="1:9" x14ac:dyDescent="0.2">
      <c r="A1214" t="str">
        <f>ObesityDataSet_raw_and_data_sin!A1214</f>
        <v>Male</v>
      </c>
      <c r="B1214">
        <f>ObesityDataSet_raw_and_data_sin!C1214</f>
        <v>1.7925070000000001</v>
      </c>
      <c r="C1214">
        <f>ObesityDataSet_raw_and_data_sin!D1214</f>
        <v>101.78009900000001</v>
      </c>
      <c r="D1214" t="str">
        <f>ObesityDataSet_raw_and_data_sin!Q1214</f>
        <v>Obesity_Type_I</v>
      </c>
      <c r="E1214" t="b">
        <f t="shared" si="73"/>
        <v>0</v>
      </c>
      <c r="F1214">
        <f>C1214/(B1214*B1214)</f>
        <v>31.676788748853738</v>
      </c>
      <c r="G1214" t="str">
        <f t="shared" si="74"/>
        <v>Obese</v>
      </c>
      <c r="H1214" t="str">
        <f t="shared" si="75"/>
        <v>OK</v>
      </c>
      <c r="I1214" t="str">
        <f t="shared" si="72"/>
        <v>OK</v>
      </c>
    </row>
    <row r="1215" spans="1:9" x14ac:dyDescent="0.2">
      <c r="A1215" t="str">
        <f>ObesityDataSet_raw_and_data_sin!A1215</f>
        <v>Female</v>
      </c>
      <c r="B1215">
        <f>ObesityDataSet_raw_and_data_sin!C1215</f>
        <v>1.5565789999999999</v>
      </c>
      <c r="C1215">
        <f>ObesityDataSet_raw_and_data_sin!D1215</f>
        <v>78.233340999999996</v>
      </c>
      <c r="D1215" t="str">
        <f>ObesityDataSet_raw_and_data_sin!Q1215</f>
        <v>Obesity_Type_I</v>
      </c>
      <c r="E1215" t="b">
        <f t="shared" si="73"/>
        <v>0</v>
      </c>
      <c r="F1215">
        <f>C1215/(B1215*B1215)</f>
        <v>32.288624423489239</v>
      </c>
      <c r="G1215" t="str">
        <f t="shared" si="74"/>
        <v>Obese</v>
      </c>
      <c r="H1215" t="str">
        <f t="shared" si="75"/>
        <v>OK</v>
      </c>
      <c r="I1215" t="str">
        <f t="shared" si="72"/>
        <v>OK</v>
      </c>
    </row>
    <row r="1216" spans="1:9" x14ac:dyDescent="0.2">
      <c r="A1216" t="str">
        <f>ObesityDataSet_raw_and_data_sin!A1216</f>
        <v>Female</v>
      </c>
      <c r="B1216">
        <f>ObesityDataSet_raw_and_data_sin!C1216</f>
        <v>1.585547</v>
      </c>
      <c r="C1216">
        <f>ObesityDataSet_raw_and_data_sin!D1216</f>
        <v>80.351263000000003</v>
      </c>
      <c r="D1216" t="str">
        <f>ObesityDataSet_raw_and_data_sin!Q1216</f>
        <v>Obesity_Type_I</v>
      </c>
      <c r="E1216" t="b">
        <f t="shared" si="73"/>
        <v>0</v>
      </c>
      <c r="F1216">
        <f>C1216/(B1216*B1216)</f>
        <v>31.962038265656233</v>
      </c>
      <c r="G1216" t="str">
        <f t="shared" si="74"/>
        <v>Obese</v>
      </c>
      <c r="H1216" t="str">
        <f t="shared" si="75"/>
        <v>OK</v>
      </c>
      <c r="I1216" t="str">
        <f t="shared" si="72"/>
        <v>OK</v>
      </c>
    </row>
    <row r="1217" spans="1:9" x14ac:dyDescent="0.2">
      <c r="A1217" t="str">
        <f>ObesityDataSet_raw_and_data_sin!A1217</f>
        <v>Female</v>
      </c>
      <c r="B1217">
        <f>ObesityDataSet_raw_and_data_sin!C1217</f>
        <v>1.569234</v>
      </c>
      <c r="C1217">
        <f>ObesityDataSet_raw_and_data_sin!D1217</f>
        <v>81.827287999999996</v>
      </c>
      <c r="D1217" t="str">
        <f>ObesityDataSet_raw_and_data_sin!Q1217</f>
        <v>Obesity_Type_I</v>
      </c>
      <c r="E1217" t="b">
        <f t="shared" si="73"/>
        <v>0</v>
      </c>
      <c r="F1217">
        <f>C1217/(B1217*B1217)</f>
        <v>33.229418324707183</v>
      </c>
      <c r="G1217" t="str">
        <f t="shared" si="74"/>
        <v>Obese</v>
      </c>
      <c r="H1217" t="str">
        <f t="shared" si="75"/>
        <v>OK</v>
      </c>
      <c r="I1217" t="str">
        <f t="shared" si="72"/>
        <v>OK</v>
      </c>
    </row>
    <row r="1218" spans="1:9" x14ac:dyDescent="0.2">
      <c r="A1218" t="str">
        <f>ObesityDataSet_raw_and_data_sin!A1218</f>
        <v>Female</v>
      </c>
      <c r="B1218">
        <f>ObesityDataSet_raw_and_data_sin!C1218</f>
        <v>1.5839430000000001</v>
      </c>
      <c r="C1218">
        <f>ObesityDataSet_raw_and_data_sin!D1218</f>
        <v>81.936397999999997</v>
      </c>
      <c r="D1218" t="str">
        <f>ObesityDataSet_raw_and_data_sin!Q1218</f>
        <v>Obesity_Type_I</v>
      </c>
      <c r="E1218" t="b">
        <f t="shared" si="73"/>
        <v>0</v>
      </c>
      <c r="F1218">
        <f>C1218/(B1218*B1218)</f>
        <v>32.658615533511693</v>
      </c>
      <c r="G1218" t="str">
        <f t="shared" si="74"/>
        <v>Obese</v>
      </c>
      <c r="H1218" t="str">
        <f t="shared" si="75"/>
        <v>OK</v>
      </c>
      <c r="I1218" t="str">
        <f t="shared" ref="I1218:I1281" si="76">IF(AND(LEFT(D1218,10)="Overweight",G1218&lt;&gt;"Overweight"),"ERROR","OK")</f>
        <v>OK</v>
      </c>
    </row>
    <row r="1219" spans="1:9" x14ac:dyDescent="0.2">
      <c r="A1219" t="str">
        <f>ObesityDataSet_raw_and_data_sin!A1219</f>
        <v>Female</v>
      </c>
      <c r="B1219">
        <f>ObesityDataSet_raw_and_data_sin!C1219</f>
        <v>1.6212329999999999</v>
      </c>
      <c r="C1219">
        <f>ObesityDataSet_raw_and_data_sin!D1219</f>
        <v>82</v>
      </c>
      <c r="D1219" t="str">
        <f>ObesityDataSet_raw_and_data_sin!Q1219</f>
        <v>Obesity_Type_I</v>
      </c>
      <c r="E1219" t="b">
        <f t="shared" ref="E1219:E1282" si="77">IF(AND(A1219="Female", B1219&lt;1.5), TRUE, IF(AND(A1219="Male",B1219&lt;1.6),TRUE, FALSE))</f>
        <v>0</v>
      </c>
      <c r="F1219">
        <f>C1219/(B1219*B1219)</f>
        <v>31.197729057563272</v>
      </c>
      <c r="G1219" t="str">
        <f t="shared" ref="G1219:G1282" si="78">IF(E1219=TRUE,IF(F1219&lt;23,"Normal",IF(F1219&lt;25,"Overweight","Obese")),IF(F1219&lt;25,"Normal",IF(F1219&lt;30,"Overweight","Obese")))</f>
        <v>Obese</v>
      </c>
      <c r="H1219" t="str">
        <f t="shared" ref="H1219:H1282" si="79">IF(AND(D1219="Normal_Weight",G1219&lt;&gt;"Normal"),"ERROR","OK")</f>
        <v>OK</v>
      </c>
      <c r="I1219" t="str">
        <f t="shared" si="76"/>
        <v>OK</v>
      </c>
    </row>
    <row r="1220" spans="1:9" x14ac:dyDescent="0.2">
      <c r="A1220" t="str">
        <f>ObesityDataSet_raw_and_data_sin!A1220</f>
        <v>Female</v>
      </c>
      <c r="B1220">
        <f>ObesityDataSet_raw_and_data_sin!C1220</f>
        <v>1.6084000000000001</v>
      </c>
      <c r="C1220">
        <f>ObesityDataSet_raw_and_data_sin!D1220</f>
        <v>82.603983999999997</v>
      </c>
      <c r="D1220" t="str">
        <f>ObesityDataSet_raw_and_data_sin!Q1220</f>
        <v>Obesity_Type_I</v>
      </c>
      <c r="E1220" t="b">
        <f t="shared" si="77"/>
        <v>0</v>
      </c>
      <c r="F1220">
        <f>C1220/(B1220*B1220)</f>
        <v>31.931025384574802</v>
      </c>
      <c r="G1220" t="str">
        <f t="shared" si="78"/>
        <v>Obese</v>
      </c>
      <c r="H1220" t="str">
        <f t="shared" si="79"/>
        <v>OK</v>
      </c>
      <c r="I1220" t="str">
        <f t="shared" si="76"/>
        <v>OK</v>
      </c>
    </row>
    <row r="1221" spans="1:9" x14ac:dyDescent="0.2">
      <c r="A1221" t="str">
        <f>ObesityDataSet_raw_and_data_sin!A1221</f>
        <v>Male</v>
      </c>
      <c r="B1221">
        <f>ObesityDataSet_raw_and_data_sin!C1221</f>
        <v>1.733439</v>
      </c>
      <c r="C1221">
        <f>ObesityDataSet_raw_and_data_sin!D1221</f>
        <v>97.911865000000006</v>
      </c>
      <c r="D1221" t="str">
        <f>ObesityDataSet_raw_and_data_sin!Q1221</f>
        <v>Obesity_Type_I</v>
      </c>
      <c r="E1221" t="b">
        <f t="shared" si="77"/>
        <v>0</v>
      </c>
      <c r="F1221">
        <f>C1221/(B1221*B1221)</f>
        <v>32.585035332140514</v>
      </c>
      <c r="G1221" t="str">
        <f t="shared" si="78"/>
        <v>Obese</v>
      </c>
      <c r="H1221" t="str">
        <f t="shared" si="79"/>
        <v>OK</v>
      </c>
      <c r="I1221" t="str">
        <f t="shared" si="76"/>
        <v>OK</v>
      </c>
    </row>
    <row r="1222" spans="1:9" x14ac:dyDescent="0.2">
      <c r="A1222" t="str">
        <f>ObesityDataSet_raw_and_data_sin!A1222</f>
        <v>Male</v>
      </c>
      <c r="B1222">
        <f>ObesityDataSet_raw_and_data_sin!C1222</f>
        <v>1.65</v>
      </c>
      <c r="C1222">
        <f>ObesityDataSet_raw_and_data_sin!D1222</f>
        <v>88.472358999999997</v>
      </c>
      <c r="D1222" t="str">
        <f>ObesityDataSet_raw_and_data_sin!Q1222</f>
        <v>Obesity_Type_I</v>
      </c>
      <c r="E1222" t="b">
        <f t="shared" si="77"/>
        <v>0</v>
      </c>
      <c r="F1222">
        <f>C1222/(B1222*B1222)</f>
        <v>32.496734251606981</v>
      </c>
      <c r="G1222" t="str">
        <f t="shared" si="78"/>
        <v>Obese</v>
      </c>
      <c r="H1222" t="str">
        <f t="shared" si="79"/>
        <v>OK</v>
      </c>
      <c r="I1222" t="str">
        <f t="shared" si="76"/>
        <v>OK</v>
      </c>
    </row>
    <row r="1223" spans="1:9" x14ac:dyDescent="0.2">
      <c r="A1223" t="str">
        <f>ObesityDataSet_raw_and_data_sin!A1223</f>
        <v>Female</v>
      </c>
      <c r="B1223">
        <f>ObesityDataSet_raw_and_data_sin!C1223</f>
        <v>1.6500520000000001</v>
      </c>
      <c r="C1223">
        <f>ObesityDataSet_raw_and_data_sin!D1223</f>
        <v>87.272552000000005</v>
      </c>
      <c r="D1223" t="str">
        <f>ObesityDataSet_raw_and_data_sin!Q1223</f>
        <v>Obesity_Type_I</v>
      </c>
      <c r="E1223" t="b">
        <f t="shared" si="77"/>
        <v>0</v>
      </c>
      <c r="F1223">
        <f>C1223/(B1223*B1223)</f>
        <v>32.054013386456873</v>
      </c>
      <c r="G1223" t="str">
        <f t="shared" si="78"/>
        <v>Obese</v>
      </c>
      <c r="H1223" t="str">
        <f t="shared" si="79"/>
        <v>OK</v>
      </c>
      <c r="I1223" t="str">
        <f t="shared" si="76"/>
        <v>OK</v>
      </c>
    </row>
    <row r="1224" spans="1:9" x14ac:dyDescent="0.2">
      <c r="A1224" t="str">
        <f>ObesityDataSet_raw_and_data_sin!A1224</f>
        <v>Female</v>
      </c>
      <c r="B1224">
        <f>ObesityDataSet_raw_and_data_sin!C1224</f>
        <v>1.644161</v>
      </c>
      <c r="C1224">
        <f>ObesityDataSet_raw_and_data_sin!D1224</f>
        <v>84.340406000000002</v>
      </c>
      <c r="D1224" t="str">
        <f>ObesityDataSet_raw_and_data_sin!Q1224</f>
        <v>Obesity_Type_I</v>
      </c>
      <c r="E1224" t="b">
        <f t="shared" si="77"/>
        <v>0</v>
      </c>
      <c r="F1224">
        <f>C1224/(B1224*B1224)</f>
        <v>31.199454626120502</v>
      </c>
      <c r="G1224" t="str">
        <f t="shared" si="78"/>
        <v>Obese</v>
      </c>
      <c r="H1224" t="str">
        <f t="shared" si="79"/>
        <v>OK</v>
      </c>
      <c r="I1224" t="str">
        <f t="shared" si="76"/>
        <v>OK</v>
      </c>
    </row>
    <row r="1225" spans="1:9" x14ac:dyDescent="0.2">
      <c r="A1225" t="str">
        <f>ObesityDataSet_raw_and_data_sin!A1225</f>
        <v>Female</v>
      </c>
      <c r="B1225">
        <f>ObesityDataSet_raw_and_data_sin!C1225</f>
        <v>1.559499</v>
      </c>
      <c r="C1225">
        <f>ObesityDataSet_raw_and_data_sin!D1225</f>
        <v>77.268129999999999</v>
      </c>
      <c r="D1225" t="str">
        <f>ObesityDataSet_raw_and_data_sin!Q1225</f>
        <v>Obesity_Type_I</v>
      </c>
      <c r="E1225" t="b">
        <f t="shared" si="77"/>
        <v>0</v>
      </c>
      <c r="F1225">
        <f>C1225/(B1225*B1225)</f>
        <v>31.770949964155061</v>
      </c>
      <c r="G1225" t="str">
        <f t="shared" si="78"/>
        <v>Obese</v>
      </c>
      <c r="H1225" t="str">
        <f t="shared" si="79"/>
        <v>OK</v>
      </c>
      <c r="I1225" t="str">
        <f t="shared" si="76"/>
        <v>OK</v>
      </c>
    </row>
    <row r="1226" spans="1:9" x14ac:dyDescent="0.2">
      <c r="A1226" t="str">
        <f>ObesityDataSet_raw_and_data_sin!A1226</f>
        <v>Male</v>
      </c>
      <c r="B1226">
        <f>ObesityDataSet_raw_and_data_sin!C1226</f>
        <v>1.734237</v>
      </c>
      <c r="C1226">
        <f>ObesityDataSet_raw_and_data_sin!D1226</f>
        <v>95</v>
      </c>
      <c r="D1226" t="str">
        <f>ObesityDataSet_raw_and_data_sin!Q1226</f>
        <v>Obesity_Type_I</v>
      </c>
      <c r="E1226" t="b">
        <f t="shared" si="77"/>
        <v>0</v>
      </c>
      <c r="F1226">
        <f>C1226/(B1226*B1226)</f>
        <v>31.586878504595532</v>
      </c>
      <c r="G1226" t="str">
        <f t="shared" si="78"/>
        <v>Obese</v>
      </c>
      <c r="H1226" t="str">
        <f t="shared" si="79"/>
        <v>OK</v>
      </c>
      <c r="I1226" t="str">
        <f t="shared" si="76"/>
        <v>OK</v>
      </c>
    </row>
    <row r="1227" spans="1:9" x14ac:dyDescent="0.2">
      <c r="A1227" t="str">
        <f>ObesityDataSet_raw_and_data_sin!A1227</f>
        <v>Male</v>
      </c>
      <c r="B1227">
        <f>ObesityDataSet_raw_and_data_sin!C1227</f>
        <v>1.7758149999999999</v>
      </c>
      <c r="C1227">
        <f>ObesityDataSet_raw_and_data_sin!D1227</f>
        <v>97.813023000000001</v>
      </c>
      <c r="D1227" t="str">
        <f>ObesityDataSet_raw_and_data_sin!Q1227</f>
        <v>Obesity_Type_I</v>
      </c>
      <c r="E1227" t="b">
        <f t="shared" si="77"/>
        <v>0</v>
      </c>
      <c r="F1227">
        <f>C1227/(B1227*B1227)</f>
        <v>31.017103642150904</v>
      </c>
      <c r="G1227" t="str">
        <f t="shared" si="78"/>
        <v>Obese</v>
      </c>
      <c r="H1227" t="str">
        <f t="shared" si="79"/>
        <v>OK</v>
      </c>
      <c r="I1227" t="str">
        <f t="shared" si="76"/>
        <v>OK</v>
      </c>
    </row>
    <row r="1228" spans="1:9" x14ac:dyDescent="0.2">
      <c r="A1228" t="str">
        <f>ObesityDataSet_raw_and_data_sin!A1228</f>
        <v>Female</v>
      </c>
      <c r="B1228">
        <f>ObesityDataSet_raw_and_data_sin!C1228</f>
        <v>1.6404259999999999</v>
      </c>
      <c r="C1228">
        <f>ObesityDataSet_raw_and_data_sin!D1228</f>
        <v>87.344155999999998</v>
      </c>
      <c r="D1228" t="str">
        <f>ObesityDataSet_raw_and_data_sin!Q1228</f>
        <v>Obesity_Type_I</v>
      </c>
      <c r="E1228" t="b">
        <f t="shared" si="77"/>
        <v>0</v>
      </c>
      <c r="F1228">
        <f>C1228/(B1228*B1228)</f>
        <v>32.457910960678547</v>
      </c>
      <c r="G1228" t="str">
        <f t="shared" si="78"/>
        <v>Obese</v>
      </c>
      <c r="H1228" t="str">
        <f t="shared" si="79"/>
        <v>OK</v>
      </c>
      <c r="I1228" t="str">
        <f t="shared" si="76"/>
        <v>OK</v>
      </c>
    </row>
    <row r="1229" spans="1:9" x14ac:dyDescent="0.2">
      <c r="A1229" t="str">
        <f>ObesityDataSet_raw_and_data_sin!A1229</f>
        <v>Female</v>
      </c>
      <c r="B1229">
        <f>ObesityDataSet_raw_and_data_sin!C1229</f>
        <v>1.65</v>
      </c>
      <c r="C1229">
        <f>ObesityDataSet_raw_and_data_sin!D1229</f>
        <v>82.13682</v>
      </c>
      <c r="D1229" t="str">
        <f>ObesityDataSet_raw_and_data_sin!Q1229</f>
        <v>Obesity_Type_I</v>
      </c>
      <c r="E1229" t="b">
        <f t="shared" si="77"/>
        <v>0</v>
      </c>
      <c r="F1229">
        <f>C1229/(B1229*B1229)</f>
        <v>30.169630853994494</v>
      </c>
      <c r="G1229" t="str">
        <f t="shared" si="78"/>
        <v>Obese</v>
      </c>
      <c r="H1229" t="str">
        <f t="shared" si="79"/>
        <v>OK</v>
      </c>
      <c r="I1229" t="str">
        <f t="shared" si="76"/>
        <v>OK</v>
      </c>
    </row>
    <row r="1230" spans="1:9" x14ac:dyDescent="0.2">
      <c r="A1230" t="str">
        <f>ObesityDataSet_raw_and_data_sin!A1230</f>
        <v>Male</v>
      </c>
      <c r="B1230">
        <f>ObesityDataSet_raw_and_data_sin!C1230</f>
        <v>1.7533209999999999</v>
      </c>
      <c r="C1230">
        <f>ObesityDataSet_raw_and_data_sin!D1230</f>
        <v>107.99881499999999</v>
      </c>
      <c r="D1230" t="str">
        <f>ObesityDataSet_raw_and_data_sin!Q1230</f>
        <v>Obesity_Type_I</v>
      </c>
      <c r="E1230" t="b">
        <f t="shared" si="77"/>
        <v>0</v>
      </c>
      <c r="F1230">
        <f>C1230/(B1230*B1230)</f>
        <v>35.13145374080004</v>
      </c>
      <c r="G1230" t="str">
        <f t="shared" si="78"/>
        <v>Obese</v>
      </c>
      <c r="H1230" t="str">
        <f t="shared" si="79"/>
        <v>OK</v>
      </c>
      <c r="I1230" t="str">
        <f t="shared" si="76"/>
        <v>OK</v>
      </c>
    </row>
    <row r="1231" spans="1:9" x14ac:dyDescent="0.2">
      <c r="A1231" t="str">
        <f>ObesityDataSet_raw_and_data_sin!A1231</f>
        <v>Female</v>
      </c>
      <c r="B1231">
        <f>ObesityDataSet_raw_and_data_sin!C1231</f>
        <v>1.553026</v>
      </c>
      <c r="C1231">
        <f>ObesityDataSet_raw_and_data_sin!D1231</f>
        <v>77.745180000000005</v>
      </c>
      <c r="D1231" t="str">
        <f>ObesityDataSet_raw_and_data_sin!Q1231</f>
        <v>Obesity_Type_I</v>
      </c>
      <c r="E1231" t="b">
        <f t="shared" si="77"/>
        <v>0</v>
      </c>
      <c r="F1231">
        <f>C1231/(B1231*B1231)</f>
        <v>32.234134990956747</v>
      </c>
      <c r="G1231" t="str">
        <f t="shared" si="78"/>
        <v>Obese</v>
      </c>
      <c r="H1231" t="str">
        <f t="shared" si="79"/>
        <v>OK</v>
      </c>
      <c r="I1231" t="str">
        <f t="shared" si="76"/>
        <v>OK</v>
      </c>
    </row>
    <row r="1232" spans="1:9" x14ac:dyDescent="0.2">
      <c r="A1232" t="str">
        <f>ObesityDataSet_raw_and_data_sin!A1232</f>
        <v>Male</v>
      </c>
      <c r="B1232">
        <f>ObesityDataSet_raw_and_data_sin!C1232</f>
        <v>1.7065250000000001</v>
      </c>
      <c r="C1232">
        <f>ObesityDataSet_raw_and_data_sin!D1232</f>
        <v>90.500055000000003</v>
      </c>
      <c r="D1232" t="str">
        <f>ObesityDataSet_raw_and_data_sin!Q1232</f>
        <v>Obesity_Type_I</v>
      </c>
      <c r="E1232" t="b">
        <f t="shared" si="77"/>
        <v>0</v>
      </c>
      <c r="F1232">
        <f>C1232/(B1232*B1232)</f>
        <v>31.075886979944404</v>
      </c>
      <c r="G1232" t="str">
        <f t="shared" si="78"/>
        <v>Obese</v>
      </c>
      <c r="H1232" t="str">
        <f t="shared" si="79"/>
        <v>OK</v>
      </c>
      <c r="I1232" t="str">
        <f t="shared" si="76"/>
        <v>OK</v>
      </c>
    </row>
    <row r="1233" spans="1:9" x14ac:dyDescent="0.2">
      <c r="A1233" t="str">
        <f>ObesityDataSet_raw_and_data_sin!A1233</f>
        <v>Female</v>
      </c>
      <c r="B1233">
        <f>ObesityDataSet_raw_and_data_sin!C1233</f>
        <v>1.560648</v>
      </c>
      <c r="C1233">
        <f>ObesityDataSet_raw_and_data_sin!D1233</f>
        <v>80</v>
      </c>
      <c r="D1233" t="str">
        <f>ObesityDataSet_raw_and_data_sin!Q1233</f>
        <v>Obesity_Type_I</v>
      </c>
      <c r="E1233" t="b">
        <f t="shared" si="77"/>
        <v>0</v>
      </c>
      <c r="F1233">
        <f>C1233/(B1233*B1233)</f>
        <v>32.845816834839795</v>
      </c>
      <c r="G1233" t="str">
        <f t="shared" si="78"/>
        <v>Obese</v>
      </c>
      <c r="H1233" t="str">
        <f t="shared" si="79"/>
        <v>OK</v>
      </c>
      <c r="I1233" t="str">
        <f t="shared" si="76"/>
        <v>OK</v>
      </c>
    </row>
    <row r="1234" spans="1:9" x14ac:dyDescent="0.2">
      <c r="A1234" t="str">
        <f>ObesityDataSet_raw_and_data_sin!A1234</f>
        <v>Male</v>
      </c>
      <c r="B1234">
        <f>ObesityDataSet_raw_and_data_sin!C1234</f>
        <v>1.673352</v>
      </c>
      <c r="C1234">
        <f>ObesityDataSet_raw_and_data_sin!D1234</f>
        <v>90</v>
      </c>
      <c r="D1234" t="str">
        <f>ObesityDataSet_raw_and_data_sin!Q1234</f>
        <v>Obesity_Type_I</v>
      </c>
      <c r="E1234" t="b">
        <f t="shared" si="77"/>
        <v>0</v>
      </c>
      <c r="F1234">
        <f>C1234/(B1234*B1234)</f>
        <v>32.141629838782059</v>
      </c>
      <c r="G1234" t="str">
        <f t="shared" si="78"/>
        <v>Obese</v>
      </c>
      <c r="H1234" t="str">
        <f t="shared" si="79"/>
        <v>OK</v>
      </c>
      <c r="I1234" t="str">
        <f t="shared" si="76"/>
        <v>OK</v>
      </c>
    </row>
    <row r="1235" spans="1:9" x14ac:dyDescent="0.2">
      <c r="A1235" t="str">
        <f>ObesityDataSet_raw_and_data_sin!A1235</f>
        <v>Male</v>
      </c>
      <c r="B1235">
        <f>ObesityDataSet_raw_and_data_sin!C1235</f>
        <v>1.6603239999999999</v>
      </c>
      <c r="C1235">
        <f>ObesityDataSet_raw_and_data_sin!D1235</f>
        <v>94.189166999999998</v>
      </c>
      <c r="D1235" t="str">
        <f>ObesityDataSet_raw_and_data_sin!Q1235</f>
        <v>Obesity_Type_I</v>
      </c>
      <c r="E1235" t="b">
        <f t="shared" si="77"/>
        <v>0</v>
      </c>
      <c r="F1235">
        <f>C1235/(B1235*B1235)</f>
        <v>34.167662194203238</v>
      </c>
      <c r="G1235" t="str">
        <f t="shared" si="78"/>
        <v>Obese</v>
      </c>
      <c r="H1235" t="str">
        <f t="shared" si="79"/>
        <v>OK</v>
      </c>
      <c r="I1235" t="str">
        <f t="shared" si="76"/>
        <v>OK</v>
      </c>
    </row>
    <row r="1236" spans="1:9" x14ac:dyDescent="0.2">
      <c r="A1236" t="str">
        <f>ObesityDataSet_raw_and_data_sin!A1236</f>
        <v>Male</v>
      </c>
      <c r="B1236">
        <f>ObesityDataSet_raw_and_data_sin!C1236</f>
        <v>1.7863180000000001</v>
      </c>
      <c r="C1236">
        <f>ObesityDataSet_raw_and_data_sin!D1236</f>
        <v>98.447310999999999</v>
      </c>
      <c r="D1236" t="str">
        <f>ObesityDataSet_raw_and_data_sin!Q1236</f>
        <v>Obesity_Type_I</v>
      </c>
      <c r="E1236" t="b">
        <f t="shared" si="77"/>
        <v>0</v>
      </c>
      <c r="F1236">
        <f>C1236/(B1236*B1236)</f>
        <v>30.852212171469326</v>
      </c>
      <c r="G1236" t="str">
        <f t="shared" si="78"/>
        <v>Obese</v>
      </c>
      <c r="H1236" t="str">
        <f t="shared" si="79"/>
        <v>OK</v>
      </c>
      <c r="I1236" t="str">
        <f t="shared" si="76"/>
        <v>OK</v>
      </c>
    </row>
    <row r="1237" spans="1:9" x14ac:dyDescent="0.2">
      <c r="A1237" t="str">
        <f>ObesityDataSet_raw_and_data_sin!A1237</f>
        <v>Male</v>
      </c>
      <c r="B1237">
        <f>ObesityDataSet_raw_and_data_sin!C1237</f>
        <v>1.7576909999999999</v>
      </c>
      <c r="C1237">
        <f>ObesityDataSet_raw_and_data_sin!D1237</f>
        <v>95.361795000000001</v>
      </c>
      <c r="D1237" t="str">
        <f>ObesityDataSet_raw_and_data_sin!Q1237</f>
        <v>Obesity_Type_I</v>
      </c>
      <c r="E1237" t="b">
        <f t="shared" si="77"/>
        <v>0</v>
      </c>
      <c r="F1237">
        <f>C1237/(B1237*B1237)</f>
        <v>30.86664017598137</v>
      </c>
      <c r="G1237" t="str">
        <f t="shared" si="78"/>
        <v>Obese</v>
      </c>
      <c r="H1237" t="str">
        <f t="shared" si="79"/>
        <v>OK</v>
      </c>
      <c r="I1237" t="str">
        <f t="shared" si="76"/>
        <v>OK</v>
      </c>
    </row>
    <row r="1238" spans="1:9" x14ac:dyDescent="0.2">
      <c r="A1238" t="str">
        <f>ObesityDataSet_raw_and_data_sin!A1238</f>
        <v>Male</v>
      </c>
      <c r="B1238">
        <f>ObesityDataSet_raw_and_data_sin!C1238</f>
        <v>1.7121630000000001</v>
      </c>
      <c r="C1238">
        <f>ObesityDataSet_raw_and_data_sin!D1238</f>
        <v>98.699971000000005</v>
      </c>
      <c r="D1238" t="str">
        <f>ObesityDataSet_raw_and_data_sin!Q1238</f>
        <v>Obesity_Type_I</v>
      </c>
      <c r="E1238" t="b">
        <f t="shared" si="77"/>
        <v>0</v>
      </c>
      <c r="F1238">
        <f>C1238/(B1238*B1238)</f>
        <v>33.668735799790326</v>
      </c>
      <c r="G1238" t="str">
        <f t="shared" si="78"/>
        <v>Obese</v>
      </c>
      <c r="H1238" t="str">
        <f t="shared" si="79"/>
        <v>OK</v>
      </c>
      <c r="I1238" t="str">
        <f t="shared" si="76"/>
        <v>OK</v>
      </c>
    </row>
    <row r="1239" spans="1:9" x14ac:dyDescent="0.2">
      <c r="A1239" t="str">
        <f>ObesityDataSet_raw_and_data_sin!A1239</f>
        <v>Male</v>
      </c>
      <c r="B1239">
        <f>ObesityDataSet_raw_and_data_sin!C1239</f>
        <v>1.78</v>
      </c>
      <c r="C1239">
        <f>ObesityDataSet_raw_and_data_sin!D1239</f>
        <v>100.84763</v>
      </c>
      <c r="D1239" t="str">
        <f>ObesityDataSet_raw_and_data_sin!Q1239</f>
        <v>Obesity_Type_I</v>
      </c>
      <c r="E1239" t="b">
        <f t="shared" si="77"/>
        <v>0</v>
      </c>
      <c r="F1239">
        <f>C1239/(B1239*B1239)</f>
        <v>31.82919770231031</v>
      </c>
      <c r="G1239" t="str">
        <f t="shared" si="78"/>
        <v>Obese</v>
      </c>
      <c r="H1239" t="str">
        <f t="shared" si="79"/>
        <v>OK</v>
      </c>
      <c r="I1239" t="str">
        <f t="shared" si="76"/>
        <v>OK</v>
      </c>
    </row>
    <row r="1240" spans="1:9" x14ac:dyDescent="0.2">
      <c r="A1240" t="str">
        <f>ObesityDataSet_raw_and_data_sin!A1240</f>
        <v>Female</v>
      </c>
      <c r="B1240">
        <f>ObesityDataSet_raw_and_data_sin!C1240</f>
        <v>1.6</v>
      </c>
      <c r="C1240">
        <f>ObesityDataSet_raw_and_data_sin!D1240</f>
        <v>82.040317999999999</v>
      </c>
      <c r="D1240" t="str">
        <f>ObesityDataSet_raw_and_data_sin!Q1240</f>
        <v>Obesity_Type_I</v>
      </c>
      <c r="E1240" t="b">
        <f t="shared" si="77"/>
        <v>0</v>
      </c>
      <c r="F1240">
        <f>C1240/(B1240*B1240)</f>
        <v>32.046999218749995</v>
      </c>
      <c r="G1240" t="str">
        <f t="shared" si="78"/>
        <v>Obese</v>
      </c>
      <c r="H1240" t="str">
        <f t="shared" si="79"/>
        <v>OK</v>
      </c>
      <c r="I1240" t="str">
        <f t="shared" si="76"/>
        <v>OK</v>
      </c>
    </row>
    <row r="1241" spans="1:9" x14ac:dyDescent="0.2">
      <c r="A1241" t="str">
        <f>ObesityDataSet_raw_and_data_sin!A1241</f>
        <v>Female</v>
      </c>
      <c r="B1241">
        <f>ObesityDataSet_raw_and_data_sin!C1241</f>
        <v>1.6108199999999999</v>
      </c>
      <c r="C1241">
        <f>ObesityDataSet_raw_and_data_sin!D1241</f>
        <v>82.532994000000002</v>
      </c>
      <c r="D1241" t="str">
        <f>ObesityDataSet_raw_and_data_sin!Q1241</f>
        <v>Obesity_Type_I</v>
      </c>
      <c r="E1241" t="b">
        <f t="shared" si="77"/>
        <v>0</v>
      </c>
      <c r="F1241">
        <f>C1241/(B1241*B1241)</f>
        <v>31.807795728789731</v>
      </c>
      <c r="G1241" t="str">
        <f t="shared" si="78"/>
        <v>Obese</v>
      </c>
      <c r="H1241" t="str">
        <f t="shared" si="79"/>
        <v>OK</v>
      </c>
      <c r="I1241" t="str">
        <f t="shared" si="76"/>
        <v>OK</v>
      </c>
    </row>
    <row r="1242" spans="1:9" x14ac:dyDescent="0.2">
      <c r="A1242" t="str">
        <f>ObesityDataSet_raw_and_data_sin!A1242</f>
        <v>Female</v>
      </c>
      <c r="B1242">
        <f>ObesityDataSet_raw_and_data_sin!C1242</f>
        <v>1.6651990000000001</v>
      </c>
      <c r="C1242">
        <f>ObesityDataSet_raw_and_data_sin!D1242</f>
        <v>83.151150000000001</v>
      </c>
      <c r="D1242" t="str">
        <f>ObesityDataSet_raw_and_data_sin!Q1242</f>
        <v>Obesity_Type_I</v>
      </c>
      <c r="E1242" t="b">
        <f t="shared" si="77"/>
        <v>0</v>
      </c>
      <c r="F1242">
        <f>C1242/(B1242*B1242)</f>
        <v>29.987204210286929</v>
      </c>
      <c r="G1242" t="str">
        <f t="shared" si="78"/>
        <v>Overweight</v>
      </c>
      <c r="H1242" t="str">
        <f t="shared" si="79"/>
        <v>OK</v>
      </c>
      <c r="I1242" t="str">
        <f t="shared" si="76"/>
        <v>OK</v>
      </c>
    </row>
    <row r="1243" spans="1:9" x14ac:dyDescent="0.2">
      <c r="A1243" t="str">
        <f>ObesityDataSet_raw_and_data_sin!A1243</f>
        <v>Female</v>
      </c>
      <c r="B1243">
        <f>ObesityDataSet_raw_and_data_sin!C1243</f>
        <v>1.542122</v>
      </c>
      <c r="C1243">
        <f>ObesityDataSet_raw_and_data_sin!D1243</f>
        <v>80</v>
      </c>
      <c r="D1243" t="str">
        <f>ObesityDataSet_raw_and_data_sin!Q1243</f>
        <v>Obesity_Type_I</v>
      </c>
      <c r="E1243" t="b">
        <f t="shared" si="77"/>
        <v>0</v>
      </c>
      <c r="F1243">
        <f>C1243/(B1243*B1243)</f>
        <v>33.639731536685318</v>
      </c>
      <c r="G1243" t="str">
        <f t="shared" si="78"/>
        <v>Obese</v>
      </c>
      <c r="H1243" t="str">
        <f t="shared" si="79"/>
        <v>OK</v>
      </c>
      <c r="I1243" t="str">
        <f t="shared" si="76"/>
        <v>OK</v>
      </c>
    </row>
    <row r="1244" spans="1:9" x14ac:dyDescent="0.2">
      <c r="A1244" t="str">
        <f>ObesityDataSet_raw_and_data_sin!A1244</f>
        <v>Female</v>
      </c>
      <c r="B1244">
        <f>ObesityDataSet_raw_and_data_sin!C1244</f>
        <v>1.5078670000000001</v>
      </c>
      <c r="C1244">
        <f>ObesityDataSet_raw_and_data_sin!D1244</f>
        <v>79.589579999999998</v>
      </c>
      <c r="D1244" t="str">
        <f>ObesityDataSet_raw_and_data_sin!Q1244</f>
        <v>Obesity_Type_I</v>
      </c>
      <c r="E1244" t="b">
        <f t="shared" si="77"/>
        <v>0</v>
      </c>
      <c r="F1244">
        <f>C1244/(B1244*B1244)</f>
        <v>35.005004638522536</v>
      </c>
      <c r="G1244" t="str">
        <f t="shared" si="78"/>
        <v>Obese</v>
      </c>
      <c r="H1244" t="str">
        <f t="shared" si="79"/>
        <v>OK</v>
      </c>
      <c r="I1244" t="str">
        <f t="shared" si="76"/>
        <v>OK</v>
      </c>
    </row>
    <row r="1245" spans="1:9" x14ac:dyDescent="0.2">
      <c r="A1245" t="str">
        <f>ObesityDataSet_raw_and_data_sin!A1245</f>
        <v>Male</v>
      </c>
      <c r="B1245">
        <f>ObesityDataSet_raw_and_data_sin!C1245</f>
        <v>1.660955</v>
      </c>
      <c r="C1245">
        <f>ObesityDataSet_raw_and_data_sin!D1245</f>
        <v>90</v>
      </c>
      <c r="D1245" t="str">
        <f>ObesityDataSet_raw_and_data_sin!Q1245</f>
        <v>Obesity_Type_I</v>
      </c>
      <c r="E1245" t="b">
        <f t="shared" si="77"/>
        <v>0</v>
      </c>
      <c r="F1245">
        <f>C1245/(B1245*B1245)</f>
        <v>32.623216387332484</v>
      </c>
      <c r="G1245" t="str">
        <f t="shared" si="78"/>
        <v>Obese</v>
      </c>
      <c r="H1245" t="str">
        <f t="shared" si="79"/>
        <v>OK</v>
      </c>
      <c r="I1245" t="str">
        <f t="shared" si="76"/>
        <v>OK</v>
      </c>
    </row>
    <row r="1246" spans="1:9" x14ac:dyDescent="0.2">
      <c r="A1246" t="str">
        <f>ObesityDataSet_raw_and_data_sin!A1246</f>
        <v>Female</v>
      </c>
      <c r="B1246">
        <f>ObesityDataSet_raw_and_data_sin!C1246</f>
        <v>1.5531269999999999</v>
      </c>
      <c r="C1246">
        <f>ObesityDataSet_raw_and_data_sin!D1246</f>
        <v>78</v>
      </c>
      <c r="D1246" t="str">
        <f>ObesityDataSet_raw_and_data_sin!Q1246</f>
        <v>Obesity_Type_I</v>
      </c>
      <c r="E1246" t="b">
        <f t="shared" si="77"/>
        <v>0</v>
      </c>
      <c r="F1246">
        <f>C1246/(B1246*B1246)</f>
        <v>32.335580603880018</v>
      </c>
      <c r="G1246" t="str">
        <f t="shared" si="78"/>
        <v>Obese</v>
      </c>
      <c r="H1246" t="str">
        <f t="shared" si="79"/>
        <v>OK</v>
      </c>
      <c r="I1246" t="str">
        <f t="shared" si="76"/>
        <v>OK</v>
      </c>
    </row>
    <row r="1247" spans="1:9" x14ac:dyDescent="0.2">
      <c r="A1247" t="str">
        <f>ObesityDataSet_raw_and_data_sin!A1247</f>
        <v>Male</v>
      </c>
      <c r="B1247">
        <f>ObesityDataSet_raw_and_data_sin!C1247</f>
        <v>1.781952</v>
      </c>
      <c r="C1247">
        <f>ObesityDataSet_raw_and_data_sin!D1247</f>
        <v>102.910613</v>
      </c>
      <c r="D1247" t="str">
        <f>ObesityDataSet_raw_and_data_sin!Q1247</f>
        <v>Obesity_Type_I</v>
      </c>
      <c r="E1247" t="b">
        <f t="shared" si="77"/>
        <v>0</v>
      </c>
      <c r="F1247">
        <f>C1247/(B1247*B1247)</f>
        <v>32.40918891814259</v>
      </c>
      <c r="G1247" t="str">
        <f t="shared" si="78"/>
        <v>Obese</v>
      </c>
      <c r="H1247" t="str">
        <f t="shared" si="79"/>
        <v>OK</v>
      </c>
      <c r="I1247" t="str">
        <f t="shared" si="76"/>
        <v>OK</v>
      </c>
    </row>
    <row r="1248" spans="1:9" x14ac:dyDescent="0.2">
      <c r="A1248" t="str">
        <f>ObesityDataSet_raw_and_data_sin!A1248</f>
        <v>Male</v>
      </c>
      <c r="B1248">
        <f>ObesityDataSet_raw_and_data_sin!C1248</f>
        <v>1.75</v>
      </c>
      <c r="C1248">
        <f>ObesityDataSet_raw_and_data_sin!D1248</f>
        <v>96.940254999999993</v>
      </c>
      <c r="D1248" t="str">
        <f>ObesityDataSet_raw_and_data_sin!Q1248</f>
        <v>Obesity_Type_I</v>
      </c>
      <c r="E1248" t="b">
        <f t="shared" si="77"/>
        <v>0</v>
      </c>
      <c r="F1248">
        <f>C1248/(B1248*B1248)</f>
        <v>31.653960816326528</v>
      </c>
      <c r="G1248" t="str">
        <f t="shared" si="78"/>
        <v>Obese</v>
      </c>
      <c r="H1248" t="str">
        <f t="shared" si="79"/>
        <v>OK</v>
      </c>
      <c r="I1248" t="str">
        <f t="shared" si="76"/>
        <v>OK</v>
      </c>
    </row>
    <row r="1249" spans="1:9" x14ac:dyDescent="0.2">
      <c r="A1249" t="str">
        <f>ObesityDataSet_raw_and_data_sin!A1249</f>
        <v>Female</v>
      </c>
      <c r="B1249">
        <f>ObesityDataSet_raw_and_data_sin!C1249</f>
        <v>1.6158539999999999</v>
      </c>
      <c r="C1249">
        <f>ObesityDataSet_raw_and_data_sin!D1249</f>
        <v>80.615324999999999</v>
      </c>
      <c r="D1249" t="str">
        <f>ObesityDataSet_raw_and_data_sin!Q1249</f>
        <v>Obesity_Type_I</v>
      </c>
      <c r="E1249" t="b">
        <f t="shared" si="77"/>
        <v>0</v>
      </c>
      <c r="F1249">
        <f>C1249/(B1249*B1249)</f>
        <v>30.875455533163162</v>
      </c>
      <c r="G1249" t="str">
        <f t="shared" si="78"/>
        <v>Obese</v>
      </c>
      <c r="H1249" t="str">
        <f t="shared" si="79"/>
        <v>OK</v>
      </c>
      <c r="I1249" t="str">
        <f t="shared" si="76"/>
        <v>OK</v>
      </c>
    </row>
    <row r="1250" spans="1:9" x14ac:dyDescent="0.2">
      <c r="A1250" t="str">
        <f>ObesityDataSet_raw_and_data_sin!A1250</f>
        <v>Male</v>
      </c>
      <c r="B1250">
        <f>ObesityDataSet_raw_and_data_sin!C1250</f>
        <v>1.7933779999999999</v>
      </c>
      <c r="C1250">
        <f>ObesityDataSet_raw_and_data_sin!D1250</f>
        <v>105.65503699999999</v>
      </c>
      <c r="D1250" t="str">
        <f>ObesityDataSet_raw_and_data_sin!Q1250</f>
        <v>Obesity_Type_I</v>
      </c>
      <c r="E1250" t="b">
        <f t="shared" si="77"/>
        <v>0</v>
      </c>
      <c r="F1250">
        <f>C1250/(B1250*B1250)</f>
        <v>32.85084391969891</v>
      </c>
      <c r="G1250" t="str">
        <f t="shared" si="78"/>
        <v>Obese</v>
      </c>
      <c r="H1250" t="str">
        <f t="shared" si="79"/>
        <v>OK</v>
      </c>
      <c r="I1250" t="str">
        <f t="shared" si="76"/>
        <v>OK</v>
      </c>
    </row>
    <row r="1251" spans="1:9" x14ac:dyDescent="0.2">
      <c r="A1251" t="str">
        <f>ObesityDataSet_raw_and_data_sin!A1251</f>
        <v>Male</v>
      </c>
      <c r="B1251">
        <f>ObesityDataSet_raw_and_data_sin!C1251</f>
        <v>1.8547800000000001</v>
      </c>
      <c r="C1251">
        <f>ObesityDataSet_raw_and_data_sin!D1251</f>
        <v>114.77484</v>
      </c>
      <c r="D1251" t="str">
        <f>ObesityDataSet_raw_and_data_sin!Q1251</f>
        <v>Obesity_Type_I</v>
      </c>
      <c r="E1251" t="b">
        <f t="shared" si="77"/>
        <v>0</v>
      </c>
      <c r="F1251">
        <f>C1251/(B1251*B1251)</f>
        <v>33.362753558808038</v>
      </c>
      <c r="G1251" t="str">
        <f t="shared" si="78"/>
        <v>Obese</v>
      </c>
      <c r="H1251" t="str">
        <f t="shared" si="79"/>
        <v>OK</v>
      </c>
      <c r="I1251" t="str">
        <f t="shared" si="76"/>
        <v>OK</v>
      </c>
    </row>
    <row r="1252" spans="1:9" x14ac:dyDescent="0.2">
      <c r="A1252" t="str">
        <f>ObesityDataSet_raw_and_data_sin!A1252</f>
        <v>Female</v>
      </c>
      <c r="B1252">
        <f>ObesityDataSet_raw_and_data_sin!C1252</f>
        <v>1.6856329999999999</v>
      </c>
      <c r="C1252">
        <f>ObesityDataSet_raw_and_data_sin!D1252</f>
        <v>90.032670999999993</v>
      </c>
      <c r="D1252" t="str">
        <f>ObesityDataSet_raw_and_data_sin!Q1252</f>
        <v>Obesity_Type_I</v>
      </c>
      <c r="E1252" t="b">
        <f t="shared" si="77"/>
        <v>0</v>
      </c>
      <c r="F1252">
        <f>C1252/(B1252*B1252)</f>
        <v>31.686486408756412</v>
      </c>
      <c r="G1252" t="str">
        <f t="shared" si="78"/>
        <v>Obese</v>
      </c>
      <c r="H1252" t="str">
        <f t="shared" si="79"/>
        <v>OK</v>
      </c>
      <c r="I1252" t="str">
        <f t="shared" si="76"/>
        <v>OK</v>
      </c>
    </row>
    <row r="1253" spans="1:9" x14ac:dyDescent="0.2">
      <c r="A1253" t="str">
        <f>ObesityDataSet_raw_and_data_sin!A1253</f>
        <v>Female</v>
      </c>
      <c r="B1253">
        <f>ObesityDataSet_raw_and_data_sin!C1253</f>
        <v>1.7063429999999999</v>
      </c>
      <c r="C1253">
        <f>ObesityDataSet_raw_and_data_sin!D1253</f>
        <v>93.348843000000002</v>
      </c>
      <c r="D1253" t="str">
        <f>ObesityDataSet_raw_and_data_sin!Q1253</f>
        <v>Obesity_Type_I</v>
      </c>
      <c r="E1253" t="b">
        <f t="shared" si="77"/>
        <v>0</v>
      </c>
      <c r="F1253">
        <f>C1253/(B1253*B1253)</f>
        <v>32.060941314451497</v>
      </c>
      <c r="G1253" t="str">
        <f t="shared" si="78"/>
        <v>Obese</v>
      </c>
      <c r="H1253" t="str">
        <f t="shared" si="79"/>
        <v>OK</v>
      </c>
      <c r="I1253" t="str">
        <f t="shared" si="76"/>
        <v>OK</v>
      </c>
    </row>
    <row r="1254" spans="1:9" x14ac:dyDescent="0.2">
      <c r="A1254" t="str">
        <f>ObesityDataSet_raw_and_data_sin!A1254</f>
        <v>Male</v>
      </c>
      <c r="B1254">
        <f>ObesityDataSet_raw_and_data_sin!C1254</f>
        <v>1.791415</v>
      </c>
      <c r="C1254">
        <f>ObesityDataSet_raw_and_data_sin!D1254</f>
        <v>105.13807300000001</v>
      </c>
      <c r="D1254" t="str">
        <f>ObesityDataSet_raw_and_data_sin!Q1254</f>
        <v>Obesity_Type_I</v>
      </c>
      <c r="E1254" t="b">
        <f t="shared" si="77"/>
        <v>0</v>
      </c>
      <c r="F1254">
        <f>C1254/(B1254*B1254)</f>
        <v>32.761788337550897</v>
      </c>
      <c r="G1254" t="str">
        <f t="shared" si="78"/>
        <v>Obese</v>
      </c>
      <c r="H1254" t="str">
        <f t="shared" si="79"/>
        <v>OK</v>
      </c>
      <c r="I1254" t="str">
        <f t="shared" si="76"/>
        <v>OK</v>
      </c>
    </row>
    <row r="1255" spans="1:9" x14ac:dyDescent="0.2">
      <c r="A1255" t="str">
        <f>ObesityDataSet_raw_and_data_sin!A1255</f>
        <v>Male</v>
      </c>
      <c r="B1255">
        <f>ObesityDataSet_raw_and_data_sin!C1255</f>
        <v>1.7537160000000001</v>
      </c>
      <c r="C1255">
        <f>ObesityDataSet_raw_and_data_sin!D1255</f>
        <v>106.49141</v>
      </c>
      <c r="D1255" t="str">
        <f>ObesityDataSet_raw_and_data_sin!Q1255</f>
        <v>Obesity_Type_I</v>
      </c>
      <c r="E1255" t="b">
        <f t="shared" si="77"/>
        <v>0</v>
      </c>
      <c r="F1255">
        <f>C1255/(B1255*B1255)</f>
        <v>34.625499631080793</v>
      </c>
      <c r="G1255" t="str">
        <f t="shared" si="78"/>
        <v>Obese</v>
      </c>
      <c r="H1255" t="str">
        <f t="shared" si="79"/>
        <v>OK</v>
      </c>
      <c r="I1255" t="str">
        <f t="shared" si="76"/>
        <v>OK</v>
      </c>
    </row>
    <row r="1256" spans="1:9" x14ac:dyDescent="0.2">
      <c r="A1256" t="str">
        <f>ObesityDataSet_raw_and_data_sin!A1256</f>
        <v>Male</v>
      </c>
      <c r="B1256">
        <f>ObesityDataSet_raw_and_data_sin!C1256</f>
        <v>1.7805029999999999</v>
      </c>
      <c r="C1256">
        <f>ObesityDataSet_raw_and_data_sin!D1256</f>
        <v>103.189532</v>
      </c>
      <c r="D1256" t="str">
        <f>ObesityDataSet_raw_and_data_sin!Q1256</f>
        <v>Obesity_Type_I</v>
      </c>
      <c r="E1256" t="b">
        <f t="shared" si="77"/>
        <v>0</v>
      </c>
      <c r="F1256">
        <f>C1256/(B1256*B1256)</f>
        <v>32.549942315952947</v>
      </c>
      <c r="G1256" t="str">
        <f t="shared" si="78"/>
        <v>Obese</v>
      </c>
      <c r="H1256" t="str">
        <f t="shared" si="79"/>
        <v>OK</v>
      </c>
      <c r="I1256" t="str">
        <f t="shared" si="76"/>
        <v>OK</v>
      </c>
    </row>
    <row r="1257" spans="1:9" x14ac:dyDescent="0.2">
      <c r="A1257" t="str">
        <f>ObesityDataSet_raw_and_data_sin!A1257</f>
        <v>Male</v>
      </c>
      <c r="B1257">
        <f>ObesityDataSet_raw_and_data_sin!C1257</f>
        <v>1.8198669999999999</v>
      </c>
      <c r="C1257">
        <f>ObesityDataSet_raw_and_data_sin!D1257</f>
        <v>106.03846799999999</v>
      </c>
      <c r="D1257" t="str">
        <f>ObesityDataSet_raw_and_data_sin!Q1257</f>
        <v>Obesity_Type_I</v>
      </c>
      <c r="E1257" t="b">
        <f t="shared" si="77"/>
        <v>0</v>
      </c>
      <c r="F1257">
        <f>C1257/(B1257*B1257)</f>
        <v>32.017258673142003</v>
      </c>
      <c r="G1257" t="str">
        <f t="shared" si="78"/>
        <v>Obese</v>
      </c>
      <c r="H1257" t="str">
        <f t="shared" si="79"/>
        <v>OK</v>
      </c>
      <c r="I1257" t="str">
        <f t="shared" si="76"/>
        <v>OK</v>
      </c>
    </row>
    <row r="1258" spans="1:9" x14ac:dyDescent="0.2">
      <c r="A1258" t="str">
        <f>ObesityDataSet_raw_and_data_sin!A1258</f>
        <v>Male</v>
      </c>
      <c r="B1258">
        <f>ObesityDataSet_raw_and_data_sin!C1258</f>
        <v>1.791174</v>
      </c>
      <c r="C1258">
        <f>ObesityDataSet_raw_and_data_sin!D1258</f>
        <v>108.9606</v>
      </c>
      <c r="D1258" t="str">
        <f>ObesityDataSet_raw_and_data_sin!Q1258</f>
        <v>Obesity_Type_I</v>
      </c>
      <c r="E1258" t="b">
        <f t="shared" si="77"/>
        <v>0</v>
      </c>
      <c r="F1258">
        <f>C1258/(B1258*B1258)</f>
        <v>33.962052807319608</v>
      </c>
      <c r="G1258" t="str">
        <f t="shared" si="78"/>
        <v>Obese</v>
      </c>
      <c r="H1258" t="str">
        <f t="shared" si="79"/>
        <v>OK</v>
      </c>
      <c r="I1258" t="str">
        <f t="shared" si="76"/>
        <v>OK</v>
      </c>
    </row>
    <row r="1259" spans="1:9" x14ac:dyDescent="0.2">
      <c r="A1259" t="str">
        <f>ObesityDataSet_raw_and_data_sin!A1259</f>
        <v>Male</v>
      </c>
      <c r="B1259">
        <f>ObesityDataSet_raw_and_data_sin!C1259</f>
        <v>1.8209299999999999</v>
      </c>
      <c r="C1259">
        <f>ObesityDataSet_raw_and_data_sin!D1259</f>
        <v>108.74200500000001</v>
      </c>
      <c r="D1259" t="str">
        <f>ObesityDataSet_raw_and_data_sin!Q1259</f>
        <v>Obesity_Type_I</v>
      </c>
      <c r="E1259" t="b">
        <f t="shared" si="77"/>
        <v>0</v>
      </c>
      <c r="F1259">
        <f>C1259/(B1259*B1259)</f>
        <v>32.795241572160819</v>
      </c>
      <c r="G1259" t="str">
        <f t="shared" si="78"/>
        <v>Obese</v>
      </c>
      <c r="H1259" t="str">
        <f t="shared" si="79"/>
        <v>OK</v>
      </c>
      <c r="I1259" t="str">
        <f t="shared" si="76"/>
        <v>OK</v>
      </c>
    </row>
    <row r="1260" spans="1:9" x14ac:dyDescent="0.2">
      <c r="A1260" t="str">
        <f>ObesityDataSet_raw_and_data_sin!A1260</f>
        <v>Female</v>
      </c>
      <c r="B1260">
        <f>ObesityDataSet_raw_and_data_sin!C1260</f>
        <v>1.627812</v>
      </c>
      <c r="C1260">
        <f>ObesityDataSet_raw_and_data_sin!D1260</f>
        <v>82</v>
      </c>
      <c r="D1260" t="str">
        <f>ObesityDataSet_raw_and_data_sin!Q1260</f>
        <v>Obesity_Type_I</v>
      </c>
      <c r="E1260" t="b">
        <f t="shared" si="77"/>
        <v>0</v>
      </c>
      <c r="F1260">
        <f>C1260/(B1260*B1260)</f>
        <v>30.946059837351331</v>
      </c>
      <c r="G1260" t="str">
        <f t="shared" si="78"/>
        <v>Obese</v>
      </c>
      <c r="H1260" t="str">
        <f t="shared" si="79"/>
        <v>OK</v>
      </c>
      <c r="I1260" t="str">
        <f t="shared" si="76"/>
        <v>OK</v>
      </c>
    </row>
    <row r="1261" spans="1:9" x14ac:dyDescent="0.2">
      <c r="A1261" t="str">
        <f>ObesityDataSet_raw_and_data_sin!A1261</f>
        <v>Female</v>
      </c>
      <c r="B1261">
        <f>ObesityDataSet_raw_and_data_sin!C1261</f>
        <v>1.632118</v>
      </c>
      <c r="C1261">
        <f>ObesityDataSet_raw_and_data_sin!D1261</f>
        <v>82</v>
      </c>
      <c r="D1261" t="str">
        <f>ObesityDataSet_raw_and_data_sin!Q1261</f>
        <v>Obesity_Type_I</v>
      </c>
      <c r="E1261" t="b">
        <f t="shared" si="77"/>
        <v>0</v>
      </c>
      <c r="F1261">
        <f>C1261/(B1261*B1261)</f>
        <v>30.782985901903569</v>
      </c>
      <c r="G1261" t="str">
        <f t="shared" si="78"/>
        <v>Obese</v>
      </c>
      <c r="H1261" t="str">
        <f t="shared" si="79"/>
        <v>OK</v>
      </c>
      <c r="I1261" t="str">
        <f t="shared" si="76"/>
        <v>OK</v>
      </c>
    </row>
    <row r="1262" spans="1:9" x14ac:dyDescent="0.2">
      <c r="A1262" t="str">
        <f>ObesityDataSet_raw_and_data_sin!A1262</f>
        <v>Male</v>
      </c>
      <c r="B1262">
        <f>ObesityDataSet_raw_and_data_sin!C1262</f>
        <v>1.7735939999999999</v>
      </c>
      <c r="C1262">
        <f>ObesityDataSet_raw_and_data_sin!D1262</f>
        <v>105.000789</v>
      </c>
      <c r="D1262" t="str">
        <f>ObesityDataSet_raw_and_data_sin!Q1262</f>
        <v>Obesity_Type_I</v>
      </c>
      <c r="E1262" t="b">
        <f t="shared" si="77"/>
        <v>0</v>
      </c>
      <c r="F1262">
        <f>C1262/(B1262*B1262)</f>
        <v>33.379831546676058</v>
      </c>
      <c r="G1262" t="str">
        <f t="shared" si="78"/>
        <v>Obese</v>
      </c>
      <c r="H1262" t="str">
        <f t="shared" si="79"/>
        <v>OK</v>
      </c>
      <c r="I1262" t="str">
        <f t="shared" si="76"/>
        <v>OK</v>
      </c>
    </row>
    <row r="1263" spans="1:9" x14ac:dyDescent="0.2">
      <c r="A1263" t="str">
        <f>ObesityDataSet_raw_and_data_sin!A1263</f>
        <v>Male</v>
      </c>
      <c r="B1263">
        <f>ObesityDataSet_raw_and_data_sin!C1263</f>
        <v>1.9304159999999999</v>
      </c>
      <c r="C1263">
        <f>ObesityDataSet_raw_and_data_sin!D1263</f>
        <v>118.560509</v>
      </c>
      <c r="D1263" t="str">
        <f>ObesityDataSet_raw_and_data_sin!Q1263</f>
        <v>Obesity_Type_I</v>
      </c>
      <c r="E1263" t="b">
        <f t="shared" si="77"/>
        <v>0</v>
      </c>
      <c r="F1263">
        <f>C1263/(B1263*B1263)</f>
        <v>31.815462293594674</v>
      </c>
      <c r="G1263" t="str">
        <f t="shared" si="78"/>
        <v>Obese</v>
      </c>
      <c r="H1263" t="str">
        <f t="shared" si="79"/>
        <v>OK</v>
      </c>
      <c r="I1263" t="str">
        <f t="shared" si="76"/>
        <v>OK</v>
      </c>
    </row>
    <row r="1264" spans="1:9" x14ac:dyDescent="0.2">
      <c r="A1264" t="str">
        <f>ObesityDataSet_raw_and_data_sin!A1264</f>
        <v>Male</v>
      </c>
      <c r="B1264">
        <f>ObesityDataSet_raw_and_data_sin!C1264</f>
        <v>1.947406</v>
      </c>
      <c r="C1264">
        <f>ObesityDataSet_raw_and_data_sin!D1264</f>
        <v>116.89310500000001</v>
      </c>
      <c r="D1264" t="str">
        <f>ObesityDataSet_raw_and_data_sin!Q1264</f>
        <v>Obesity_Type_I</v>
      </c>
      <c r="E1264" t="b">
        <f t="shared" si="77"/>
        <v>0</v>
      </c>
      <c r="F1264">
        <f>C1264/(B1264*B1264)</f>
        <v>30.823069628619159</v>
      </c>
      <c r="G1264" t="str">
        <f t="shared" si="78"/>
        <v>Obese</v>
      </c>
      <c r="H1264" t="str">
        <f t="shared" si="79"/>
        <v>OK</v>
      </c>
      <c r="I1264" t="str">
        <f t="shared" si="76"/>
        <v>OK</v>
      </c>
    </row>
    <row r="1265" spans="1:9" x14ac:dyDescent="0.2">
      <c r="A1265" t="str">
        <f>ObesityDataSet_raw_and_data_sin!A1265</f>
        <v>Female</v>
      </c>
      <c r="B1265">
        <f>ObesityDataSet_raw_and_data_sin!C1265</f>
        <v>1.610867</v>
      </c>
      <c r="C1265">
        <f>ObesityDataSet_raw_and_data_sin!D1265</f>
        <v>80</v>
      </c>
      <c r="D1265" t="str">
        <f>ObesityDataSet_raw_and_data_sin!Q1265</f>
        <v>Obesity_Type_I</v>
      </c>
      <c r="E1265" t="b">
        <f t="shared" si="77"/>
        <v>0</v>
      </c>
      <c r="F1265">
        <f>C1265/(B1265*B1265)</f>
        <v>30.829793625834757</v>
      </c>
      <c r="G1265" t="str">
        <f t="shared" si="78"/>
        <v>Obese</v>
      </c>
      <c r="H1265" t="str">
        <f t="shared" si="79"/>
        <v>OK</v>
      </c>
      <c r="I1265" t="str">
        <f t="shared" si="76"/>
        <v>OK</v>
      </c>
    </row>
    <row r="1266" spans="1:9" x14ac:dyDescent="0.2">
      <c r="A1266" t="str">
        <f>ObesityDataSet_raw_and_data_sin!A1266</f>
        <v>Female</v>
      </c>
      <c r="B1266">
        <f>ObesityDataSet_raw_and_data_sin!C1266</f>
        <v>1.5132019999999999</v>
      </c>
      <c r="C1266">
        <f>ObesityDataSet_raw_and_data_sin!D1266</f>
        <v>75.410646999999997</v>
      </c>
      <c r="D1266" t="str">
        <f>ObesityDataSet_raw_and_data_sin!Q1266</f>
        <v>Obesity_Type_I</v>
      </c>
      <c r="E1266" t="b">
        <f t="shared" si="77"/>
        <v>0</v>
      </c>
      <c r="F1266">
        <f>C1266/(B1266*B1266)</f>
        <v>32.933573250232783</v>
      </c>
      <c r="G1266" t="str">
        <f t="shared" si="78"/>
        <v>Obese</v>
      </c>
      <c r="H1266" t="str">
        <f t="shared" si="79"/>
        <v>OK</v>
      </c>
      <c r="I1266" t="str">
        <f t="shared" si="76"/>
        <v>OK</v>
      </c>
    </row>
    <row r="1267" spans="1:9" x14ac:dyDescent="0.2">
      <c r="A1267" t="str">
        <f>ObesityDataSet_raw_and_data_sin!A1267</f>
        <v>Male</v>
      </c>
      <c r="B1267">
        <f>ObesityDataSet_raw_and_data_sin!C1267</f>
        <v>1.7384649999999999</v>
      </c>
      <c r="C1267">
        <f>ObesityDataSet_raw_and_data_sin!D1267</f>
        <v>97.185473999999999</v>
      </c>
      <c r="D1267" t="str">
        <f>ObesityDataSet_raw_and_data_sin!Q1267</f>
        <v>Obesity_Type_I</v>
      </c>
      <c r="E1267" t="b">
        <f t="shared" si="77"/>
        <v>0</v>
      </c>
      <c r="F1267">
        <f>C1267/(B1267*B1267)</f>
        <v>32.156550433689603</v>
      </c>
      <c r="G1267" t="str">
        <f t="shared" si="78"/>
        <v>Obese</v>
      </c>
      <c r="H1267" t="str">
        <f t="shared" si="79"/>
        <v>OK</v>
      </c>
      <c r="I1267" t="str">
        <f t="shared" si="76"/>
        <v>OK</v>
      </c>
    </row>
    <row r="1268" spans="1:9" x14ac:dyDescent="0.2">
      <c r="A1268" t="str">
        <f>ObesityDataSet_raw_and_data_sin!A1268</f>
        <v>Female</v>
      </c>
      <c r="B1268">
        <f>ObesityDataSet_raw_and_data_sin!C1268</f>
        <v>1.5679149999999999</v>
      </c>
      <c r="C1268">
        <f>ObesityDataSet_raw_and_data_sin!D1268</f>
        <v>76.129784000000001</v>
      </c>
      <c r="D1268" t="str">
        <f>ObesityDataSet_raw_and_data_sin!Q1268</f>
        <v>Obesity_Type_I</v>
      </c>
      <c r="E1268" t="b">
        <f t="shared" si="77"/>
        <v>0</v>
      </c>
      <c r="F1268">
        <f>C1268/(B1268*B1268)</f>
        <v>30.967743964953304</v>
      </c>
      <c r="G1268" t="str">
        <f t="shared" si="78"/>
        <v>Obese</v>
      </c>
      <c r="H1268" t="str">
        <f t="shared" si="79"/>
        <v>OK</v>
      </c>
      <c r="I1268" t="str">
        <f t="shared" si="76"/>
        <v>OK</v>
      </c>
    </row>
    <row r="1269" spans="1:9" x14ac:dyDescent="0.2">
      <c r="A1269" t="str">
        <f>ObesityDataSet_raw_and_data_sin!A1269</f>
        <v>Female</v>
      </c>
      <c r="B1269">
        <f>ObesityDataSet_raw_and_data_sin!C1269</f>
        <v>1.5875459999999999</v>
      </c>
      <c r="C1269">
        <f>ObesityDataSet_raw_and_data_sin!D1269</f>
        <v>76.126112000000006</v>
      </c>
      <c r="D1269" t="str">
        <f>ObesityDataSet_raw_and_data_sin!Q1269</f>
        <v>Obesity_Type_I</v>
      </c>
      <c r="E1269" t="b">
        <f t="shared" si="77"/>
        <v>0</v>
      </c>
      <c r="F1269">
        <f>C1269/(B1269*B1269)</f>
        <v>30.205151158289983</v>
      </c>
      <c r="G1269" t="str">
        <f t="shared" si="78"/>
        <v>Obese</v>
      </c>
      <c r="H1269" t="str">
        <f t="shared" si="79"/>
        <v>OK</v>
      </c>
      <c r="I1269" t="str">
        <f t="shared" si="76"/>
        <v>OK</v>
      </c>
    </row>
    <row r="1270" spans="1:9" x14ac:dyDescent="0.2">
      <c r="A1270" t="str">
        <f>ObesityDataSet_raw_and_data_sin!A1270</f>
        <v>Male</v>
      </c>
      <c r="B1270">
        <f>ObesityDataSet_raw_and_data_sin!C1270</f>
        <v>1.8203849999999999</v>
      </c>
      <c r="C1270">
        <f>ObesityDataSet_raw_and_data_sin!D1270</f>
        <v>108.395005</v>
      </c>
      <c r="D1270" t="str">
        <f>ObesityDataSet_raw_and_data_sin!Q1270</f>
        <v>Obesity_Type_I</v>
      </c>
      <c r="E1270" t="b">
        <f t="shared" si="77"/>
        <v>0</v>
      </c>
      <c r="F1270">
        <f>C1270/(B1270*B1270)</f>
        <v>32.710167891031539</v>
      </c>
      <c r="G1270" t="str">
        <f t="shared" si="78"/>
        <v>Obese</v>
      </c>
      <c r="H1270" t="str">
        <f t="shared" si="79"/>
        <v>OK</v>
      </c>
      <c r="I1270" t="str">
        <f t="shared" si="76"/>
        <v>OK</v>
      </c>
    </row>
    <row r="1271" spans="1:9" x14ac:dyDescent="0.2">
      <c r="A1271" t="str">
        <f>ObesityDataSet_raw_and_data_sin!A1271</f>
        <v>Male</v>
      </c>
      <c r="B1271">
        <f>ObesityDataSet_raw_and_data_sin!C1271</f>
        <v>1.7922389999999999</v>
      </c>
      <c r="C1271">
        <f>ObesityDataSet_raw_and_data_sin!D1271</f>
        <v>108.244379</v>
      </c>
      <c r="D1271" t="str">
        <f>ObesityDataSet_raw_and_data_sin!Q1271</f>
        <v>Obesity_Type_I</v>
      </c>
      <c r="E1271" t="b">
        <f t="shared" si="77"/>
        <v>0</v>
      </c>
      <c r="F1271">
        <f>C1271/(B1271*B1271)</f>
        <v>33.698727838507821</v>
      </c>
      <c r="G1271" t="str">
        <f t="shared" si="78"/>
        <v>Obese</v>
      </c>
      <c r="H1271" t="str">
        <f t="shared" si="79"/>
        <v>OK</v>
      </c>
      <c r="I1271" t="str">
        <f t="shared" si="76"/>
        <v>OK</v>
      </c>
    </row>
    <row r="1272" spans="1:9" x14ac:dyDescent="0.2">
      <c r="A1272" t="str">
        <f>ObesityDataSet_raw_and_data_sin!A1272</f>
        <v>Male</v>
      </c>
      <c r="B1272">
        <f>ObesityDataSet_raw_and_data_sin!C1272</f>
        <v>1.82697</v>
      </c>
      <c r="C1272">
        <f>ObesityDataSet_raw_and_data_sin!D1272</f>
        <v>108.751502</v>
      </c>
      <c r="D1272" t="str">
        <f>ObesityDataSet_raw_and_data_sin!Q1272</f>
        <v>Obesity_Type_I</v>
      </c>
      <c r="E1272" t="b">
        <f t="shared" si="77"/>
        <v>0</v>
      </c>
      <c r="F1272">
        <f>C1272/(B1272*B1272)</f>
        <v>32.581601815337464</v>
      </c>
      <c r="G1272" t="str">
        <f t="shared" si="78"/>
        <v>Obese</v>
      </c>
      <c r="H1272" t="str">
        <f t="shared" si="79"/>
        <v>OK</v>
      </c>
      <c r="I1272" t="str">
        <f t="shared" si="76"/>
        <v>OK</v>
      </c>
    </row>
    <row r="1273" spans="1:9" x14ac:dyDescent="0.2">
      <c r="A1273" t="str">
        <f>ObesityDataSet_raw_and_data_sin!A1273</f>
        <v>Female</v>
      </c>
      <c r="B1273">
        <f>ObesityDataSet_raw_and_data_sin!C1273</f>
        <v>1.670058</v>
      </c>
      <c r="C1273">
        <f>ObesityDataSet_raw_and_data_sin!D1273</f>
        <v>86.242678999999995</v>
      </c>
      <c r="D1273" t="str">
        <f>ObesityDataSet_raw_and_data_sin!Q1273</f>
        <v>Obesity_Type_I</v>
      </c>
      <c r="E1273" t="b">
        <f t="shared" si="77"/>
        <v>0</v>
      </c>
      <c r="F1273">
        <f>C1273/(B1273*B1273)</f>
        <v>30.921398688596383</v>
      </c>
      <c r="G1273" t="str">
        <f t="shared" si="78"/>
        <v>Obese</v>
      </c>
      <c r="H1273" t="str">
        <f t="shared" si="79"/>
        <v>OK</v>
      </c>
      <c r="I1273" t="str">
        <f t="shared" si="76"/>
        <v>OK</v>
      </c>
    </row>
    <row r="1274" spans="1:9" x14ac:dyDescent="0.2">
      <c r="A1274" t="str">
        <f>ObesityDataSet_raw_and_data_sin!A1274</f>
        <v>Male</v>
      </c>
      <c r="B1274">
        <f>ObesityDataSet_raw_and_data_sin!C1274</f>
        <v>1.639383</v>
      </c>
      <c r="C1274">
        <f>ObesityDataSet_raw_and_data_sin!D1274</f>
        <v>91.267087000000004</v>
      </c>
      <c r="D1274" t="str">
        <f>ObesityDataSet_raw_and_data_sin!Q1274</f>
        <v>Obesity_Type_I</v>
      </c>
      <c r="E1274" t="b">
        <f t="shared" si="77"/>
        <v>0</v>
      </c>
      <c r="F1274">
        <f>C1274/(B1274*B1274)</f>
        <v>33.958878157156441</v>
      </c>
      <c r="G1274" t="str">
        <f t="shared" si="78"/>
        <v>Obese</v>
      </c>
      <c r="H1274" t="str">
        <f t="shared" si="79"/>
        <v>OK</v>
      </c>
      <c r="I1274" t="str">
        <f t="shared" si="76"/>
        <v>OK</v>
      </c>
    </row>
    <row r="1275" spans="1:9" x14ac:dyDescent="0.2">
      <c r="A1275" t="str">
        <f>ObesityDataSet_raw_and_data_sin!A1275</f>
        <v>Male</v>
      </c>
      <c r="B1275">
        <f>ObesityDataSet_raw_and_data_sin!C1275</f>
        <v>1.6829160000000001</v>
      </c>
      <c r="C1275">
        <f>ObesityDataSet_raw_and_data_sin!D1275</f>
        <v>89.991670999999997</v>
      </c>
      <c r="D1275" t="str">
        <f>ObesityDataSet_raw_and_data_sin!Q1275</f>
        <v>Obesity_Type_I</v>
      </c>
      <c r="E1275" t="b">
        <f t="shared" si="77"/>
        <v>0</v>
      </c>
      <c r="F1275">
        <f>C1275/(B1275*B1275)</f>
        <v>31.77440576058094</v>
      </c>
      <c r="G1275" t="str">
        <f t="shared" si="78"/>
        <v>Obese</v>
      </c>
      <c r="H1275" t="str">
        <f t="shared" si="79"/>
        <v>OK</v>
      </c>
      <c r="I1275" t="str">
        <f t="shared" si="76"/>
        <v>OK</v>
      </c>
    </row>
    <row r="1276" spans="1:9" x14ac:dyDescent="0.2">
      <c r="A1276" t="str">
        <f>ObesityDataSet_raw_and_data_sin!A1276</f>
        <v>Female</v>
      </c>
      <c r="B1276">
        <f>ObesityDataSet_raw_and_data_sin!C1276</f>
        <v>1.609321</v>
      </c>
      <c r="C1276">
        <f>ObesityDataSet_raw_and_data_sin!D1276</f>
        <v>84.493155999999999</v>
      </c>
      <c r="D1276" t="str">
        <f>ObesityDataSet_raw_and_data_sin!Q1276</f>
        <v>Obesity_Type_I</v>
      </c>
      <c r="E1276" t="b">
        <f t="shared" si="77"/>
        <v>0</v>
      </c>
      <c r="F1276">
        <f>C1276/(B1276*B1276)</f>
        <v>32.623922399015839</v>
      </c>
      <c r="G1276" t="str">
        <f t="shared" si="78"/>
        <v>Obese</v>
      </c>
      <c r="H1276" t="str">
        <f t="shared" si="79"/>
        <v>OK</v>
      </c>
      <c r="I1276" t="str">
        <f t="shared" si="76"/>
        <v>OK</v>
      </c>
    </row>
    <row r="1277" spans="1:9" x14ac:dyDescent="0.2">
      <c r="A1277" t="str">
        <f>ObesityDataSet_raw_and_data_sin!A1277</f>
        <v>Male</v>
      </c>
      <c r="B1277">
        <f>ObesityDataSet_raw_and_data_sin!C1277</f>
        <v>1.690437</v>
      </c>
      <c r="C1277">
        <f>ObesityDataSet_raw_and_data_sin!D1277</f>
        <v>96.366776999999999</v>
      </c>
      <c r="D1277" t="str">
        <f>ObesityDataSet_raw_and_data_sin!Q1277</f>
        <v>Obesity_Type_I</v>
      </c>
      <c r="E1277" t="b">
        <f t="shared" si="77"/>
        <v>0</v>
      </c>
      <c r="F1277">
        <f>C1277/(B1277*B1277)</f>
        <v>33.72324474074049</v>
      </c>
      <c r="G1277" t="str">
        <f t="shared" si="78"/>
        <v>Obese</v>
      </c>
      <c r="H1277" t="str">
        <f t="shared" si="79"/>
        <v>OK</v>
      </c>
      <c r="I1277" t="str">
        <f t="shared" si="76"/>
        <v>OK</v>
      </c>
    </row>
    <row r="1278" spans="1:9" x14ac:dyDescent="0.2">
      <c r="A1278" t="str">
        <f>ObesityDataSet_raw_and_data_sin!A1278</f>
        <v>Male</v>
      </c>
      <c r="B1278">
        <f>ObesityDataSet_raw_and_data_sin!C1278</f>
        <v>1.700164</v>
      </c>
      <c r="C1278">
        <f>ObesityDataSet_raw_and_data_sin!D1278</f>
        <v>99.204695000000001</v>
      </c>
      <c r="D1278" t="str">
        <f>ObesityDataSet_raw_and_data_sin!Q1278</f>
        <v>Obesity_Type_I</v>
      </c>
      <c r="E1278" t="b">
        <f t="shared" si="77"/>
        <v>0</v>
      </c>
      <c r="F1278">
        <f>C1278/(B1278*B1278)</f>
        <v>34.320261971919273</v>
      </c>
      <c r="G1278" t="str">
        <f t="shared" si="78"/>
        <v>Obese</v>
      </c>
      <c r="H1278" t="str">
        <f t="shared" si="79"/>
        <v>OK</v>
      </c>
      <c r="I1278" t="str">
        <f t="shared" si="76"/>
        <v>OK</v>
      </c>
    </row>
    <row r="1279" spans="1:9" x14ac:dyDescent="0.2">
      <c r="A1279" t="str">
        <f>ObesityDataSet_raw_and_data_sin!A1279</f>
        <v>Female</v>
      </c>
      <c r="B1279">
        <f>ObesityDataSet_raw_and_data_sin!C1279</f>
        <v>1.6007400000000001</v>
      </c>
      <c r="C1279">
        <f>ObesityDataSet_raw_and_data_sin!D1279</f>
        <v>82.249831</v>
      </c>
      <c r="D1279" t="str">
        <f>ObesityDataSet_raw_and_data_sin!Q1279</f>
        <v>Obesity_Type_I</v>
      </c>
      <c r="E1279" t="b">
        <f t="shared" si="77"/>
        <v>0</v>
      </c>
      <c r="F1279">
        <f>C1279/(B1279*B1279)</f>
        <v>32.099141662130506</v>
      </c>
      <c r="G1279" t="str">
        <f t="shared" si="78"/>
        <v>Obese</v>
      </c>
      <c r="H1279" t="str">
        <f t="shared" si="79"/>
        <v>OK</v>
      </c>
      <c r="I1279" t="str">
        <f t="shared" si="76"/>
        <v>OK</v>
      </c>
    </row>
    <row r="1280" spans="1:9" x14ac:dyDescent="0.2">
      <c r="A1280" t="str">
        <f>ObesityDataSet_raw_and_data_sin!A1280</f>
        <v>Male</v>
      </c>
      <c r="B1280">
        <f>ObesityDataSet_raw_and_data_sin!C1280</f>
        <v>1.8018479999999999</v>
      </c>
      <c r="C1280">
        <f>ObesityDataSet_raw_and_data_sin!D1280</f>
        <v>104.74191399999999</v>
      </c>
      <c r="D1280" t="str">
        <f>ObesityDataSet_raw_and_data_sin!Q1280</f>
        <v>Obesity_Type_I</v>
      </c>
      <c r="E1280" t="b">
        <f t="shared" si="77"/>
        <v>0</v>
      </c>
      <c r="F1280">
        <f>C1280/(B1280*B1280)</f>
        <v>32.261473670271187</v>
      </c>
      <c r="G1280" t="str">
        <f t="shared" si="78"/>
        <v>Obese</v>
      </c>
      <c r="H1280" t="str">
        <f t="shared" si="79"/>
        <v>OK</v>
      </c>
      <c r="I1280" t="str">
        <f t="shared" si="76"/>
        <v>OK</v>
      </c>
    </row>
    <row r="1281" spans="1:9" x14ac:dyDescent="0.2">
      <c r="A1281" t="str">
        <f>ObesityDataSet_raw_and_data_sin!A1281</f>
        <v>Male</v>
      </c>
      <c r="B1281">
        <f>ObesityDataSet_raw_and_data_sin!C1281</f>
        <v>1.844751</v>
      </c>
      <c r="C1281">
        <f>ObesityDataSet_raw_and_data_sin!D1281</f>
        <v>105.025808</v>
      </c>
      <c r="D1281" t="str">
        <f>ObesityDataSet_raw_and_data_sin!Q1281</f>
        <v>Obesity_Type_I</v>
      </c>
      <c r="E1281" t="b">
        <f t="shared" si="77"/>
        <v>0</v>
      </c>
      <c r="F1281">
        <f>C1281/(B1281*B1281)</f>
        <v>30.861748127389685</v>
      </c>
      <c r="G1281" t="str">
        <f t="shared" si="78"/>
        <v>Obese</v>
      </c>
      <c r="H1281" t="str">
        <f t="shared" si="79"/>
        <v>OK</v>
      </c>
      <c r="I1281" t="str">
        <f t="shared" si="76"/>
        <v>OK</v>
      </c>
    </row>
    <row r="1282" spans="1:9" x14ac:dyDescent="0.2">
      <c r="A1282" t="str">
        <f>ObesityDataSet_raw_and_data_sin!A1282</f>
        <v>Male</v>
      </c>
      <c r="B1282">
        <f>ObesityDataSet_raw_and_data_sin!C1282</f>
        <v>1.8116019999999999</v>
      </c>
      <c r="C1282">
        <f>ObesityDataSet_raw_and_data_sin!D1282</f>
        <v>106.042142</v>
      </c>
      <c r="D1282" t="str">
        <f>ObesityDataSet_raw_and_data_sin!Q1282</f>
        <v>Obesity_Type_I</v>
      </c>
      <c r="E1282" t="b">
        <f t="shared" si="77"/>
        <v>0</v>
      </c>
      <c r="F1282">
        <f>C1282/(B1282*B1282)</f>
        <v>32.311186700674334</v>
      </c>
      <c r="G1282" t="str">
        <f t="shared" si="78"/>
        <v>Obese</v>
      </c>
      <c r="H1282" t="str">
        <f t="shared" si="79"/>
        <v>OK</v>
      </c>
      <c r="I1282" t="str">
        <f t="shared" ref="I1282:I1345" si="80">IF(AND(LEFT(D1282,10)="Overweight",G1282&lt;&gt;"Overweight"),"ERROR","OK")</f>
        <v>OK</v>
      </c>
    </row>
    <row r="1283" spans="1:9" x14ac:dyDescent="0.2">
      <c r="A1283" t="str">
        <f>ObesityDataSet_raw_and_data_sin!A1283</f>
        <v>Male</v>
      </c>
      <c r="B1283">
        <f>ObesityDataSet_raw_and_data_sin!C1283</f>
        <v>1.7875209999999999</v>
      </c>
      <c r="C1283">
        <f>ObesityDataSet_raw_and_data_sin!D1283</f>
        <v>100.62455300000001</v>
      </c>
      <c r="D1283" t="str">
        <f>ObesityDataSet_raw_and_data_sin!Q1283</f>
        <v>Obesity_Type_I</v>
      </c>
      <c r="E1283" t="b">
        <f t="shared" ref="E1283:E1346" si="81">IF(AND(A1283="Female", B1283&lt;1.5), TRUE, IF(AND(A1283="Male",B1283&lt;1.6),TRUE, FALSE))</f>
        <v>0</v>
      </c>
      <c r="F1283">
        <f>C1283/(B1283*B1283)</f>
        <v>31.492102684024605</v>
      </c>
      <c r="G1283" t="str">
        <f t="shared" ref="G1283:G1346" si="82">IF(E1283=TRUE,IF(F1283&lt;23,"Normal",IF(F1283&lt;25,"Overweight","Obese")),IF(F1283&lt;25,"Normal",IF(F1283&lt;30,"Overweight","Obese")))</f>
        <v>Obese</v>
      </c>
      <c r="H1283" t="str">
        <f t="shared" ref="H1283:H1346" si="83">IF(AND(D1283="Normal_Weight",G1283&lt;&gt;"Normal"),"ERROR","OK")</f>
        <v>OK</v>
      </c>
      <c r="I1283" t="str">
        <f t="shared" si="80"/>
        <v>OK</v>
      </c>
    </row>
    <row r="1284" spans="1:9" x14ac:dyDescent="0.2">
      <c r="A1284" t="str">
        <f>ObesityDataSet_raw_and_data_sin!A1284</f>
        <v>Male</v>
      </c>
      <c r="B1284">
        <f>ObesityDataSet_raw_and_data_sin!C1284</f>
        <v>1.7891090000000001</v>
      </c>
      <c r="C1284">
        <f>ObesityDataSet_raw_and_data_sin!D1284</f>
        <v>100.06626799999999</v>
      </c>
      <c r="D1284" t="str">
        <f>ObesityDataSet_raw_and_data_sin!Q1284</f>
        <v>Obesity_Type_I</v>
      </c>
      <c r="E1284" t="b">
        <f t="shared" si="81"/>
        <v>0</v>
      </c>
      <c r="F1284">
        <f>C1284/(B1284*B1284)</f>
        <v>31.261808768208429</v>
      </c>
      <c r="G1284" t="str">
        <f t="shared" si="82"/>
        <v>Obese</v>
      </c>
      <c r="H1284" t="str">
        <f t="shared" si="83"/>
        <v>OK</v>
      </c>
      <c r="I1284" t="str">
        <f t="shared" si="80"/>
        <v>OK</v>
      </c>
    </row>
    <row r="1285" spans="1:9" x14ac:dyDescent="0.2">
      <c r="A1285" t="str">
        <f>ObesityDataSet_raw_and_data_sin!A1285</f>
        <v>Female</v>
      </c>
      <c r="B1285">
        <f>ObesityDataSet_raw_and_data_sin!C1285</f>
        <v>1.5333639999999999</v>
      </c>
      <c r="C1285">
        <f>ObesityDataSet_raw_and_data_sin!D1285</f>
        <v>78.030383</v>
      </c>
      <c r="D1285" t="str">
        <f>ObesityDataSet_raw_and_data_sin!Q1285</f>
        <v>Obesity_Type_I</v>
      </c>
      <c r="E1285" t="b">
        <f t="shared" si="81"/>
        <v>0</v>
      </c>
      <c r="F1285">
        <f>C1285/(B1285*B1285)</f>
        <v>33.187398719509723</v>
      </c>
      <c r="G1285" t="str">
        <f t="shared" si="82"/>
        <v>Obese</v>
      </c>
      <c r="H1285" t="str">
        <f t="shared" si="83"/>
        <v>OK</v>
      </c>
      <c r="I1285" t="str">
        <f t="shared" si="80"/>
        <v>OK</v>
      </c>
    </row>
    <row r="1286" spans="1:9" x14ac:dyDescent="0.2">
      <c r="A1286" t="str">
        <f>ObesityDataSet_raw_and_data_sin!A1286</f>
        <v>Female</v>
      </c>
      <c r="B1286">
        <f>ObesityDataSet_raw_and_data_sin!C1286</f>
        <v>1.5808580000000001</v>
      </c>
      <c r="C1286">
        <f>ObesityDataSet_raw_and_data_sin!D1286</f>
        <v>79.713492000000002</v>
      </c>
      <c r="D1286" t="str">
        <f>ObesityDataSet_raw_and_data_sin!Q1286</f>
        <v>Obesity_Type_I</v>
      </c>
      <c r="E1286" t="b">
        <f t="shared" si="81"/>
        <v>0</v>
      </c>
      <c r="F1286">
        <f>C1286/(B1286*B1286)</f>
        <v>31.896726310954175</v>
      </c>
      <c r="G1286" t="str">
        <f t="shared" si="82"/>
        <v>Obese</v>
      </c>
      <c r="H1286" t="str">
        <f t="shared" si="83"/>
        <v>OK</v>
      </c>
      <c r="I1286" t="str">
        <f t="shared" si="80"/>
        <v>OK</v>
      </c>
    </row>
    <row r="1287" spans="1:9" x14ac:dyDescent="0.2">
      <c r="A1287" t="str">
        <f>ObesityDataSet_raw_and_data_sin!A1287</f>
        <v>Female</v>
      </c>
      <c r="B1287">
        <f>ObesityDataSet_raw_and_data_sin!C1287</f>
        <v>1.64639</v>
      </c>
      <c r="C1287">
        <f>ObesityDataSet_raw_and_data_sin!D1287</f>
        <v>86.639860999999996</v>
      </c>
      <c r="D1287" t="str">
        <f>ObesityDataSet_raw_and_data_sin!Q1287</f>
        <v>Obesity_Type_I</v>
      </c>
      <c r="E1287" t="b">
        <f t="shared" si="81"/>
        <v>0</v>
      </c>
      <c r="F1287">
        <f>C1287/(B1287*B1287)</f>
        <v>31.963351277937143</v>
      </c>
      <c r="G1287" t="str">
        <f t="shared" si="82"/>
        <v>Obese</v>
      </c>
      <c r="H1287" t="str">
        <f t="shared" si="83"/>
        <v>OK</v>
      </c>
      <c r="I1287" t="str">
        <f t="shared" si="80"/>
        <v>OK</v>
      </c>
    </row>
    <row r="1288" spans="1:9" x14ac:dyDescent="0.2">
      <c r="A1288" t="str">
        <f>ObesityDataSet_raw_and_data_sin!A1288</f>
        <v>Female</v>
      </c>
      <c r="B1288">
        <f>ObesityDataSet_raw_and_data_sin!C1288</f>
        <v>1.643786</v>
      </c>
      <c r="C1288">
        <f>ObesityDataSet_raw_and_data_sin!D1288</f>
        <v>81.978742999999994</v>
      </c>
      <c r="D1288" t="str">
        <f>ObesityDataSet_raw_and_data_sin!Q1288</f>
        <v>Obesity_Type_I</v>
      </c>
      <c r="E1288" t="b">
        <f t="shared" si="81"/>
        <v>0</v>
      </c>
      <c r="F1288">
        <f>C1288/(B1288*B1288)</f>
        <v>30.339659354726482</v>
      </c>
      <c r="G1288" t="str">
        <f t="shared" si="82"/>
        <v>Obese</v>
      </c>
      <c r="H1288" t="str">
        <f t="shared" si="83"/>
        <v>OK</v>
      </c>
      <c r="I1288" t="str">
        <f t="shared" si="80"/>
        <v>OK</v>
      </c>
    </row>
    <row r="1289" spans="1:9" x14ac:dyDescent="0.2">
      <c r="A1289" t="str">
        <f>ObesityDataSet_raw_and_data_sin!A1289</f>
        <v>Female</v>
      </c>
      <c r="B1289">
        <f>ObesityDataSet_raw_and_data_sin!C1289</f>
        <v>1.634342</v>
      </c>
      <c r="C1289">
        <f>ObesityDataSet_raw_and_data_sin!D1289</f>
        <v>82.414477000000005</v>
      </c>
      <c r="D1289" t="str">
        <f>ObesityDataSet_raw_and_data_sin!Q1289</f>
        <v>Obesity_Type_I</v>
      </c>
      <c r="E1289" t="b">
        <f t="shared" si="81"/>
        <v>0</v>
      </c>
      <c r="F1289">
        <f>C1289/(B1289*B1289)</f>
        <v>30.854436831427332</v>
      </c>
      <c r="G1289" t="str">
        <f t="shared" si="82"/>
        <v>Obese</v>
      </c>
      <c r="H1289" t="str">
        <f t="shared" si="83"/>
        <v>OK</v>
      </c>
      <c r="I1289" t="str">
        <f t="shared" si="80"/>
        <v>OK</v>
      </c>
    </row>
    <row r="1290" spans="1:9" x14ac:dyDescent="0.2">
      <c r="A1290" t="str">
        <f>ObesityDataSet_raw_and_data_sin!A1290</f>
        <v>Female</v>
      </c>
      <c r="B1290">
        <f>ObesityDataSet_raw_and_data_sin!C1290</f>
        <v>1.6048929999999999</v>
      </c>
      <c r="C1290">
        <f>ObesityDataSet_raw_and_data_sin!D1290</f>
        <v>82</v>
      </c>
      <c r="D1290" t="str">
        <f>ObesityDataSet_raw_and_data_sin!Q1290</f>
        <v>Obesity_Type_I</v>
      </c>
      <c r="E1290" t="b">
        <f t="shared" si="81"/>
        <v>0</v>
      </c>
      <c r="F1290">
        <f>C1290/(B1290*B1290)</f>
        <v>31.836233897871281</v>
      </c>
      <c r="G1290" t="str">
        <f t="shared" si="82"/>
        <v>Obese</v>
      </c>
      <c r="H1290" t="str">
        <f t="shared" si="83"/>
        <v>OK</v>
      </c>
      <c r="I1290" t="str">
        <f t="shared" si="80"/>
        <v>OK</v>
      </c>
    </row>
    <row r="1291" spans="1:9" x14ac:dyDescent="0.2">
      <c r="A1291" t="str">
        <f>ObesityDataSet_raw_and_data_sin!A1291</f>
        <v>Male</v>
      </c>
      <c r="B1291">
        <f>ObesityDataSet_raw_and_data_sin!C1291</f>
        <v>1.6549609999999999</v>
      </c>
      <c r="C1291">
        <f>ObesityDataSet_raw_and_data_sin!D1291</f>
        <v>94.790578999999994</v>
      </c>
      <c r="D1291" t="str">
        <f>ObesityDataSet_raw_and_data_sin!Q1291</f>
        <v>Obesity_Type_I</v>
      </c>
      <c r="E1291" t="b">
        <f t="shared" si="81"/>
        <v>0</v>
      </c>
      <c r="F1291">
        <f>C1291/(B1291*B1291)</f>
        <v>34.609047609757333</v>
      </c>
      <c r="G1291" t="str">
        <f t="shared" si="82"/>
        <v>Obese</v>
      </c>
      <c r="H1291" t="str">
        <f t="shared" si="83"/>
        <v>OK</v>
      </c>
      <c r="I1291" t="str">
        <f t="shared" si="80"/>
        <v>OK</v>
      </c>
    </row>
    <row r="1292" spans="1:9" x14ac:dyDescent="0.2">
      <c r="A1292" t="str">
        <f>ObesityDataSet_raw_and_data_sin!A1292</f>
        <v>Male</v>
      </c>
      <c r="B1292">
        <f>ObesityDataSet_raw_and_data_sin!C1292</f>
        <v>1.701986</v>
      </c>
      <c r="C1292">
        <f>ObesityDataSet_raw_and_data_sin!D1292</f>
        <v>95</v>
      </c>
      <c r="D1292" t="str">
        <f>ObesityDataSet_raw_and_data_sin!Q1292</f>
        <v>Obesity_Type_I</v>
      </c>
      <c r="E1292" t="b">
        <f t="shared" si="81"/>
        <v>0</v>
      </c>
      <c r="F1292">
        <f>C1292/(B1292*B1292)</f>
        <v>32.795302300914585</v>
      </c>
      <c r="G1292" t="str">
        <f t="shared" si="82"/>
        <v>Obese</v>
      </c>
      <c r="H1292" t="str">
        <f t="shared" si="83"/>
        <v>OK</v>
      </c>
      <c r="I1292" t="str">
        <f t="shared" si="80"/>
        <v>OK</v>
      </c>
    </row>
    <row r="1293" spans="1:9" x14ac:dyDescent="0.2">
      <c r="A1293" t="str">
        <f>ObesityDataSet_raw_and_data_sin!A1293</f>
        <v>Male</v>
      </c>
      <c r="B1293">
        <f>ObesityDataSet_raw_and_data_sin!C1293</f>
        <v>1.65</v>
      </c>
      <c r="C1293">
        <f>ObesityDataSet_raw_and_data_sin!D1293</f>
        <v>89.139208999999994</v>
      </c>
      <c r="D1293" t="str">
        <f>ObesityDataSet_raw_and_data_sin!Q1293</f>
        <v>Obesity_Type_I</v>
      </c>
      <c r="E1293" t="b">
        <f t="shared" si="81"/>
        <v>0</v>
      </c>
      <c r="F1293">
        <f>C1293/(B1293*B1293)</f>
        <v>32.74167456382002</v>
      </c>
      <c r="G1293" t="str">
        <f t="shared" si="82"/>
        <v>Obese</v>
      </c>
      <c r="H1293" t="str">
        <f t="shared" si="83"/>
        <v>OK</v>
      </c>
      <c r="I1293" t="str">
        <f t="shared" si="80"/>
        <v>OK</v>
      </c>
    </row>
    <row r="1294" spans="1:9" x14ac:dyDescent="0.2">
      <c r="A1294" t="str">
        <f>ObesityDataSet_raw_and_data_sin!A1294</f>
        <v>Male</v>
      </c>
      <c r="B1294">
        <f>ObesityDataSet_raw_and_data_sin!C1294</f>
        <v>1.6579950000000001</v>
      </c>
      <c r="C1294">
        <f>ObesityDataSet_raw_and_data_sin!D1294</f>
        <v>90</v>
      </c>
      <c r="D1294" t="str">
        <f>ObesityDataSet_raw_and_data_sin!Q1294</f>
        <v>Obesity_Type_I</v>
      </c>
      <c r="E1294" t="b">
        <f t="shared" si="81"/>
        <v>0</v>
      </c>
      <c r="F1294">
        <f>C1294/(B1294*B1294)</f>
        <v>32.739804095336787</v>
      </c>
      <c r="G1294" t="str">
        <f t="shared" si="82"/>
        <v>Obese</v>
      </c>
      <c r="H1294" t="str">
        <f t="shared" si="83"/>
        <v>OK</v>
      </c>
      <c r="I1294" t="str">
        <f t="shared" si="80"/>
        <v>OK</v>
      </c>
    </row>
    <row r="1295" spans="1:9" x14ac:dyDescent="0.2">
      <c r="A1295" t="str">
        <f>ObesityDataSet_raw_and_data_sin!A1295</f>
        <v>Female</v>
      </c>
      <c r="B1295">
        <f>ObesityDataSet_raw_and_data_sin!C1295</f>
        <v>1.6346879999999999</v>
      </c>
      <c r="C1295">
        <f>ObesityDataSet_raw_and_data_sin!D1295</f>
        <v>82.628</v>
      </c>
      <c r="D1295" t="str">
        <f>ObesityDataSet_raw_and_data_sin!Q1295</f>
        <v>Obesity_Type_I</v>
      </c>
      <c r="E1295" t="b">
        <f t="shared" si="81"/>
        <v>0</v>
      </c>
      <c r="F1295">
        <f>C1295/(B1295*B1295)</f>
        <v>30.921282016576729</v>
      </c>
      <c r="G1295" t="str">
        <f t="shared" si="82"/>
        <v>Obese</v>
      </c>
      <c r="H1295" t="str">
        <f t="shared" si="83"/>
        <v>OK</v>
      </c>
      <c r="I1295" t="str">
        <f t="shared" si="80"/>
        <v>OK</v>
      </c>
    </row>
    <row r="1296" spans="1:9" x14ac:dyDescent="0.2">
      <c r="A1296" t="str">
        <f>ObesityDataSet_raw_and_data_sin!A1296</f>
        <v>Female</v>
      </c>
      <c r="B1296">
        <f>ObesityDataSet_raw_and_data_sin!C1296</f>
        <v>1.6281680000000001</v>
      </c>
      <c r="C1296">
        <f>ObesityDataSet_raw_and_data_sin!D1296</f>
        <v>84.497979999999998</v>
      </c>
      <c r="D1296" t="str">
        <f>ObesityDataSet_raw_and_data_sin!Q1296</f>
        <v>Obesity_Type_I</v>
      </c>
      <c r="E1296" t="b">
        <f t="shared" si="81"/>
        <v>0</v>
      </c>
      <c r="F1296">
        <f>C1296/(B1296*B1296)</f>
        <v>31.874831463122238</v>
      </c>
      <c r="G1296" t="str">
        <f t="shared" si="82"/>
        <v>Obese</v>
      </c>
      <c r="H1296" t="str">
        <f t="shared" si="83"/>
        <v>OK</v>
      </c>
      <c r="I1296" t="str">
        <f t="shared" si="80"/>
        <v>OK</v>
      </c>
    </row>
    <row r="1297" spans="1:9" x14ac:dyDescent="0.2">
      <c r="A1297" t="str">
        <f>ObesityDataSet_raw_and_data_sin!A1297</f>
        <v>Female</v>
      </c>
      <c r="B1297">
        <f>ObesityDataSet_raw_and_data_sin!C1297</f>
        <v>1.5578080000000001</v>
      </c>
      <c r="C1297">
        <f>ObesityDataSet_raw_and_data_sin!D1297</f>
        <v>79.661693</v>
      </c>
      <c r="D1297" t="str">
        <f>ObesityDataSet_raw_and_data_sin!Q1297</f>
        <v>Obesity_Type_I</v>
      </c>
      <c r="E1297" t="b">
        <f t="shared" si="81"/>
        <v>0</v>
      </c>
      <c r="F1297">
        <f>C1297/(B1297*B1297)</f>
        <v>32.826280209398114</v>
      </c>
      <c r="G1297" t="str">
        <f t="shared" si="82"/>
        <v>Obese</v>
      </c>
      <c r="H1297" t="str">
        <f t="shared" si="83"/>
        <v>OK</v>
      </c>
      <c r="I1297" t="str">
        <f t="shared" si="80"/>
        <v>OK</v>
      </c>
    </row>
    <row r="1298" spans="1:9" x14ac:dyDescent="0.2">
      <c r="A1298" t="str">
        <f>ObesityDataSet_raw_and_data_sin!A1298</f>
        <v>Female</v>
      </c>
      <c r="B1298">
        <f>ObesityDataSet_raw_and_data_sin!C1298</f>
        <v>1.5601989999999999</v>
      </c>
      <c r="C1298">
        <f>ObesityDataSet_raw_and_data_sin!D1298</f>
        <v>80</v>
      </c>
      <c r="D1298" t="str">
        <f>ObesityDataSet_raw_and_data_sin!Q1298</f>
        <v>Obesity_Type_I</v>
      </c>
      <c r="E1298" t="b">
        <f t="shared" si="81"/>
        <v>0</v>
      </c>
      <c r="F1298">
        <f>C1298/(B1298*B1298)</f>
        <v>32.864724543207458</v>
      </c>
      <c r="G1298" t="str">
        <f t="shared" si="82"/>
        <v>Obese</v>
      </c>
      <c r="H1298" t="str">
        <f t="shared" si="83"/>
        <v>OK</v>
      </c>
      <c r="I1298" t="str">
        <f t="shared" si="80"/>
        <v>OK</v>
      </c>
    </row>
    <row r="1299" spans="1:9" x14ac:dyDescent="0.2">
      <c r="A1299" t="str">
        <f>ObesityDataSet_raw_and_data_sin!A1299</f>
        <v>Male</v>
      </c>
      <c r="B1299">
        <f>ObesityDataSet_raw_and_data_sin!C1299</f>
        <v>1.7503839999999999</v>
      </c>
      <c r="C1299">
        <f>ObesityDataSet_raw_and_data_sin!D1299</f>
        <v>95.324281999999997</v>
      </c>
      <c r="D1299" t="str">
        <f>ObesityDataSet_raw_and_data_sin!Q1299</f>
        <v>Obesity_Type_I</v>
      </c>
      <c r="E1299" t="b">
        <f t="shared" si="81"/>
        <v>0</v>
      </c>
      <c r="F1299">
        <f>C1299/(B1299*B1299)</f>
        <v>31.112640660638878</v>
      </c>
      <c r="G1299" t="str">
        <f t="shared" si="82"/>
        <v>Obese</v>
      </c>
      <c r="H1299" t="str">
        <f t="shared" si="83"/>
        <v>OK</v>
      </c>
      <c r="I1299" t="str">
        <f t="shared" si="80"/>
        <v>OK</v>
      </c>
    </row>
    <row r="1300" spans="1:9" x14ac:dyDescent="0.2">
      <c r="A1300" t="str">
        <f>ObesityDataSet_raw_and_data_sin!A1300</f>
        <v>Male</v>
      </c>
      <c r="B1300">
        <f>ObesityDataSet_raw_and_data_sin!C1300</f>
        <v>1.7530809999999999</v>
      </c>
      <c r="C1300">
        <f>ObesityDataSet_raw_and_data_sin!D1300</f>
        <v>95.269088999999994</v>
      </c>
      <c r="D1300" t="str">
        <f>ObesityDataSet_raw_and_data_sin!Q1300</f>
        <v>Obesity_Type_I</v>
      </c>
      <c r="E1300" t="b">
        <f t="shared" si="81"/>
        <v>0</v>
      </c>
      <c r="F1300">
        <f>C1300/(B1300*B1300)</f>
        <v>30.999025875698074</v>
      </c>
      <c r="G1300" t="str">
        <f t="shared" si="82"/>
        <v>Obese</v>
      </c>
      <c r="H1300" t="str">
        <f t="shared" si="83"/>
        <v>OK</v>
      </c>
      <c r="I1300" t="str">
        <f t="shared" si="80"/>
        <v>OK</v>
      </c>
    </row>
    <row r="1301" spans="1:9" x14ac:dyDescent="0.2">
      <c r="A1301" t="str">
        <f>ObesityDataSet_raw_and_data_sin!A1301</f>
        <v>Female</v>
      </c>
      <c r="B1301">
        <f>ObesityDataSet_raw_and_data_sin!C1301</f>
        <v>1.65</v>
      </c>
      <c r="C1301">
        <f>ObesityDataSet_raw_and_data_sin!D1301</f>
        <v>88.126543999999996</v>
      </c>
      <c r="D1301" t="str">
        <f>ObesityDataSet_raw_and_data_sin!Q1301</f>
        <v>Obesity_Type_I</v>
      </c>
      <c r="E1301" t="b">
        <f t="shared" si="81"/>
        <v>0</v>
      </c>
      <c r="F1301">
        <f>C1301/(B1301*B1301)</f>
        <v>32.369713131313134</v>
      </c>
      <c r="G1301" t="str">
        <f t="shared" si="82"/>
        <v>Obese</v>
      </c>
      <c r="H1301" t="str">
        <f t="shared" si="83"/>
        <v>OK</v>
      </c>
      <c r="I1301" t="str">
        <f t="shared" si="80"/>
        <v>OK</v>
      </c>
    </row>
    <row r="1302" spans="1:9" x14ac:dyDescent="0.2">
      <c r="A1302" t="str">
        <f>ObesityDataSet_raw_and_data_sin!A1302</f>
        <v>Female</v>
      </c>
      <c r="B1302">
        <f>ObesityDataSet_raw_and_data_sin!C1302</f>
        <v>1.650012</v>
      </c>
      <c r="C1302">
        <f>ObesityDataSet_raw_and_data_sin!D1302</f>
        <v>87.676153999999997</v>
      </c>
      <c r="D1302" t="str">
        <f>ObesityDataSet_raw_and_data_sin!Q1302</f>
        <v>Obesity_Type_I</v>
      </c>
      <c r="E1302" t="b">
        <f t="shared" si="81"/>
        <v>0</v>
      </c>
      <c r="F1302">
        <f>C1302/(B1302*B1302)</f>
        <v>32.203812203636133</v>
      </c>
      <c r="G1302" t="str">
        <f t="shared" si="82"/>
        <v>Obese</v>
      </c>
      <c r="H1302" t="str">
        <f t="shared" si="83"/>
        <v>OK</v>
      </c>
      <c r="I1302" t="str">
        <f t="shared" si="80"/>
        <v>OK</v>
      </c>
    </row>
    <row r="1303" spans="1:9" x14ac:dyDescent="0.2">
      <c r="A1303" t="str">
        <f>ObesityDataSet_raw_and_data_sin!A1303</f>
        <v>Female</v>
      </c>
      <c r="B1303">
        <f>ObesityDataSet_raw_and_data_sin!C1303</f>
        <v>1.65</v>
      </c>
      <c r="C1303">
        <f>ObesityDataSet_raw_and_data_sin!D1303</f>
        <v>85.583484999999996</v>
      </c>
      <c r="D1303" t="str">
        <f>ObesityDataSet_raw_and_data_sin!Q1303</f>
        <v>Obesity_Type_I</v>
      </c>
      <c r="E1303" t="b">
        <f t="shared" si="81"/>
        <v>0</v>
      </c>
      <c r="F1303">
        <f>C1303/(B1303*B1303)</f>
        <v>31.435623507805328</v>
      </c>
      <c r="G1303" t="str">
        <f t="shared" si="82"/>
        <v>Obese</v>
      </c>
      <c r="H1303" t="str">
        <f t="shared" si="83"/>
        <v>OK</v>
      </c>
      <c r="I1303" t="str">
        <f t="shared" si="80"/>
        <v>OK</v>
      </c>
    </row>
    <row r="1304" spans="1:9" x14ac:dyDescent="0.2">
      <c r="A1304" t="str">
        <f>ObesityDataSet_raw_and_data_sin!A1304</f>
        <v>Female</v>
      </c>
      <c r="B1304">
        <f>ObesityDataSet_raw_and_data_sin!C1304</f>
        <v>1.6348320000000001</v>
      </c>
      <c r="C1304">
        <f>ObesityDataSet_raw_and_data_sin!D1304</f>
        <v>85.803809000000001</v>
      </c>
      <c r="D1304" t="str">
        <f>ObesityDataSet_raw_and_data_sin!Q1304</f>
        <v>Obesity_Type_I</v>
      </c>
      <c r="E1304" t="b">
        <f t="shared" si="81"/>
        <v>0</v>
      </c>
      <c r="F1304">
        <f>C1304/(B1304*B1304)</f>
        <v>32.104085811884858</v>
      </c>
      <c r="G1304" t="str">
        <f t="shared" si="82"/>
        <v>Obese</v>
      </c>
      <c r="H1304" t="str">
        <f t="shared" si="83"/>
        <v>OK</v>
      </c>
      <c r="I1304" t="str">
        <f t="shared" si="80"/>
        <v>OK</v>
      </c>
    </row>
    <row r="1305" spans="1:9" x14ac:dyDescent="0.2">
      <c r="A1305" t="str">
        <f>ObesityDataSet_raw_and_data_sin!A1305</f>
        <v>Male</v>
      </c>
      <c r="B1305">
        <f>ObesityDataSet_raw_and_data_sin!C1305</f>
        <v>1.7701260000000001</v>
      </c>
      <c r="C1305">
        <f>ObesityDataSet_raw_and_data_sin!D1305</f>
        <v>108.602715</v>
      </c>
      <c r="D1305" t="str">
        <f>ObesityDataSet_raw_and_data_sin!Q1305</f>
        <v>Obesity_Type_I</v>
      </c>
      <c r="E1305" t="b">
        <f t="shared" si="81"/>
        <v>0</v>
      </c>
      <c r="F1305">
        <f>C1305/(B1305*B1305)</f>
        <v>34.660300223250502</v>
      </c>
      <c r="G1305" t="str">
        <f t="shared" si="82"/>
        <v>Obese</v>
      </c>
      <c r="H1305" t="str">
        <f t="shared" si="83"/>
        <v>OK</v>
      </c>
      <c r="I1305" t="str">
        <f t="shared" si="80"/>
        <v>OK</v>
      </c>
    </row>
    <row r="1306" spans="1:9" x14ac:dyDescent="0.2">
      <c r="A1306" t="str">
        <f>ObesityDataSet_raw_and_data_sin!A1306</f>
        <v>Male</v>
      </c>
      <c r="B1306">
        <f>ObesityDataSet_raw_and_data_sin!C1306</f>
        <v>1.758189</v>
      </c>
      <c r="C1306">
        <f>ObesityDataSet_raw_and_data_sin!D1306</f>
        <v>108.72189299999999</v>
      </c>
      <c r="D1306" t="str">
        <f>ObesityDataSet_raw_and_data_sin!Q1306</f>
        <v>Obesity_Type_I</v>
      </c>
      <c r="E1306" t="b">
        <f t="shared" si="81"/>
        <v>0</v>
      </c>
      <c r="F1306">
        <f>C1306/(B1306*B1306)</f>
        <v>35.171094889797708</v>
      </c>
      <c r="G1306" t="str">
        <f t="shared" si="82"/>
        <v>Obese</v>
      </c>
      <c r="H1306" t="str">
        <f t="shared" si="83"/>
        <v>OK</v>
      </c>
      <c r="I1306" t="str">
        <f t="shared" si="80"/>
        <v>OK</v>
      </c>
    </row>
    <row r="1307" spans="1:9" x14ac:dyDescent="0.2">
      <c r="A1307" t="str">
        <f>ObesityDataSet_raw_and_data_sin!A1307</f>
        <v>Female</v>
      </c>
      <c r="B1307">
        <f>ObesityDataSet_raw_and_data_sin!C1307</f>
        <v>1.5951649999999999</v>
      </c>
      <c r="C1307">
        <f>ObesityDataSet_raw_and_data_sin!D1307</f>
        <v>77.354743999999997</v>
      </c>
      <c r="D1307" t="str">
        <f>ObesityDataSet_raw_and_data_sin!Q1307</f>
        <v>Obesity_Type_I</v>
      </c>
      <c r="E1307" t="b">
        <f t="shared" si="81"/>
        <v>0</v>
      </c>
      <c r="F1307">
        <f>C1307/(B1307*B1307)</f>
        <v>30.400150176712256</v>
      </c>
      <c r="G1307" t="str">
        <f t="shared" si="82"/>
        <v>Obese</v>
      </c>
      <c r="H1307" t="str">
        <f t="shared" si="83"/>
        <v>OK</v>
      </c>
      <c r="I1307" t="str">
        <f t="shared" si="80"/>
        <v>OK</v>
      </c>
    </row>
    <row r="1308" spans="1:9" x14ac:dyDescent="0.2">
      <c r="A1308" t="str">
        <f>ObesityDataSet_raw_and_data_sin!A1308</f>
        <v>Female</v>
      </c>
      <c r="B1308">
        <f>ObesityDataSet_raw_and_data_sin!C1308</f>
        <v>1.5677559999999999</v>
      </c>
      <c r="C1308">
        <f>ObesityDataSet_raw_and_data_sin!D1308</f>
        <v>79.493626000000006</v>
      </c>
      <c r="D1308" t="str">
        <f>ObesityDataSet_raw_and_data_sin!Q1308</f>
        <v>Obesity_Type_I</v>
      </c>
      <c r="E1308" t="b">
        <f t="shared" si="81"/>
        <v>0</v>
      </c>
      <c r="F1308">
        <f>C1308/(B1308*B1308)</f>
        <v>32.342632358281499</v>
      </c>
      <c r="G1308" t="str">
        <f t="shared" si="82"/>
        <v>Obese</v>
      </c>
      <c r="H1308" t="str">
        <f t="shared" si="83"/>
        <v>OK</v>
      </c>
      <c r="I1308" t="str">
        <f t="shared" si="80"/>
        <v>OK</v>
      </c>
    </row>
    <row r="1309" spans="1:9" x14ac:dyDescent="0.2">
      <c r="A1309" t="str">
        <f>ObesityDataSet_raw_and_data_sin!A1309</f>
        <v>Male</v>
      </c>
      <c r="B1309">
        <f>ObesityDataSet_raw_and_data_sin!C1309</f>
        <v>1.702825</v>
      </c>
      <c r="C1309">
        <f>ObesityDataSet_raw_and_data_sin!D1309</f>
        <v>93.638317999999998</v>
      </c>
      <c r="D1309" t="str">
        <f>ObesityDataSet_raw_and_data_sin!Q1309</f>
        <v>Obesity_Type_I</v>
      </c>
      <c r="E1309" t="b">
        <f t="shared" si="81"/>
        <v>0</v>
      </c>
      <c r="F1309">
        <f>C1309/(B1309*B1309)</f>
        <v>32.293384884701624</v>
      </c>
      <c r="G1309" t="str">
        <f t="shared" si="82"/>
        <v>Obese</v>
      </c>
      <c r="H1309" t="str">
        <f t="shared" si="83"/>
        <v>OK</v>
      </c>
      <c r="I1309" t="str">
        <f t="shared" si="80"/>
        <v>OK</v>
      </c>
    </row>
    <row r="1310" spans="1:9" x14ac:dyDescent="0.2">
      <c r="A1310" t="str">
        <f>ObesityDataSet_raw_and_data_sin!A1310</f>
        <v>Male</v>
      </c>
      <c r="B1310">
        <f>ObesityDataSet_raw_and_data_sin!C1310</f>
        <v>1.7356590000000001</v>
      </c>
      <c r="C1310">
        <f>ObesityDataSet_raw_and_data_sin!D1310</f>
        <v>93.429204999999996</v>
      </c>
      <c r="D1310" t="str">
        <f>ObesityDataSet_raw_and_data_sin!Q1310</f>
        <v>Obesity_Type_I</v>
      </c>
      <c r="E1310" t="b">
        <f t="shared" si="81"/>
        <v>0</v>
      </c>
      <c r="F1310">
        <f>C1310/(B1310*B1310)</f>
        <v>31.013718752003395</v>
      </c>
      <c r="G1310" t="str">
        <f t="shared" si="82"/>
        <v>Obese</v>
      </c>
      <c r="H1310" t="str">
        <f t="shared" si="83"/>
        <v>OK</v>
      </c>
      <c r="I1310" t="str">
        <f t="shared" si="80"/>
        <v>OK</v>
      </c>
    </row>
    <row r="1311" spans="1:9" x14ac:dyDescent="0.2">
      <c r="A1311" t="str">
        <f>ObesityDataSet_raw_and_data_sin!A1311</f>
        <v>Female</v>
      </c>
      <c r="B1311">
        <f>ObesityDataSet_raw_and_data_sin!C1311</f>
        <v>1.6290100000000001</v>
      </c>
      <c r="C1311">
        <f>ObesityDataSet_raw_and_data_sin!D1311</f>
        <v>80</v>
      </c>
      <c r="D1311" t="str">
        <f>ObesityDataSet_raw_and_data_sin!Q1311</f>
        <v>Obesity_Type_I</v>
      </c>
      <c r="E1311" t="b">
        <f t="shared" si="81"/>
        <v>0</v>
      </c>
      <c r="F1311">
        <f>C1311/(B1311*B1311)</f>
        <v>30.146887921680744</v>
      </c>
      <c r="G1311" t="str">
        <f t="shared" si="82"/>
        <v>Obese</v>
      </c>
      <c r="H1311" t="str">
        <f t="shared" si="83"/>
        <v>OK</v>
      </c>
      <c r="I1311" t="str">
        <f t="shared" si="80"/>
        <v>OK</v>
      </c>
    </row>
    <row r="1312" spans="1:9" x14ac:dyDescent="0.2">
      <c r="A1312" t="str">
        <f>ObesityDataSet_raw_and_data_sin!A1312</f>
        <v>Female</v>
      </c>
      <c r="B1312">
        <f>ObesityDataSet_raw_and_data_sin!C1312</f>
        <v>1.6153850000000001</v>
      </c>
      <c r="C1312">
        <f>ObesityDataSet_raw_and_data_sin!D1312</f>
        <v>80</v>
      </c>
      <c r="D1312" t="str">
        <f>ObesityDataSet_raw_and_data_sin!Q1312</f>
        <v>Obesity_Type_I</v>
      </c>
      <c r="E1312" t="b">
        <f t="shared" si="81"/>
        <v>0</v>
      </c>
      <c r="F1312">
        <f>C1312/(B1312*B1312)</f>
        <v>30.657581773031882</v>
      </c>
      <c r="G1312" t="str">
        <f t="shared" si="82"/>
        <v>Obese</v>
      </c>
      <c r="H1312" t="str">
        <f t="shared" si="83"/>
        <v>OK</v>
      </c>
      <c r="I1312" t="str">
        <f t="shared" si="80"/>
        <v>OK</v>
      </c>
    </row>
    <row r="1313" spans="1:9" x14ac:dyDescent="0.2">
      <c r="A1313" t="str">
        <f>ObesityDataSet_raw_and_data_sin!A1313</f>
        <v>Male</v>
      </c>
      <c r="B1313">
        <f>ObesityDataSet_raw_and_data_sin!C1313</f>
        <v>1.671705</v>
      </c>
      <c r="C1313">
        <f>ObesityDataSet_raw_and_data_sin!D1313</f>
        <v>90</v>
      </c>
      <c r="D1313" t="str">
        <f>ObesityDataSet_raw_and_data_sin!Q1313</f>
        <v>Obesity_Type_I</v>
      </c>
      <c r="E1313" t="b">
        <f t="shared" si="81"/>
        <v>0</v>
      </c>
      <c r="F1313">
        <f>C1313/(B1313*B1313)</f>
        <v>32.204994298198748</v>
      </c>
      <c r="G1313" t="str">
        <f t="shared" si="82"/>
        <v>Obese</v>
      </c>
      <c r="H1313" t="str">
        <f t="shared" si="83"/>
        <v>OK</v>
      </c>
      <c r="I1313" t="str">
        <f t="shared" si="80"/>
        <v>OK</v>
      </c>
    </row>
    <row r="1314" spans="1:9" x14ac:dyDescent="0.2">
      <c r="A1314" t="str">
        <f>ObesityDataSet_raw_and_data_sin!A1314</f>
        <v>Male</v>
      </c>
      <c r="B1314">
        <f>ObesityDataSet_raw_and_data_sin!C1314</f>
        <v>1.6765950000000001</v>
      </c>
      <c r="C1314">
        <f>ObesityDataSet_raw_and_data_sin!D1314</f>
        <v>89.993812000000005</v>
      </c>
      <c r="D1314" t="str">
        <f>ObesityDataSet_raw_and_data_sin!Q1314</f>
        <v>Obesity_Type_I</v>
      </c>
      <c r="E1314" t="b">
        <f t="shared" si="81"/>
        <v>0</v>
      </c>
      <c r="F1314">
        <f>C1314/(B1314*B1314)</f>
        <v>32.015207056327611</v>
      </c>
      <c r="G1314" t="str">
        <f t="shared" si="82"/>
        <v>Obese</v>
      </c>
      <c r="H1314" t="str">
        <f t="shared" si="83"/>
        <v>OK</v>
      </c>
      <c r="I1314" t="str">
        <f t="shared" si="80"/>
        <v>OK</v>
      </c>
    </row>
    <row r="1315" spans="1:9" x14ac:dyDescent="0.2">
      <c r="A1315" t="str">
        <f>ObesityDataSet_raw_and_data_sin!A1315</f>
        <v>Male</v>
      </c>
      <c r="B1315">
        <f>ObesityDataSet_raw_and_data_sin!C1315</f>
        <v>1.6999979999999999</v>
      </c>
      <c r="C1315">
        <f>ObesityDataSet_raw_and_data_sin!D1315</f>
        <v>95.564428000000007</v>
      </c>
      <c r="D1315" t="str">
        <f>ObesityDataSet_raw_and_data_sin!Q1315</f>
        <v>Obesity_Type_I</v>
      </c>
      <c r="E1315" t="b">
        <f t="shared" si="81"/>
        <v>0</v>
      </c>
      <c r="F1315">
        <f>C1315/(B1315*B1315)</f>
        <v>33.067353930060371</v>
      </c>
      <c r="G1315" t="str">
        <f t="shared" si="82"/>
        <v>Obese</v>
      </c>
      <c r="H1315" t="str">
        <f t="shared" si="83"/>
        <v>OK</v>
      </c>
      <c r="I1315" t="str">
        <f t="shared" si="80"/>
        <v>OK</v>
      </c>
    </row>
    <row r="1316" spans="1:9" x14ac:dyDescent="0.2">
      <c r="A1316" t="str">
        <f>ObesityDataSet_raw_and_data_sin!A1316</f>
        <v>Male</v>
      </c>
      <c r="B1316">
        <f>ObesityDataSet_raw_and_data_sin!C1316</f>
        <v>1.722785</v>
      </c>
      <c r="C1316">
        <f>ObesityDataSet_raw_and_data_sin!D1316</f>
        <v>94.094183999999998</v>
      </c>
      <c r="D1316" t="str">
        <f>ObesityDataSet_raw_and_data_sin!Q1316</f>
        <v>Obesity_Type_I</v>
      </c>
      <c r="E1316" t="b">
        <f t="shared" si="81"/>
        <v>0</v>
      </c>
      <c r="F1316">
        <f>C1316/(B1316*B1316)</f>
        <v>31.703018693874739</v>
      </c>
      <c r="G1316" t="str">
        <f t="shared" si="82"/>
        <v>Obese</v>
      </c>
      <c r="H1316" t="str">
        <f t="shared" si="83"/>
        <v>OK</v>
      </c>
      <c r="I1316" t="str">
        <f t="shared" si="80"/>
        <v>OK</v>
      </c>
    </row>
    <row r="1317" spans="1:9" x14ac:dyDescent="0.2">
      <c r="A1317" t="str">
        <f>ObesityDataSet_raw_and_data_sin!A1317</f>
        <v>Male</v>
      </c>
      <c r="B1317">
        <f>ObesityDataSet_raw_and_data_sin!C1317</f>
        <v>1.6706669999999999</v>
      </c>
      <c r="C1317">
        <f>ObesityDataSet_raw_and_data_sin!D1317</f>
        <v>90.575934000000004</v>
      </c>
      <c r="D1317" t="str">
        <f>ObesityDataSet_raw_and_data_sin!Q1317</f>
        <v>Obesity_Type_I</v>
      </c>
      <c r="E1317" t="b">
        <f t="shared" si="81"/>
        <v>0</v>
      </c>
      <c r="F1317">
        <f>C1317/(B1317*B1317)</f>
        <v>32.451369733686143</v>
      </c>
      <c r="G1317" t="str">
        <f t="shared" si="82"/>
        <v>Obese</v>
      </c>
      <c r="H1317" t="str">
        <f t="shared" si="83"/>
        <v>OK</v>
      </c>
      <c r="I1317" t="str">
        <f t="shared" si="80"/>
        <v>OK</v>
      </c>
    </row>
    <row r="1318" spans="1:9" x14ac:dyDescent="0.2">
      <c r="A1318" t="str">
        <f>ObesityDataSet_raw_and_data_sin!A1318</f>
        <v>Male</v>
      </c>
      <c r="B1318">
        <f>ObesityDataSet_raw_and_data_sin!C1318</f>
        <v>1.789992</v>
      </c>
      <c r="C1318">
        <f>ObesityDataSet_raw_and_data_sin!D1318</f>
        <v>98.021766</v>
      </c>
      <c r="D1318" t="str">
        <f>ObesityDataSet_raw_and_data_sin!Q1318</f>
        <v>Obesity_Type_I</v>
      </c>
      <c r="E1318" t="b">
        <f t="shared" si="81"/>
        <v>0</v>
      </c>
      <c r="F1318">
        <f>C1318/(B1318*B1318)</f>
        <v>30.59287855500261</v>
      </c>
      <c r="G1318" t="str">
        <f t="shared" si="82"/>
        <v>Obese</v>
      </c>
      <c r="H1318" t="str">
        <f t="shared" si="83"/>
        <v>OK</v>
      </c>
      <c r="I1318" t="str">
        <f t="shared" si="80"/>
        <v>OK</v>
      </c>
    </row>
    <row r="1319" spans="1:9" x14ac:dyDescent="0.2">
      <c r="A1319" t="str">
        <f>ObesityDataSet_raw_and_data_sin!A1319</f>
        <v>Male</v>
      </c>
      <c r="B1319">
        <f>ObesityDataSet_raw_and_data_sin!C1319</f>
        <v>1.768834</v>
      </c>
      <c r="C1319">
        <f>ObesityDataSet_raw_and_data_sin!D1319</f>
        <v>97.449742999999998</v>
      </c>
      <c r="D1319" t="str">
        <f>ObesityDataSet_raw_and_data_sin!Q1319</f>
        <v>Obesity_Type_I</v>
      </c>
      <c r="E1319" t="b">
        <f t="shared" si="81"/>
        <v>0</v>
      </c>
      <c r="F1319">
        <f>C1319/(B1319*B1319)</f>
        <v>31.146305784564362</v>
      </c>
      <c r="G1319" t="str">
        <f t="shared" si="82"/>
        <v>Obese</v>
      </c>
      <c r="H1319" t="str">
        <f t="shared" si="83"/>
        <v>OK</v>
      </c>
      <c r="I1319" t="str">
        <f t="shared" si="80"/>
        <v>OK</v>
      </c>
    </row>
    <row r="1320" spans="1:9" x14ac:dyDescent="0.2">
      <c r="A1320" t="str">
        <f>ObesityDataSet_raw_and_data_sin!A1320</f>
        <v>Male</v>
      </c>
      <c r="B1320">
        <f>ObesityDataSet_raw_and_data_sin!C1320</f>
        <v>1.7610079999999999</v>
      </c>
      <c r="C1320">
        <f>ObesityDataSet_raw_and_data_sin!D1320</f>
        <v>97.829344000000006</v>
      </c>
      <c r="D1320" t="str">
        <f>ObesityDataSet_raw_and_data_sin!Q1320</f>
        <v>Obesity_Type_I</v>
      </c>
      <c r="E1320" t="b">
        <f t="shared" si="81"/>
        <v>0</v>
      </c>
      <c r="F1320">
        <f>C1320/(B1320*B1320)</f>
        <v>31.546158680494596</v>
      </c>
      <c r="G1320" t="str">
        <f t="shared" si="82"/>
        <v>Obese</v>
      </c>
      <c r="H1320" t="str">
        <f t="shared" si="83"/>
        <v>OK</v>
      </c>
      <c r="I1320" t="str">
        <f t="shared" si="80"/>
        <v>OK</v>
      </c>
    </row>
    <row r="1321" spans="1:9" x14ac:dyDescent="0.2">
      <c r="A1321" t="str">
        <f>ObesityDataSet_raw_and_data_sin!A1321</f>
        <v>Male</v>
      </c>
      <c r="B1321">
        <f>ObesityDataSet_raw_and_data_sin!C1321</f>
        <v>1.78</v>
      </c>
      <c r="C1321">
        <f>ObesityDataSet_raw_and_data_sin!D1321</f>
        <v>102.26595500000001</v>
      </c>
      <c r="D1321" t="str">
        <f>ObesityDataSet_raw_and_data_sin!Q1321</f>
        <v>Obesity_Type_I</v>
      </c>
      <c r="E1321" t="b">
        <f t="shared" si="81"/>
        <v>0</v>
      </c>
      <c r="F1321">
        <f>C1321/(B1321*B1321)</f>
        <v>32.27684477969953</v>
      </c>
      <c r="G1321" t="str">
        <f t="shared" si="82"/>
        <v>Obese</v>
      </c>
      <c r="H1321" t="str">
        <f t="shared" si="83"/>
        <v>OK</v>
      </c>
      <c r="I1321" t="str">
        <f t="shared" si="80"/>
        <v>OK</v>
      </c>
    </row>
    <row r="1322" spans="1:9" x14ac:dyDescent="0.2">
      <c r="A1322" t="str">
        <f>ObesityDataSet_raw_and_data_sin!A1322</f>
        <v>Male</v>
      </c>
      <c r="B1322">
        <f>ObesityDataSet_raw_and_data_sin!C1322</f>
        <v>1.8102149999999999</v>
      </c>
      <c r="C1322">
        <f>ObesityDataSet_raw_and_data_sin!D1322</f>
        <v>105.25435400000001</v>
      </c>
      <c r="D1322" t="str">
        <f>ObesityDataSet_raw_and_data_sin!Q1322</f>
        <v>Obesity_Type_I</v>
      </c>
      <c r="E1322" t="b">
        <f t="shared" si="81"/>
        <v>0</v>
      </c>
      <c r="F1322">
        <f>C1322/(B1322*B1322)</f>
        <v>32.120311735482701</v>
      </c>
      <c r="G1322" t="str">
        <f t="shared" si="82"/>
        <v>Obese</v>
      </c>
      <c r="H1322" t="str">
        <f t="shared" si="83"/>
        <v>OK</v>
      </c>
      <c r="I1322" t="str">
        <f t="shared" si="80"/>
        <v>OK</v>
      </c>
    </row>
    <row r="1323" spans="1:9" x14ac:dyDescent="0.2">
      <c r="A1323" t="str">
        <f>ObesityDataSet_raw_and_data_sin!A1323</f>
        <v>Female</v>
      </c>
      <c r="B1323">
        <f>ObesityDataSet_raw_and_data_sin!C1323</f>
        <v>1.6084689999999999</v>
      </c>
      <c r="C1323">
        <f>ObesityDataSet_raw_and_data_sin!D1323</f>
        <v>82.954796000000002</v>
      </c>
      <c r="D1323" t="str">
        <f>ObesityDataSet_raw_and_data_sin!Q1323</f>
        <v>Obesity_Type_I</v>
      </c>
      <c r="E1323" t="b">
        <f t="shared" si="81"/>
        <v>0</v>
      </c>
      <c r="F1323">
        <f>C1323/(B1323*B1323)</f>
        <v>32.063882571307992</v>
      </c>
      <c r="G1323" t="str">
        <f t="shared" si="82"/>
        <v>Obese</v>
      </c>
      <c r="H1323" t="str">
        <f t="shared" si="83"/>
        <v>OK</v>
      </c>
      <c r="I1323" t="str">
        <f t="shared" si="80"/>
        <v>OK</v>
      </c>
    </row>
    <row r="1324" spans="1:9" x14ac:dyDescent="0.2">
      <c r="A1324" t="str">
        <f>ObesityDataSet_raw_and_data_sin!A1324</f>
        <v>Female</v>
      </c>
      <c r="B1324">
        <f>ObesityDataSet_raw_and_data_sin!C1324</f>
        <v>1.6303570000000001</v>
      </c>
      <c r="C1324">
        <f>ObesityDataSet_raw_and_data_sin!D1324</f>
        <v>83.101100000000002</v>
      </c>
      <c r="D1324" t="str">
        <f>ObesityDataSet_raw_and_data_sin!Q1324</f>
        <v>Obesity_Type_I</v>
      </c>
      <c r="E1324" t="b">
        <f t="shared" si="81"/>
        <v>0</v>
      </c>
      <c r="F1324">
        <f>C1324/(B1324*B1324)</f>
        <v>31.263770038246779</v>
      </c>
      <c r="G1324" t="str">
        <f t="shared" si="82"/>
        <v>Obese</v>
      </c>
      <c r="H1324" t="str">
        <f t="shared" si="83"/>
        <v>OK</v>
      </c>
      <c r="I1324" t="str">
        <f t="shared" si="80"/>
        <v>OK</v>
      </c>
    </row>
    <row r="1325" spans="1:9" x14ac:dyDescent="0.2">
      <c r="A1325" t="str">
        <f>ObesityDataSet_raw_and_data_sin!A1325</f>
        <v>Female</v>
      </c>
      <c r="B1325">
        <f>ObesityDataSet_raw_and_data_sin!C1325</f>
        <v>1.62826</v>
      </c>
      <c r="C1325">
        <f>ObesityDataSet_raw_and_data_sin!D1325</f>
        <v>82.967937000000006</v>
      </c>
      <c r="D1325" t="str">
        <f>ObesityDataSet_raw_and_data_sin!Q1325</f>
        <v>Obesity_Type_I</v>
      </c>
      <c r="E1325" t="b">
        <f t="shared" si="81"/>
        <v>0</v>
      </c>
      <c r="F1325">
        <f>C1325/(B1325*B1325)</f>
        <v>31.294122863655172</v>
      </c>
      <c r="G1325" t="str">
        <f t="shared" si="82"/>
        <v>Obese</v>
      </c>
      <c r="H1325" t="str">
        <f t="shared" si="83"/>
        <v>OK</v>
      </c>
      <c r="I1325" t="str">
        <f t="shared" si="80"/>
        <v>OK</v>
      </c>
    </row>
    <row r="1326" spans="1:9" x14ac:dyDescent="0.2">
      <c r="A1326" t="str">
        <f>ObesityDataSet_raw_and_data_sin!A1326</f>
        <v>Female</v>
      </c>
      <c r="B1326">
        <f>ObesityDataSet_raw_and_data_sin!C1326</f>
        <v>1.6056619999999999</v>
      </c>
      <c r="C1326">
        <f>ObesityDataSet_raw_and_data_sin!D1326</f>
        <v>82.470375000000004</v>
      </c>
      <c r="D1326" t="str">
        <f>ObesityDataSet_raw_and_data_sin!Q1326</f>
        <v>Obesity_Type_I</v>
      </c>
      <c r="E1326" t="b">
        <f t="shared" si="81"/>
        <v>0</v>
      </c>
      <c r="F1326">
        <f>C1326/(B1326*B1326)</f>
        <v>31.988193216687318</v>
      </c>
      <c r="G1326" t="str">
        <f t="shared" si="82"/>
        <v>Obese</v>
      </c>
      <c r="H1326" t="str">
        <f t="shared" si="83"/>
        <v>OK</v>
      </c>
      <c r="I1326" t="str">
        <f t="shared" si="80"/>
        <v>OK</v>
      </c>
    </row>
    <row r="1327" spans="1:9" x14ac:dyDescent="0.2">
      <c r="A1327" t="str">
        <f>ObesityDataSet_raw_and_data_sin!A1327</f>
        <v>Female</v>
      </c>
      <c r="B1327">
        <f>ObesityDataSet_raw_and_data_sin!C1327</f>
        <v>1.5679730000000001</v>
      </c>
      <c r="C1327">
        <f>ObesityDataSet_raw_and_data_sin!D1327</f>
        <v>81.056850999999995</v>
      </c>
      <c r="D1327" t="str">
        <f>ObesityDataSet_raw_and_data_sin!Q1327</f>
        <v>Obesity_Type_I</v>
      </c>
      <c r="E1327" t="b">
        <f t="shared" si="81"/>
        <v>0</v>
      </c>
      <c r="F1327">
        <f>C1327/(B1327*B1327)</f>
        <v>32.969515700976906</v>
      </c>
      <c r="G1327" t="str">
        <f t="shared" si="82"/>
        <v>Obese</v>
      </c>
      <c r="H1327" t="str">
        <f t="shared" si="83"/>
        <v>OK</v>
      </c>
      <c r="I1327" t="str">
        <f t="shared" si="80"/>
        <v>OK</v>
      </c>
    </row>
    <row r="1328" spans="1:9" x14ac:dyDescent="0.2">
      <c r="A1328" t="str">
        <f>ObesityDataSet_raw_and_data_sin!A1328</f>
        <v>Female</v>
      </c>
      <c r="B1328">
        <f>ObesityDataSet_raw_and_data_sin!C1328</f>
        <v>1.548403</v>
      </c>
      <c r="C1328">
        <f>ObesityDataSet_raw_and_data_sin!D1328</f>
        <v>80</v>
      </c>
      <c r="D1328" t="str">
        <f>ObesityDataSet_raw_and_data_sin!Q1328</f>
        <v>Obesity_Type_I</v>
      </c>
      <c r="E1328" t="b">
        <f t="shared" si="81"/>
        <v>0</v>
      </c>
      <c r="F1328">
        <f>C1328/(B1328*B1328)</f>
        <v>33.367370130640865</v>
      </c>
      <c r="G1328" t="str">
        <f t="shared" si="82"/>
        <v>Obese</v>
      </c>
      <c r="H1328" t="str">
        <f t="shared" si="83"/>
        <v>OK</v>
      </c>
      <c r="I1328" t="str">
        <f t="shared" si="80"/>
        <v>OK</v>
      </c>
    </row>
    <row r="1329" spans="1:9" x14ac:dyDescent="0.2">
      <c r="A1329" t="str">
        <f>ObesityDataSet_raw_and_data_sin!A1329</f>
        <v>Male</v>
      </c>
      <c r="B1329">
        <f>ObesityDataSet_raw_and_data_sin!C1329</f>
        <v>1.6818550000000001</v>
      </c>
      <c r="C1329">
        <f>ObesityDataSet_raw_and_data_sin!D1329</f>
        <v>90</v>
      </c>
      <c r="D1329" t="str">
        <f>ObesityDataSet_raw_and_data_sin!Q1329</f>
        <v>Obesity_Type_I</v>
      </c>
      <c r="E1329" t="b">
        <f t="shared" si="81"/>
        <v>0</v>
      </c>
      <c r="F1329">
        <f>C1329/(B1329*B1329)</f>
        <v>31.817452769178654</v>
      </c>
      <c r="G1329" t="str">
        <f t="shared" si="82"/>
        <v>Obese</v>
      </c>
      <c r="H1329" t="str">
        <f t="shared" si="83"/>
        <v>OK</v>
      </c>
      <c r="I1329" t="str">
        <f t="shared" si="80"/>
        <v>OK</v>
      </c>
    </row>
    <row r="1330" spans="1:9" x14ac:dyDescent="0.2">
      <c r="A1330" t="str">
        <f>ObesityDataSet_raw_and_data_sin!A1330</f>
        <v>Male</v>
      </c>
      <c r="B1330">
        <f>ObesityDataSet_raw_and_data_sin!C1330</f>
        <v>1.688436</v>
      </c>
      <c r="C1330">
        <f>ObesityDataSet_raw_and_data_sin!D1330</f>
        <v>90</v>
      </c>
      <c r="D1330" t="str">
        <f>ObesityDataSet_raw_and_data_sin!Q1330</f>
        <v>Obesity_Type_I</v>
      </c>
      <c r="E1330" t="b">
        <f t="shared" si="81"/>
        <v>0</v>
      </c>
      <c r="F1330">
        <f>C1330/(B1330*B1330)</f>
        <v>31.569907008786604</v>
      </c>
      <c r="G1330" t="str">
        <f t="shared" si="82"/>
        <v>Obese</v>
      </c>
      <c r="H1330" t="str">
        <f t="shared" si="83"/>
        <v>OK</v>
      </c>
      <c r="I1330" t="str">
        <f t="shared" si="80"/>
        <v>OK</v>
      </c>
    </row>
    <row r="1331" spans="1:9" x14ac:dyDescent="0.2">
      <c r="A1331" t="str">
        <f>ObesityDataSet_raw_and_data_sin!A1331</f>
        <v>Female</v>
      </c>
      <c r="B1331">
        <f>ObesityDataSet_raw_and_data_sin!C1331</f>
        <v>1.577115</v>
      </c>
      <c r="C1331">
        <f>ObesityDataSet_raw_and_data_sin!D1331</f>
        <v>78</v>
      </c>
      <c r="D1331" t="str">
        <f>ObesityDataSet_raw_and_data_sin!Q1331</f>
        <v>Obesity_Type_I</v>
      </c>
      <c r="E1331" t="b">
        <f t="shared" si="81"/>
        <v>0</v>
      </c>
      <c r="F1331">
        <f>C1331/(B1331*B1331)</f>
        <v>31.359409622794828</v>
      </c>
      <c r="G1331" t="str">
        <f t="shared" si="82"/>
        <v>Obese</v>
      </c>
      <c r="H1331" t="str">
        <f t="shared" si="83"/>
        <v>OK</v>
      </c>
      <c r="I1331" t="str">
        <f t="shared" si="80"/>
        <v>OK</v>
      </c>
    </row>
    <row r="1332" spans="1:9" x14ac:dyDescent="0.2">
      <c r="A1332" t="str">
        <f>ObesityDataSet_raw_and_data_sin!A1332</f>
        <v>Female</v>
      </c>
      <c r="B1332">
        <f>ObesityDataSet_raw_and_data_sin!C1332</f>
        <v>1.586751</v>
      </c>
      <c r="C1332">
        <f>ObesityDataSet_raw_and_data_sin!D1332</f>
        <v>79.109029000000007</v>
      </c>
      <c r="D1332" t="str">
        <f>ObesityDataSet_raw_and_data_sin!Q1332</f>
        <v>Obesity_Type_I</v>
      </c>
      <c r="E1332" t="b">
        <f t="shared" si="81"/>
        <v>0</v>
      </c>
      <c r="F1332">
        <f>C1332/(B1332*B1332)</f>
        <v>31.420167256495802</v>
      </c>
      <c r="G1332" t="str">
        <f t="shared" si="82"/>
        <v>Obese</v>
      </c>
      <c r="H1332" t="str">
        <f t="shared" si="83"/>
        <v>OK</v>
      </c>
      <c r="I1332" t="str">
        <f t="shared" si="80"/>
        <v>OK</v>
      </c>
    </row>
    <row r="1333" spans="1:9" x14ac:dyDescent="0.2">
      <c r="A1333" t="str">
        <f>ObesityDataSet_raw_and_data_sin!A1333</f>
        <v>Male</v>
      </c>
      <c r="B1333">
        <f>ObesityDataSet_raw_and_data_sin!C1333</f>
        <v>1.7106159999999999</v>
      </c>
      <c r="C1333">
        <f>ObesityDataSet_raw_and_data_sin!D1333</f>
        <v>99.860253999999998</v>
      </c>
      <c r="D1333" t="str">
        <f>ObesityDataSet_raw_and_data_sin!Q1333</f>
        <v>Obesity_Type_I</v>
      </c>
      <c r="E1333" t="b">
        <f t="shared" si="81"/>
        <v>0</v>
      </c>
      <c r="F1333">
        <f>C1333/(B1333*B1333)</f>
        <v>34.126174466108239</v>
      </c>
      <c r="G1333" t="str">
        <f t="shared" si="82"/>
        <v>Obese</v>
      </c>
      <c r="H1333" t="str">
        <f t="shared" si="83"/>
        <v>OK</v>
      </c>
      <c r="I1333" t="str">
        <f t="shared" si="80"/>
        <v>OK</v>
      </c>
    </row>
    <row r="1334" spans="1:9" x14ac:dyDescent="0.2">
      <c r="A1334" t="str">
        <f>ObesityDataSet_raw_and_data_sin!A1334</f>
        <v>Male</v>
      </c>
      <c r="B1334">
        <f>ObesityDataSet_raw_and_data_sin!C1334</f>
        <v>1.721384</v>
      </c>
      <c r="C1334">
        <f>ObesityDataSet_raw_and_data_sin!D1334</f>
        <v>99.430611999999996</v>
      </c>
      <c r="D1334" t="str">
        <f>ObesityDataSet_raw_and_data_sin!Q1334</f>
        <v>Obesity_Type_I</v>
      </c>
      <c r="E1334" t="b">
        <f t="shared" si="81"/>
        <v>0</v>
      </c>
      <c r="F1334">
        <f>C1334/(B1334*B1334)</f>
        <v>33.55556754020774</v>
      </c>
      <c r="G1334" t="str">
        <f t="shared" si="82"/>
        <v>Obese</v>
      </c>
      <c r="H1334" t="str">
        <f t="shared" si="83"/>
        <v>OK</v>
      </c>
      <c r="I1334" t="str">
        <f t="shared" si="80"/>
        <v>OK</v>
      </c>
    </row>
    <row r="1335" spans="1:9" x14ac:dyDescent="0.2">
      <c r="A1335" t="str">
        <f>ObesityDataSet_raw_and_data_sin!A1335</f>
        <v>Female</v>
      </c>
      <c r="B1335">
        <f>ObesityDataSet_raw_and_data_sin!C1335</f>
        <v>1.6243669999999999</v>
      </c>
      <c r="C1335">
        <f>ObesityDataSet_raw_and_data_sin!D1335</f>
        <v>82</v>
      </c>
      <c r="D1335" t="str">
        <f>ObesityDataSet_raw_and_data_sin!Q1335</f>
        <v>Obesity_Type_I</v>
      </c>
      <c r="E1335" t="b">
        <f t="shared" si="81"/>
        <v>0</v>
      </c>
      <c r="F1335">
        <f>C1335/(B1335*B1335)</f>
        <v>31.077461455216778</v>
      </c>
      <c r="G1335" t="str">
        <f t="shared" si="82"/>
        <v>Obese</v>
      </c>
      <c r="H1335" t="str">
        <f t="shared" si="83"/>
        <v>OK</v>
      </c>
      <c r="I1335" t="str">
        <f t="shared" si="80"/>
        <v>OK</v>
      </c>
    </row>
    <row r="1336" spans="1:9" x14ac:dyDescent="0.2">
      <c r="A1336" t="str">
        <f>ObesityDataSet_raw_and_data_sin!A1336</f>
        <v>Female</v>
      </c>
      <c r="B1336">
        <f>ObesityDataSet_raw_and_data_sin!C1336</f>
        <v>1.622787</v>
      </c>
      <c r="C1336">
        <f>ObesityDataSet_raw_and_data_sin!D1336</f>
        <v>82</v>
      </c>
      <c r="D1336" t="str">
        <f>ObesityDataSet_raw_and_data_sin!Q1336</f>
        <v>Obesity_Type_I</v>
      </c>
      <c r="E1336" t="b">
        <f t="shared" si="81"/>
        <v>0</v>
      </c>
      <c r="F1336">
        <f>C1336/(B1336*B1336)</f>
        <v>31.138007038793607</v>
      </c>
      <c r="G1336" t="str">
        <f t="shared" si="82"/>
        <v>Obese</v>
      </c>
      <c r="H1336" t="str">
        <f t="shared" si="83"/>
        <v>OK</v>
      </c>
      <c r="I1336" t="str">
        <f t="shared" si="80"/>
        <v>OK</v>
      </c>
    </row>
    <row r="1337" spans="1:9" x14ac:dyDescent="0.2">
      <c r="A1337" t="str">
        <f>ObesityDataSet_raw_and_data_sin!A1337</f>
        <v>Male</v>
      </c>
      <c r="B1337">
        <f>ObesityDataSet_raw_and_data_sin!C1337</f>
        <v>1.8554330000000001</v>
      </c>
      <c r="C1337">
        <f>ObesityDataSet_raw_and_data_sin!D1337</f>
        <v>112.875283</v>
      </c>
      <c r="D1337" t="str">
        <f>ObesityDataSet_raw_and_data_sin!Q1337</f>
        <v>Obesity_Type_I</v>
      </c>
      <c r="E1337" t="b">
        <f t="shared" si="81"/>
        <v>0</v>
      </c>
      <c r="F1337">
        <f>C1337/(B1337*B1337)</f>
        <v>32.787499663507241</v>
      </c>
      <c r="G1337" t="str">
        <f t="shared" si="82"/>
        <v>Obese</v>
      </c>
      <c r="H1337" t="str">
        <f t="shared" si="83"/>
        <v>OK</v>
      </c>
      <c r="I1337" t="str">
        <f t="shared" si="80"/>
        <v>OK</v>
      </c>
    </row>
    <row r="1338" spans="1:9" x14ac:dyDescent="0.2">
      <c r="A1338" t="str">
        <f>ObesityDataSet_raw_and_data_sin!A1338</f>
        <v>Male</v>
      </c>
      <c r="B1338">
        <f>ObesityDataSet_raw_and_data_sin!C1338</f>
        <v>1.8563149999999999</v>
      </c>
      <c r="C1338">
        <f>ObesityDataSet_raw_and_data_sin!D1338</f>
        <v>118.183797</v>
      </c>
      <c r="D1338" t="str">
        <f>ObesityDataSet_raw_and_data_sin!Q1338</f>
        <v>Obesity_Type_I</v>
      </c>
      <c r="E1338" t="b">
        <f t="shared" si="81"/>
        <v>0</v>
      </c>
      <c r="F1338">
        <f>C1338/(B1338*B1338)</f>
        <v>34.296878176782698</v>
      </c>
      <c r="G1338" t="str">
        <f t="shared" si="82"/>
        <v>Obese</v>
      </c>
      <c r="H1338" t="str">
        <f t="shared" si="83"/>
        <v>OK</v>
      </c>
      <c r="I1338" t="str">
        <f t="shared" si="80"/>
        <v>OK</v>
      </c>
    </row>
    <row r="1339" spans="1:9" x14ac:dyDescent="0.2">
      <c r="A1339" t="str">
        <f>ObesityDataSet_raw_and_data_sin!A1339</f>
        <v>Female</v>
      </c>
      <c r="B1339">
        <f>ObesityDataSet_raw_and_data_sin!C1339</f>
        <v>1.681719</v>
      </c>
      <c r="C1339">
        <f>ObesityDataSet_raw_and_data_sin!D1339</f>
        <v>90.671870999999996</v>
      </c>
      <c r="D1339" t="str">
        <f>ObesityDataSet_raw_and_data_sin!Q1339</f>
        <v>Obesity_Type_I</v>
      </c>
      <c r="E1339" t="b">
        <f t="shared" si="81"/>
        <v>0</v>
      </c>
      <c r="F1339">
        <f>C1339/(B1339*B1339)</f>
        <v>32.060162236401446</v>
      </c>
      <c r="G1339" t="str">
        <f t="shared" si="82"/>
        <v>Obese</v>
      </c>
      <c r="H1339" t="str">
        <f t="shared" si="83"/>
        <v>OK</v>
      </c>
      <c r="I1339" t="str">
        <f t="shared" si="80"/>
        <v>OK</v>
      </c>
    </row>
    <row r="1340" spans="1:9" x14ac:dyDescent="0.2">
      <c r="A1340" t="str">
        <f>ObesityDataSet_raw_and_data_sin!A1340</f>
        <v>Female</v>
      </c>
      <c r="B1340">
        <f>ObesityDataSet_raw_and_data_sin!C1340</f>
        <v>1.7228840000000001</v>
      </c>
      <c r="C1340">
        <f>ObesityDataSet_raw_and_data_sin!D1340</f>
        <v>92.949253999999996</v>
      </c>
      <c r="D1340" t="str">
        <f>ObesityDataSet_raw_and_data_sin!Q1340</f>
        <v>Obesity_Type_I</v>
      </c>
      <c r="E1340" t="b">
        <f t="shared" si="81"/>
        <v>0</v>
      </c>
      <c r="F1340">
        <f>C1340/(B1340*B1340)</f>
        <v>31.313660080077753</v>
      </c>
      <c r="G1340" t="str">
        <f t="shared" si="82"/>
        <v>Obese</v>
      </c>
      <c r="H1340" t="str">
        <f t="shared" si="83"/>
        <v>OK</v>
      </c>
      <c r="I1340" t="str">
        <f t="shared" si="80"/>
        <v>OK</v>
      </c>
    </row>
    <row r="1341" spans="1:9" x14ac:dyDescent="0.2">
      <c r="A1341" t="str">
        <f>ObesityDataSet_raw_and_data_sin!A1341</f>
        <v>Male</v>
      </c>
      <c r="B1341">
        <f>ObesityDataSet_raw_and_data_sin!C1341</f>
        <v>1.7994060000000001</v>
      </c>
      <c r="C1341">
        <f>ObesityDataSet_raw_and_data_sin!D1341</f>
        <v>106.528811</v>
      </c>
      <c r="D1341" t="str">
        <f>ObesityDataSet_raw_and_data_sin!Q1341</f>
        <v>Obesity_Type_I</v>
      </c>
      <c r="E1341" t="b">
        <f t="shared" si="81"/>
        <v>0</v>
      </c>
      <c r="F1341">
        <f>C1341/(B1341*B1341)</f>
        <v>32.900973714056228</v>
      </c>
      <c r="G1341" t="str">
        <f t="shared" si="82"/>
        <v>Obese</v>
      </c>
      <c r="H1341" t="str">
        <f t="shared" si="83"/>
        <v>OK</v>
      </c>
      <c r="I1341" t="str">
        <f t="shared" si="80"/>
        <v>OK</v>
      </c>
    </row>
    <row r="1342" spans="1:9" x14ac:dyDescent="0.2">
      <c r="A1342" t="str">
        <f>ObesityDataSet_raw_and_data_sin!A1342</f>
        <v>Male</v>
      </c>
      <c r="B1342">
        <f>ObesityDataSet_raw_and_data_sin!C1342</f>
        <v>1.8198749999999999</v>
      </c>
      <c r="C1342">
        <f>ObesityDataSet_raw_and_data_sin!D1342</f>
        <v>106.04851600000001</v>
      </c>
      <c r="D1342" t="str">
        <f>ObesityDataSet_raw_and_data_sin!Q1342</f>
        <v>Obesity_Type_I</v>
      </c>
      <c r="E1342" t="b">
        <f t="shared" si="81"/>
        <v>0</v>
      </c>
      <c r="F1342">
        <f>C1342/(B1342*B1342)</f>
        <v>32.02001105081375</v>
      </c>
      <c r="G1342" t="str">
        <f t="shared" si="82"/>
        <v>Obese</v>
      </c>
      <c r="H1342" t="str">
        <f t="shared" si="83"/>
        <v>OK</v>
      </c>
      <c r="I1342" t="str">
        <f t="shared" si="80"/>
        <v>OK</v>
      </c>
    </row>
    <row r="1343" spans="1:9" x14ac:dyDescent="0.2">
      <c r="A1343" t="str">
        <f>ObesityDataSet_raw_and_data_sin!A1343</f>
        <v>Male</v>
      </c>
      <c r="B1343">
        <f>ObesityDataSet_raw_and_data_sin!C1343</f>
        <v>1.7901720000000001</v>
      </c>
      <c r="C1343">
        <f>ObesityDataSet_raw_and_data_sin!D1343</f>
        <v>105.04219399999999</v>
      </c>
      <c r="D1343" t="str">
        <f>ObesityDataSet_raw_and_data_sin!Q1343</f>
        <v>Obesity_Type_I</v>
      </c>
      <c r="E1343" t="b">
        <f t="shared" si="81"/>
        <v>0</v>
      </c>
      <c r="F1343">
        <f>C1343/(B1343*B1343)</f>
        <v>32.777382113387155</v>
      </c>
      <c r="G1343" t="str">
        <f t="shared" si="82"/>
        <v>Obese</v>
      </c>
      <c r="H1343" t="str">
        <f t="shared" si="83"/>
        <v>OK</v>
      </c>
      <c r="I1343" t="str">
        <f t="shared" si="80"/>
        <v>OK</v>
      </c>
    </row>
    <row r="1344" spans="1:9" x14ac:dyDescent="0.2">
      <c r="A1344" t="str">
        <f>ObesityDataSet_raw_and_data_sin!A1344</f>
        <v>Male</v>
      </c>
      <c r="B1344">
        <f>ObesityDataSet_raw_and_data_sin!C1344</f>
        <v>1.783782</v>
      </c>
      <c r="C1344">
        <f>ObesityDataSet_raw_and_data_sin!D1344</f>
        <v>105.000276</v>
      </c>
      <c r="D1344" t="str">
        <f>ObesityDataSet_raw_and_data_sin!Q1344</f>
        <v>Obesity_Type_I</v>
      </c>
      <c r="E1344" t="b">
        <f t="shared" si="81"/>
        <v>0</v>
      </c>
      <c r="F1344">
        <f>C1344/(B1344*B1344)</f>
        <v>32.999464034707742</v>
      </c>
      <c r="G1344" t="str">
        <f t="shared" si="82"/>
        <v>Obese</v>
      </c>
      <c r="H1344" t="str">
        <f t="shared" si="83"/>
        <v>OK</v>
      </c>
      <c r="I1344" t="str">
        <f t="shared" si="80"/>
        <v>OK</v>
      </c>
    </row>
    <row r="1345" spans="1:9" x14ac:dyDescent="0.2">
      <c r="A1345" t="str">
        <f>ObesityDataSet_raw_and_data_sin!A1345</f>
        <v>Male</v>
      </c>
      <c r="B1345">
        <f>ObesityDataSet_raw_and_data_sin!C1345</f>
        <v>1.783906</v>
      </c>
      <c r="C1345">
        <f>ObesityDataSet_raw_and_data_sin!D1345</f>
        <v>109.20761400000001</v>
      </c>
      <c r="D1345" t="str">
        <f>ObesityDataSet_raw_and_data_sin!Q1345</f>
        <v>Obesity_Type_I</v>
      </c>
      <c r="E1345" t="b">
        <f t="shared" si="81"/>
        <v>0</v>
      </c>
      <c r="F1345">
        <f>C1345/(B1345*B1345)</f>
        <v>34.316974041597014</v>
      </c>
      <c r="G1345" t="str">
        <f t="shared" si="82"/>
        <v>Obese</v>
      </c>
      <c r="H1345" t="str">
        <f t="shared" si="83"/>
        <v>OK</v>
      </c>
      <c r="I1345" t="str">
        <f t="shared" si="80"/>
        <v>OK</v>
      </c>
    </row>
    <row r="1346" spans="1:9" x14ac:dyDescent="0.2">
      <c r="A1346" t="str">
        <f>ObesityDataSet_raw_and_data_sin!A1346</f>
        <v>Male</v>
      </c>
      <c r="B1346">
        <f>ObesityDataSet_raw_and_data_sin!C1346</f>
        <v>1.8442179999999999</v>
      </c>
      <c r="C1346">
        <f>ObesityDataSet_raw_and_data_sin!D1346</f>
        <v>109.19552899999999</v>
      </c>
      <c r="D1346" t="str">
        <f>ObesityDataSet_raw_and_data_sin!Q1346</f>
        <v>Obesity_Type_I</v>
      </c>
      <c r="E1346" t="b">
        <f t="shared" si="81"/>
        <v>0</v>
      </c>
      <c r="F1346">
        <f>C1346/(B1346*B1346)</f>
        <v>32.105566953405066</v>
      </c>
      <c r="G1346" t="str">
        <f t="shared" si="82"/>
        <v>Obese</v>
      </c>
      <c r="H1346" t="str">
        <f t="shared" si="83"/>
        <v>OK</v>
      </c>
      <c r="I1346" t="str">
        <f t="shared" ref="I1346:I1409" si="84">IF(AND(LEFT(D1346,10)="Overweight",G1346&lt;&gt;"Overweight"),"ERROR","OK")</f>
        <v>OK</v>
      </c>
    </row>
    <row r="1347" spans="1:9" x14ac:dyDescent="0.2">
      <c r="A1347" t="str">
        <f>ObesityDataSet_raw_and_data_sin!A1347</f>
        <v>Female</v>
      </c>
      <c r="B1347">
        <f>ObesityDataSet_raw_and_data_sin!C1347</f>
        <v>1.6316619999999999</v>
      </c>
      <c r="C1347">
        <f>ObesityDataSet_raw_and_data_sin!D1347</f>
        <v>82</v>
      </c>
      <c r="D1347" t="str">
        <f>ObesityDataSet_raw_and_data_sin!Q1347</f>
        <v>Obesity_Type_I</v>
      </c>
      <c r="E1347" t="b">
        <f t="shared" ref="E1347:E1410" si="85">IF(AND(A1347="Female", B1347&lt;1.5), TRUE, IF(AND(A1347="Male",B1347&lt;1.6),TRUE, FALSE))</f>
        <v>0</v>
      </c>
      <c r="F1347">
        <f>C1347/(B1347*B1347)</f>
        <v>30.800194126443678</v>
      </c>
      <c r="G1347" t="str">
        <f t="shared" ref="G1347:G1410" si="86">IF(E1347=TRUE,IF(F1347&lt;23,"Normal",IF(F1347&lt;25,"Overweight","Obese")),IF(F1347&lt;25,"Normal",IF(F1347&lt;30,"Overweight","Obese")))</f>
        <v>Obese</v>
      </c>
      <c r="H1347" t="str">
        <f t="shared" ref="H1347:H1410" si="87">IF(AND(D1347="Normal_Weight",G1347&lt;&gt;"Normal"),"ERROR","OK")</f>
        <v>OK</v>
      </c>
      <c r="I1347" t="str">
        <f t="shared" si="84"/>
        <v>OK</v>
      </c>
    </row>
    <row r="1348" spans="1:9" x14ac:dyDescent="0.2">
      <c r="A1348" t="str">
        <f>ObesityDataSet_raw_and_data_sin!A1348</f>
        <v>Female</v>
      </c>
      <c r="B1348">
        <f>ObesityDataSet_raw_and_data_sin!C1348</f>
        <v>1.649553</v>
      </c>
      <c r="C1348">
        <f>ObesityDataSet_raw_and_data_sin!D1348</f>
        <v>82.323954000000001</v>
      </c>
      <c r="D1348" t="str">
        <f>ObesityDataSet_raw_and_data_sin!Q1348</f>
        <v>Obesity_Type_I</v>
      </c>
      <c r="E1348" t="b">
        <f t="shared" si="85"/>
        <v>0</v>
      </c>
      <c r="F1348">
        <f>C1348/(B1348*B1348)</f>
        <v>30.254757299290866</v>
      </c>
      <c r="G1348" t="str">
        <f t="shared" si="86"/>
        <v>Obese</v>
      </c>
      <c r="H1348" t="str">
        <f t="shared" si="87"/>
        <v>OK</v>
      </c>
      <c r="I1348" t="str">
        <f t="shared" si="84"/>
        <v>OK</v>
      </c>
    </row>
    <row r="1349" spans="1:9" x14ac:dyDescent="0.2">
      <c r="A1349" t="str">
        <f>ObesityDataSet_raw_and_data_sin!A1349</f>
        <v>Male</v>
      </c>
      <c r="B1349">
        <f>ObesityDataSet_raw_and_data_sin!C1349</f>
        <v>1.7547109999999999</v>
      </c>
      <c r="C1349">
        <f>ObesityDataSet_raw_and_data_sin!D1349</f>
        <v>105.00070599999999</v>
      </c>
      <c r="D1349" t="str">
        <f>ObesityDataSet_raw_and_data_sin!Q1349</f>
        <v>Obesity_Type_I</v>
      </c>
      <c r="E1349" t="b">
        <f t="shared" si="85"/>
        <v>0</v>
      </c>
      <c r="F1349">
        <f>C1349/(B1349*B1349)</f>
        <v>34.102092019669648</v>
      </c>
      <c r="G1349" t="str">
        <f t="shared" si="86"/>
        <v>Obese</v>
      </c>
      <c r="H1349" t="str">
        <f t="shared" si="87"/>
        <v>OK</v>
      </c>
      <c r="I1349" t="str">
        <f t="shared" si="84"/>
        <v>OK</v>
      </c>
    </row>
    <row r="1350" spans="1:9" x14ac:dyDescent="0.2">
      <c r="A1350" t="str">
        <f>ObesityDataSet_raw_and_data_sin!A1350</f>
        <v>Male</v>
      </c>
      <c r="B1350">
        <f>ObesityDataSet_raw_and_data_sin!C1350</f>
        <v>1.7625150000000001</v>
      </c>
      <c r="C1350">
        <f>ObesityDataSet_raw_and_data_sin!D1350</f>
        <v>105.000097</v>
      </c>
      <c r="D1350" t="str">
        <f>ObesityDataSet_raw_and_data_sin!Q1350</f>
        <v>Obesity_Type_I</v>
      </c>
      <c r="E1350" t="b">
        <f t="shared" si="85"/>
        <v>0</v>
      </c>
      <c r="F1350">
        <f>C1350/(B1350*B1350)</f>
        <v>33.800572538482974</v>
      </c>
      <c r="G1350" t="str">
        <f t="shared" si="86"/>
        <v>Obese</v>
      </c>
      <c r="H1350" t="str">
        <f t="shared" si="87"/>
        <v>OK</v>
      </c>
      <c r="I1350" t="str">
        <f t="shared" si="84"/>
        <v>OK</v>
      </c>
    </row>
    <row r="1351" spans="1:9" x14ac:dyDescent="0.2">
      <c r="A1351" t="str">
        <f>ObesityDataSet_raw_and_data_sin!A1351</f>
        <v>Male</v>
      </c>
      <c r="B1351">
        <f>ObesityDataSet_raw_and_data_sin!C1351</f>
        <v>1.942725</v>
      </c>
      <c r="C1351">
        <f>ObesityDataSet_raw_and_data_sin!D1351</f>
        <v>121.657979</v>
      </c>
      <c r="D1351" t="str">
        <f>ObesityDataSet_raw_and_data_sin!Q1351</f>
        <v>Obesity_Type_I</v>
      </c>
      <c r="E1351" t="b">
        <f t="shared" si="85"/>
        <v>0</v>
      </c>
      <c r="F1351">
        <f>C1351/(B1351*B1351)</f>
        <v>32.234277453721248</v>
      </c>
      <c r="G1351" t="str">
        <f t="shared" si="86"/>
        <v>Obese</v>
      </c>
      <c r="H1351" t="str">
        <f t="shared" si="87"/>
        <v>OK</v>
      </c>
      <c r="I1351" t="str">
        <f t="shared" si="84"/>
        <v>OK</v>
      </c>
    </row>
    <row r="1352" spans="1:9" x14ac:dyDescent="0.2">
      <c r="A1352" t="str">
        <f>ObesityDataSet_raw_and_data_sin!A1352</f>
        <v>Male</v>
      </c>
      <c r="B1352">
        <f>ObesityDataSet_raw_and_data_sin!C1352</f>
        <v>1.9756629999999999</v>
      </c>
      <c r="C1352">
        <f>ObesityDataSet_raw_and_data_sin!D1352</f>
        <v>120.702935</v>
      </c>
      <c r="D1352" t="str">
        <f>ObesityDataSet_raw_and_data_sin!Q1352</f>
        <v>Obesity_Type_I</v>
      </c>
      <c r="E1352" t="b">
        <f t="shared" si="85"/>
        <v>0</v>
      </c>
      <c r="F1352">
        <f>C1352/(B1352*B1352)</f>
        <v>30.9237460034376</v>
      </c>
      <c r="G1352" t="str">
        <f t="shared" si="86"/>
        <v>Obese</v>
      </c>
      <c r="H1352" t="str">
        <f t="shared" si="87"/>
        <v>OK</v>
      </c>
      <c r="I1352" t="str">
        <f t="shared" si="84"/>
        <v>OK</v>
      </c>
    </row>
    <row r="1353" spans="1:9" x14ac:dyDescent="0.2">
      <c r="A1353" t="str">
        <f>ObesityDataSet_raw_and_data_sin!A1353</f>
        <v>Female</v>
      </c>
      <c r="B1353">
        <f>ObesityDataSet_raw_and_data_sin!C1353</f>
        <v>1.586301</v>
      </c>
      <c r="C1353">
        <f>ObesityDataSet_raw_and_data_sin!D1353</f>
        <v>80</v>
      </c>
      <c r="D1353" t="str">
        <f>ObesityDataSet_raw_and_data_sin!Q1353</f>
        <v>Obesity_Type_I</v>
      </c>
      <c r="E1353" t="b">
        <f t="shared" si="85"/>
        <v>0</v>
      </c>
      <c r="F1353">
        <f>C1353/(B1353*B1353)</f>
        <v>31.792068899846832</v>
      </c>
      <c r="G1353" t="str">
        <f t="shared" si="86"/>
        <v>Obese</v>
      </c>
      <c r="H1353" t="str">
        <f t="shared" si="87"/>
        <v>OK</v>
      </c>
      <c r="I1353" t="str">
        <f t="shared" si="84"/>
        <v>OK</v>
      </c>
    </row>
    <row r="1354" spans="1:9" x14ac:dyDescent="0.2">
      <c r="A1354" t="str">
        <f>ObesityDataSet_raw_and_data_sin!A1354</f>
        <v>Female</v>
      </c>
      <c r="B1354">
        <f>ObesityDataSet_raw_and_data_sin!C1354</f>
        <v>1.5984480000000001</v>
      </c>
      <c r="C1354">
        <f>ObesityDataSet_raw_and_data_sin!D1354</f>
        <v>80</v>
      </c>
      <c r="D1354" t="str">
        <f>ObesityDataSet_raw_and_data_sin!Q1354</f>
        <v>Obesity_Type_I</v>
      </c>
      <c r="E1354" t="b">
        <f t="shared" si="85"/>
        <v>0</v>
      </c>
      <c r="F1354">
        <f>C1354/(B1354*B1354)</f>
        <v>31.310713323597607</v>
      </c>
      <c r="G1354" t="str">
        <f t="shared" si="86"/>
        <v>Obese</v>
      </c>
      <c r="H1354" t="str">
        <f t="shared" si="87"/>
        <v>OK</v>
      </c>
      <c r="I1354" t="str">
        <f t="shared" si="84"/>
        <v>OK</v>
      </c>
    </row>
    <row r="1355" spans="1:9" x14ac:dyDescent="0.2">
      <c r="A1355" t="str">
        <f>ObesityDataSet_raw_and_data_sin!A1355</f>
        <v>Male</v>
      </c>
      <c r="B1355">
        <f>ObesityDataSet_raw_and_data_sin!C1355</f>
        <v>1.703098</v>
      </c>
      <c r="C1355">
        <f>ObesityDataSet_raw_and_data_sin!D1355</f>
        <v>98.296650999999997</v>
      </c>
      <c r="D1355" t="str">
        <f>ObesityDataSet_raw_and_data_sin!Q1355</f>
        <v>Obesity_Type_I</v>
      </c>
      <c r="E1355" t="b">
        <f t="shared" si="85"/>
        <v>0</v>
      </c>
      <c r="F1355">
        <f>C1355/(B1355*B1355)</f>
        <v>33.889053828544839</v>
      </c>
      <c r="G1355" t="str">
        <f t="shared" si="86"/>
        <v>Obese</v>
      </c>
      <c r="H1355" t="str">
        <f t="shared" si="87"/>
        <v>OK</v>
      </c>
      <c r="I1355" t="str">
        <f t="shared" si="84"/>
        <v>OK</v>
      </c>
    </row>
    <row r="1356" spans="1:9" x14ac:dyDescent="0.2">
      <c r="A1356" t="str">
        <f>ObesityDataSet_raw_and_data_sin!A1356</f>
        <v>Male</v>
      </c>
      <c r="B1356">
        <f>ObesityDataSet_raw_and_data_sin!C1356</f>
        <v>1.706996</v>
      </c>
      <c r="C1356">
        <f>ObesityDataSet_raw_and_data_sin!D1356</f>
        <v>99.544696000000002</v>
      </c>
      <c r="D1356" t="str">
        <f>ObesityDataSet_raw_and_data_sin!Q1356</f>
        <v>Obesity_Type_I</v>
      </c>
      <c r="E1356" t="b">
        <f t="shared" si="85"/>
        <v>0</v>
      </c>
      <c r="F1356">
        <f>C1356/(B1356*B1356)</f>
        <v>34.162773200081482</v>
      </c>
      <c r="G1356" t="str">
        <f t="shared" si="86"/>
        <v>Obese</v>
      </c>
      <c r="H1356" t="str">
        <f t="shared" si="87"/>
        <v>OK</v>
      </c>
      <c r="I1356" t="str">
        <f t="shared" si="84"/>
        <v>OK</v>
      </c>
    </row>
    <row r="1357" spans="1:9" x14ac:dyDescent="0.2">
      <c r="A1357" t="str">
        <f>ObesityDataSet_raw_and_data_sin!A1357</f>
        <v>Female</v>
      </c>
      <c r="B1357">
        <f>ObesityDataSet_raw_and_data_sin!C1357</f>
        <v>1.5264720000000001</v>
      </c>
      <c r="C1357">
        <f>ObesityDataSet_raw_and_data_sin!D1357</f>
        <v>75.150345000000002</v>
      </c>
      <c r="D1357" t="str">
        <f>ObesityDataSet_raw_and_data_sin!Q1357</f>
        <v>Obesity_Type_I</v>
      </c>
      <c r="E1357" t="b">
        <f t="shared" si="85"/>
        <v>0</v>
      </c>
      <c r="F1357">
        <f>C1357/(B1357*B1357)</f>
        <v>32.251750672444466</v>
      </c>
      <c r="G1357" t="str">
        <f t="shared" si="86"/>
        <v>Obese</v>
      </c>
      <c r="H1357" t="str">
        <f t="shared" si="87"/>
        <v>OK</v>
      </c>
      <c r="I1357" t="str">
        <f t="shared" si="84"/>
        <v>OK</v>
      </c>
    </row>
    <row r="1358" spans="1:9" x14ac:dyDescent="0.2">
      <c r="A1358" t="str">
        <f>ObesityDataSet_raw_and_data_sin!A1358</f>
        <v>Female</v>
      </c>
      <c r="B1358">
        <f>ObesityDataSet_raw_and_data_sin!C1358</f>
        <v>1.5019929999999999</v>
      </c>
      <c r="C1358">
        <f>ObesityDataSet_raw_and_data_sin!D1358</f>
        <v>76.642944</v>
      </c>
      <c r="D1358" t="str">
        <f>ObesityDataSet_raw_and_data_sin!Q1358</f>
        <v>Obesity_Type_I</v>
      </c>
      <c r="E1358" t="b">
        <f t="shared" si="85"/>
        <v>0</v>
      </c>
      <c r="F1358">
        <f>C1358/(B1358*B1358)</f>
        <v>33.973192594795577</v>
      </c>
      <c r="G1358" t="str">
        <f t="shared" si="86"/>
        <v>Obese</v>
      </c>
      <c r="H1358" t="str">
        <f t="shared" si="87"/>
        <v>OK</v>
      </c>
      <c r="I1358" t="str">
        <f t="shared" si="84"/>
        <v>OK</v>
      </c>
    </row>
    <row r="1359" spans="1:9" x14ac:dyDescent="0.2">
      <c r="A1359" t="str">
        <f>ObesityDataSet_raw_and_data_sin!A1359</f>
        <v>Male</v>
      </c>
      <c r="B1359">
        <f>ObesityDataSet_raw_and_data_sin!C1359</f>
        <v>1.784402</v>
      </c>
      <c r="C1359">
        <f>ObesityDataSet_raw_and_data_sin!D1359</f>
        <v>108.41311899999999</v>
      </c>
      <c r="D1359" t="str">
        <f>ObesityDataSet_raw_and_data_sin!Q1359</f>
        <v>Obesity_Type_I</v>
      </c>
      <c r="E1359" t="b">
        <f t="shared" si="85"/>
        <v>0</v>
      </c>
      <c r="F1359">
        <f>C1359/(B1359*B1359)</f>
        <v>34.048378675662612</v>
      </c>
      <c r="G1359" t="str">
        <f t="shared" si="86"/>
        <v>Obese</v>
      </c>
      <c r="H1359" t="str">
        <f t="shared" si="87"/>
        <v>OK</v>
      </c>
      <c r="I1359" t="str">
        <f t="shared" si="84"/>
        <v>OK</v>
      </c>
    </row>
    <row r="1360" spans="1:9" x14ac:dyDescent="0.2">
      <c r="A1360" t="str">
        <f>ObesityDataSet_raw_and_data_sin!A1360</f>
        <v>Male</v>
      </c>
      <c r="B1360">
        <f>ObesityDataSet_raw_and_data_sin!C1360</f>
        <v>1.7926869999999999</v>
      </c>
      <c r="C1360">
        <f>ObesityDataSet_raw_and_data_sin!D1360</f>
        <v>108.20454700000001</v>
      </c>
      <c r="D1360" t="str">
        <f>ObesityDataSet_raw_and_data_sin!Q1360</f>
        <v>Obesity_Type_I</v>
      </c>
      <c r="E1360" t="b">
        <f t="shared" si="85"/>
        <v>0</v>
      </c>
      <c r="F1360">
        <f>C1360/(B1360*B1360)</f>
        <v>33.669492702796923</v>
      </c>
      <c r="G1360" t="str">
        <f t="shared" si="86"/>
        <v>Obese</v>
      </c>
      <c r="H1360" t="str">
        <f t="shared" si="87"/>
        <v>OK</v>
      </c>
      <c r="I1360" t="str">
        <f t="shared" si="84"/>
        <v>OK</v>
      </c>
    </row>
    <row r="1361" spans="1:9" x14ac:dyDescent="0.2">
      <c r="A1361" t="str">
        <f>ObesityDataSet_raw_and_data_sin!A1361</f>
        <v>Male</v>
      </c>
      <c r="B1361">
        <f>ObesityDataSet_raw_and_data_sin!C1361</f>
        <v>1.814052</v>
      </c>
      <c r="C1361">
        <f>ObesityDataSet_raw_and_data_sin!D1361</f>
        <v>109.41162199999999</v>
      </c>
      <c r="D1361" t="str">
        <f>ObesityDataSet_raw_and_data_sin!Q1361</f>
        <v>Obesity_Type_I</v>
      </c>
      <c r="E1361" t="b">
        <f t="shared" si="85"/>
        <v>0</v>
      </c>
      <c r="F1361">
        <f>C1361/(B1361*B1361)</f>
        <v>33.24788260167994</v>
      </c>
      <c r="G1361" t="str">
        <f t="shared" si="86"/>
        <v>Obese</v>
      </c>
      <c r="H1361" t="str">
        <f t="shared" si="87"/>
        <v>OK</v>
      </c>
      <c r="I1361" t="str">
        <f t="shared" si="84"/>
        <v>OK</v>
      </c>
    </row>
    <row r="1362" spans="1:9" x14ac:dyDescent="0.2">
      <c r="A1362" t="str">
        <f>ObesityDataSet_raw_and_data_sin!A1362</f>
        <v>Male</v>
      </c>
      <c r="B1362">
        <f>ObesityDataSet_raw_and_data_sin!C1362</f>
        <v>1.7894209999999999</v>
      </c>
      <c r="C1362">
        <f>ObesityDataSet_raw_and_data_sin!D1362</f>
        <v>109.599453</v>
      </c>
      <c r="D1362" t="str">
        <f>ObesityDataSet_raw_and_data_sin!Q1362</f>
        <v>Obesity_Type_I</v>
      </c>
      <c r="E1362" t="b">
        <f t="shared" si="85"/>
        <v>0</v>
      </c>
      <c r="F1362">
        <f>C1362/(B1362*B1362)</f>
        <v>34.228142162529487</v>
      </c>
      <c r="G1362" t="str">
        <f t="shared" si="86"/>
        <v>Obese</v>
      </c>
      <c r="H1362" t="str">
        <f t="shared" si="87"/>
        <v>OK</v>
      </c>
      <c r="I1362" t="str">
        <f t="shared" si="84"/>
        <v>OK</v>
      </c>
    </row>
    <row r="1363" spans="1:9" x14ac:dyDescent="0.2">
      <c r="A1363" t="str">
        <f>ObesityDataSet_raw_and_data_sin!A1363</f>
        <v>Female</v>
      </c>
      <c r="B1363">
        <f>ObesityDataSet_raw_and_data_sin!C1363</f>
        <v>1.686904</v>
      </c>
      <c r="C1363">
        <f>ObesityDataSet_raw_and_data_sin!D1363</f>
        <v>90.004046000000002</v>
      </c>
      <c r="D1363" t="str">
        <f>ObesityDataSet_raw_and_data_sin!Q1363</f>
        <v>Obesity_Type_I</v>
      </c>
      <c r="E1363" t="b">
        <f t="shared" si="85"/>
        <v>0</v>
      </c>
      <c r="F1363">
        <f>C1363/(B1363*B1363)</f>
        <v>31.628696718021772</v>
      </c>
      <c r="G1363" t="str">
        <f t="shared" si="86"/>
        <v>Obese</v>
      </c>
      <c r="H1363" t="str">
        <f t="shared" si="87"/>
        <v>OK</v>
      </c>
      <c r="I1363" t="str">
        <f t="shared" si="84"/>
        <v>OK</v>
      </c>
    </row>
    <row r="1364" spans="1:9" x14ac:dyDescent="0.2">
      <c r="A1364" t="str">
        <f>ObesityDataSet_raw_and_data_sin!A1364</f>
        <v>Female</v>
      </c>
      <c r="B1364">
        <f>ObesityDataSet_raw_and_data_sin!C1364</f>
        <v>1.7032590000000001</v>
      </c>
      <c r="C1364">
        <f>ObesityDataSet_raw_and_data_sin!D1364</f>
        <v>91.499683000000005</v>
      </c>
      <c r="D1364" t="str">
        <f>ObesityDataSet_raw_and_data_sin!Q1364</f>
        <v>Obesity_Type_I</v>
      </c>
      <c r="E1364" t="b">
        <f t="shared" si="85"/>
        <v>0</v>
      </c>
      <c r="F1364">
        <f>C1364/(B1364*B1364)</f>
        <v>31.539746952839881</v>
      </c>
      <c r="G1364" t="str">
        <f t="shared" si="86"/>
        <v>Obese</v>
      </c>
      <c r="H1364" t="str">
        <f t="shared" si="87"/>
        <v>OK</v>
      </c>
      <c r="I1364" t="str">
        <f t="shared" si="84"/>
        <v>OK</v>
      </c>
    </row>
    <row r="1365" spans="1:9" x14ac:dyDescent="0.2">
      <c r="A1365" t="str">
        <f>ObesityDataSet_raw_and_data_sin!A1365</f>
        <v>Male</v>
      </c>
      <c r="B1365">
        <f>ObesityDataSet_raw_and_data_sin!C1365</f>
        <v>1.6657979999999999</v>
      </c>
      <c r="C1365">
        <f>ObesityDataSet_raw_and_data_sin!D1365</f>
        <v>89.738596000000001</v>
      </c>
      <c r="D1365" t="str">
        <f>ObesityDataSet_raw_and_data_sin!Q1365</f>
        <v>Obesity_Type_I</v>
      </c>
      <c r="E1365" t="b">
        <f t="shared" si="85"/>
        <v>0</v>
      </c>
      <c r="F1365">
        <f>C1365/(B1365*B1365)</f>
        <v>32.339596570431723</v>
      </c>
      <c r="G1365" t="str">
        <f t="shared" si="86"/>
        <v>Obese</v>
      </c>
      <c r="H1365" t="str">
        <f t="shared" si="87"/>
        <v>OK</v>
      </c>
      <c r="I1365" t="str">
        <f t="shared" si="84"/>
        <v>OK</v>
      </c>
    </row>
    <row r="1366" spans="1:9" x14ac:dyDescent="0.2">
      <c r="A1366" t="str">
        <f>ObesityDataSet_raw_and_data_sin!A1366</f>
        <v>Male</v>
      </c>
      <c r="B1366">
        <f>ObesityDataSet_raw_and_data_sin!C1366</f>
        <v>1.6667099999999999</v>
      </c>
      <c r="C1366">
        <f>ObesityDataSet_raw_and_data_sin!D1366</f>
        <v>89.048151000000004</v>
      </c>
      <c r="D1366" t="str">
        <f>ObesityDataSet_raw_and_data_sin!Q1366</f>
        <v>Obesity_Type_I</v>
      </c>
      <c r="E1366" t="b">
        <f t="shared" si="85"/>
        <v>0</v>
      </c>
      <c r="F1366">
        <f>C1366/(B1366*B1366)</f>
        <v>32.055667443623307</v>
      </c>
      <c r="G1366" t="str">
        <f t="shared" si="86"/>
        <v>Obese</v>
      </c>
      <c r="H1366" t="str">
        <f t="shared" si="87"/>
        <v>OK</v>
      </c>
      <c r="I1366" t="str">
        <f t="shared" si="84"/>
        <v>OK</v>
      </c>
    </row>
    <row r="1367" spans="1:9" x14ac:dyDescent="0.2">
      <c r="A1367" t="str">
        <f>ObesityDataSet_raw_and_data_sin!A1367</f>
        <v>Female</v>
      </c>
      <c r="B1367">
        <f>ObesityDataSet_raw_and_data_sin!C1367</f>
        <v>1.65</v>
      </c>
      <c r="C1367">
        <f>ObesityDataSet_raw_and_data_sin!D1367</f>
        <v>84.210534999999993</v>
      </c>
      <c r="D1367" t="str">
        <f>ObesityDataSet_raw_and_data_sin!Q1367</f>
        <v>Obesity_Type_I</v>
      </c>
      <c r="E1367" t="b">
        <f t="shared" si="85"/>
        <v>0</v>
      </c>
      <c r="F1367">
        <f>C1367/(B1367*B1367)</f>
        <v>30.93132598714417</v>
      </c>
      <c r="G1367" t="str">
        <f t="shared" si="86"/>
        <v>Obese</v>
      </c>
      <c r="H1367" t="str">
        <f t="shared" si="87"/>
        <v>OK</v>
      </c>
      <c r="I1367" t="str">
        <f t="shared" si="84"/>
        <v>OK</v>
      </c>
    </row>
    <row r="1368" spans="1:9" x14ac:dyDescent="0.2">
      <c r="A1368" t="str">
        <f>ObesityDataSet_raw_and_data_sin!A1368</f>
        <v>Female</v>
      </c>
      <c r="B1368">
        <f>ObesityDataSet_raw_and_data_sin!C1368</f>
        <v>1.6494390000000001</v>
      </c>
      <c r="C1368">
        <f>ObesityDataSet_raw_and_data_sin!D1368</f>
        <v>84.897738000000004</v>
      </c>
      <c r="D1368" t="str">
        <f>ObesityDataSet_raw_and_data_sin!Q1368</f>
        <v>Obesity_Type_I</v>
      </c>
      <c r="E1368" t="b">
        <f t="shared" si="85"/>
        <v>0</v>
      </c>
      <c r="F1368">
        <f>C1368/(B1368*B1368)</f>
        <v>31.204957912847931</v>
      </c>
      <c r="G1368" t="str">
        <f t="shared" si="86"/>
        <v>Obese</v>
      </c>
      <c r="H1368" t="str">
        <f t="shared" si="87"/>
        <v>OK</v>
      </c>
      <c r="I1368" t="str">
        <f t="shared" si="84"/>
        <v>OK</v>
      </c>
    </row>
    <row r="1369" spans="1:9" x14ac:dyDescent="0.2">
      <c r="A1369" t="str">
        <f>ObesityDataSet_raw_and_data_sin!A1369</f>
        <v>Male</v>
      </c>
      <c r="B1369">
        <f>ObesityDataSet_raw_and_data_sin!C1369</f>
        <v>1.702002</v>
      </c>
      <c r="C1369">
        <f>ObesityDataSet_raw_and_data_sin!D1369</f>
        <v>97.971598</v>
      </c>
      <c r="D1369" t="str">
        <f>ObesityDataSet_raw_and_data_sin!Q1369</f>
        <v>Obesity_Type_I</v>
      </c>
      <c r="E1369" t="b">
        <f t="shared" si="85"/>
        <v>0</v>
      </c>
      <c r="F1369">
        <f>C1369/(B1369*B1369)</f>
        <v>33.82050278509756</v>
      </c>
      <c r="G1369" t="str">
        <f t="shared" si="86"/>
        <v>Obese</v>
      </c>
      <c r="H1369" t="str">
        <f t="shared" si="87"/>
        <v>OK</v>
      </c>
      <c r="I1369" t="str">
        <f t="shared" si="84"/>
        <v>OK</v>
      </c>
    </row>
    <row r="1370" spans="1:9" x14ac:dyDescent="0.2">
      <c r="A1370" t="str">
        <f>ObesityDataSet_raw_and_data_sin!A1370</f>
        <v>Male</v>
      </c>
      <c r="B1370">
        <f>ObesityDataSet_raw_and_data_sin!C1370</f>
        <v>1.6938200000000001</v>
      </c>
      <c r="C1370">
        <f>ObesityDataSet_raw_and_data_sin!D1370</f>
        <v>99.530970999999994</v>
      </c>
      <c r="D1370" t="str">
        <f>ObesityDataSet_raw_and_data_sin!Q1370</f>
        <v>Obesity_Type_I</v>
      </c>
      <c r="E1370" t="b">
        <f t="shared" si="85"/>
        <v>0</v>
      </c>
      <c r="F1370">
        <f>C1370/(B1370*B1370)</f>
        <v>34.691551880444933</v>
      </c>
      <c r="G1370" t="str">
        <f t="shared" si="86"/>
        <v>Obese</v>
      </c>
      <c r="H1370" t="str">
        <f t="shared" si="87"/>
        <v>OK</v>
      </c>
      <c r="I1370" t="str">
        <f t="shared" si="84"/>
        <v>OK</v>
      </c>
    </row>
    <row r="1371" spans="1:9" x14ac:dyDescent="0.2">
      <c r="A1371" t="str">
        <f>ObesityDataSet_raw_and_data_sin!A1371</f>
        <v>Female</v>
      </c>
      <c r="B1371">
        <f>ObesityDataSet_raw_and_data_sin!C1371</f>
        <v>1.6229990000000001</v>
      </c>
      <c r="C1371">
        <f>ObesityDataSet_raw_and_data_sin!D1371</f>
        <v>82.403075999999999</v>
      </c>
      <c r="D1371" t="str">
        <f>ObesityDataSet_raw_and_data_sin!Q1371</f>
        <v>Obesity_Type_I</v>
      </c>
      <c r="E1371" t="b">
        <f t="shared" si="85"/>
        <v>0</v>
      </c>
      <c r="F1371">
        <f>C1371/(B1371*B1371)</f>
        <v>31.282893717142066</v>
      </c>
      <c r="G1371" t="str">
        <f t="shared" si="86"/>
        <v>Obese</v>
      </c>
      <c r="H1371" t="str">
        <f t="shared" si="87"/>
        <v>OK</v>
      </c>
      <c r="I1371" t="str">
        <f t="shared" si="84"/>
        <v>OK</v>
      </c>
    </row>
    <row r="1372" spans="1:9" x14ac:dyDescent="0.2">
      <c r="A1372" t="str">
        <f>ObesityDataSet_raw_and_data_sin!A1372</f>
        <v>Female</v>
      </c>
      <c r="B1372">
        <f>ObesityDataSet_raw_and_data_sin!C1372</f>
        <v>1.633675</v>
      </c>
      <c r="C1372">
        <f>ObesityDataSet_raw_and_data_sin!D1372</f>
        <v>82.459576999999996</v>
      </c>
      <c r="D1372" t="str">
        <f>ObesityDataSet_raw_and_data_sin!Q1372</f>
        <v>Obesity_Type_I</v>
      </c>
      <c r="E1372" t="b">
        <f t="shared" si="85"/>
        <v>0</v>
      </c>
      <c r="F1372">
        <f>C1372/(B1372*B1372)</f>
        <v>30.896534978986423</v>
      </c>
      <c r="G1372" t="str">
        <f t="shared" si="86"/>
        <v>Obese</v>
      </c>
      <c r="H1372" t="str">
        <f t="shared" si="87"/>
        <v>OK</v>
      </c>
      <c r="I1372" t="str">
        <f t="shared" si="84"/>
        <v>OK</v>
      </c>
    </row>
    <row r="1373" spans="1:9" x14ac:dyDescent="0.2">
      <c r="A1373" t="str">
        <f>ObesityDataSet_raw_and_data_sin!A1373</f>
        <v>Male</v>
      </c>
      <c r="B1373">
        <f>ObesityDataSet_raw_and_data_sin!C1373</f>
        <v>1.8366690000000001</v>
      </c>
      <c r="C1373">
        <f>ObesityDataSet_raw_and_data_sin!D1373</f>
        <v>105.257543</v>
      </c>
      <c r="D1373" t="str">
        <f>ObesityDataSet_raw_and_data_sin!Q1373</f>
        <v>Obesity_Type_I</v>
      </c>
      <c r="E1373" t="b">
        <f t="shared" si="85"/>
        <v>0</v>
      </c>
      <c r="F1373">
        <f>C1373/(B1373*B1373)</f>
        <v>31.202646895968375</v>
      </c>
      <c r="G1373" t="str">
        <f t="shared" si="86"/>
        <v>Obese</v>
      </c>
      <c r="H1373" t="str">
        <f t="shared" si="87"/>
        <v>OK</v>
      </c>
      <c r="I1373" t="str">
        <f t="shared" si="84"/>
        <v>OK</v>
      </c>
    </row>
    <row r="1374" spans="1:9" x14ac:dyDescent="0.2">
      <c r="A1374" t="str">
        <f>ObesityDataSet_raw_and_data_sin!A1374</f>
        <v>Male</v>
      </c>
      <c r="B1374">
        <f>ObesityDataSet_raw_and_data_sin!C1374</f>
        <v>1.798354</v>
      </c>
      <c r="C1374">
        <f>ObesityDataSet_raw_and_data_sin!D1374</f>
        <v>103.70541799999999</v>
      </c>
      <c r="D1374" t="str">
        <f>ObesityDataSet_raw_and_data_sin!Q1374</f>
        <v>Obesity_Type_I</v>
      </c>
      <c r="E1374" t="b">
        <f t="shared" si="85"/>
        <v>0</v>
      </c>
      <c r="F1374">
        <f>C1374/(B1374*B1374)</f>
        <v>32.066464247642337</v>
      </c>
      <c r="G1374" t="str">
        <f t="shared" si="86"/>
        <v>Obese</v>
      </c>
      <c r="H1374" t="str">
        <f t="shared" si="87"/>
        <v>OK</v>
      </c>
      <c r="I1374" t="str">
        <f t="shared" si="84"/>
        <v>OK</v>
      </c>
    </row>
    <row r="1375" spans="1:9" x14ac:dyDescent="0.2">
      <c r="A1375" t="str">
        <f>ObesityDataSet_raw_and_data_sin!A1375</f>
        <v>Male</v>
      </c>
      <c r="B1375">
        <f>ObesityDataSet_raw_and_data_sin!C1375</f>
        <v>1.8244320000000001</v>
      </c>
      <c r="C1375">
        <f>ObesityDataSet_raw_and_data_sin!D1375</f>
        <v>105.131956</v>
      </c>
      <c r="D1375" t="str">
        <f>ObesityDataSet_raw_and_data_sin!Q1375</f>
        <v>Obesity_Type_I</v>
      </c>
      <c r="E1375" t="b">
        <f t="shared" si="85"/>
        <v>0</v>
      </c>
      <c r="F1375">
        <f>C1375/(B1375*B1375)</f>
        <v>31.584891005738928</v>
      </c>
      <c r="G1375" t="str">
        <f t="shared" si="86"/>
        <v>Obese</v>
      </c>
      <c r="H1375" t="str">
        <f t="shared" si="87"/>
        <v>OK</v>
      </c>
      <c r="I1375" t="str">
        <f t="shared" si="84"/>
        <v>OK</v>
      </c>
    </row>
    <row r="1376" spans="1:9" x14ac:dyDescent="0.2">
      <c r="A1376" t="str">
        <f>ObesityDataSet_raw_and_data_sin!A1376</f>
        <v>Male</v>
      </c>
      <c r="B1376">
        <f>ObesityDataSet_raw_and_data_sin!C1376</f>
        <v>1.830384</v>
      </c>
      <c r="C1376">
        <f>ObesityDataSet_raw_and_data_sin!D1376</f>
        <v>105.479313</v>
      </c>
      <c r="D1376" t="str">
        <f>ObesityDataSet_raw_and_data_sin!Q1376</f>
        <v>Obesity_Type_I</v>
      </c>
      <c r="E1376" t="b">
        <f t="shared" si="85"/>
        <v>0</v>
      </c>
      <c r="F1376">
        <f>C1376/(B1376*B1376)</f>
        <v>31.483490161294213</v>
      </c>
      <c r="G1376" t="str">
        <f t="shared" si="86"/>
        <v>Obese</v>
      </c>
      <c r="H1376" t="str">
        <f t="shared" si="87"/>
        <v>OK</v>
      </c>
      <c r="I1376" t="str">
        <f t="shared" si="84"/>
        <v>OK</v>
      </c>
    </row>
    <row r="1377" spans="1:9" x14ac:dyDescent="0.2">
      <c r="A1377" t="str">
        <f>ObesityDataSet_raw_and_data_sin!A1377</f>
        <v>Male</v>
      </c>
      <c r="B1377">
        <f>ObesityDataSet_raw_and_data_sin!C1377</f>
        <v>1.829907</v>
      </c>
      <c r="C1377">
        <f>ObesityDataSet_raw_and_data_sin!D1377</f>
        <v>105.436173</v>
      </c>
      <c r="D1377" t="str">
        <f>ObesityDataSet_raw_and_data_sin!Q1377</f>
        <v>Obesity_Type_I</v>
      </c>
      <c r="E1377" t="b">
        <f t="shared" si="85"/>
        <v>0</v>
      </c>
      <c r="F1377">
        <f>C1377/(B1377*B1377)</f>
        <v>31.487022688181597</v>
      </c>
      <c r="G1377" t="str">
        <f t="shared" si="86"/>
        <v>Obese</v>
      </c>
      <c r="H1377" t="str">
        <f t="shared" si="87"/>
        <v>OK</v>
      </c>
      <c r="I1377" t="str">
        <f t="shared" si="84"/>
        <v>OK</v>
      </c>
    </row>
    <row r="1378" spans="1:9" x14ac:dyDescent="0.2">
      <c r="A1378" t="str">
        <f>ObesityDataSet_raw_and_data_sin!A1378</f>
        <v>Male</v>
      </c>
      <c r="B1378">
        <f>ObesityDataSet_raw_and_data_sin!C1378</f>
        <v>1.823755</v>
      </c>
      <c r="C1378">
        <f>ObesityDataSet_raw_and_data_sin!D1378</f>
        <v>105.800158</v>
      </c>
      <c r="D1378" t="str">
        <f>ObesityDataSet_raw_and_data_sin!Q1378</f>
        <v>Obesity_Type_I</v>
      </c>
      <c r="E1378" t="b">
        <f t="shared" si="85"/>
        <v>0</v>
      </c>
      <c r="F1378">
        <f>C1378/(B1378*B1378)</f>
        <v>31.809242362765577</v>
      </c>
      <c r="G1378" t="str">
        <f t="shared" si="86"/>
        <v>Obese</v>
      </c>
      <c r="H1378" t="str">
        <f t="shared" si="87"/>
        <v>OK</v>
      </c>
      <c r="I1378" t="str">
        <f t="shared" si="84"/>
        <v>OK</v>
      </c>
    </row>
    <row r="1379" spans="1:9" x14ac:dyDescent="0.2">
      <c r="A1379" t="str">
        <f>ObesityDataSet_raw_and_data_sin!A1379</f>
        <v>Male</v>
      </c>
      <c r="B1379">
        <f>ObesityDataSet_raw_and_data_sin!C1379</f>
        <v>1.8348420000000001</v>
      </c>
      <c r="C1379">
        <f>ObesityDataSet_raw_and_data_sin!D1379</f>
        <v>105.19936</v>
      </c>
      <c r="D1379" t="str">
        <f>ObesityDataSet_raw_and_data_sin!Q1379</f>
        <v>Obesity_Type_I</v>
      </c>
      <c r="E1379" t="b">
        <f t="shared" si="85"/>
        <v>0</v>
      </c>
      <c r="F1379">
        <f>C1379/(B1379*B1379)</f>
        <v>31.247534220353423</v>
      </c>
      <c r="G1379" t="str">
        <f t="shared" si="86"/>
        <v>Obese</v>
      </c>
      <c r="H1379" t="str">
        <f t="shared" si="87"/>
        <v>OK</v>
      </c>
      <c r="I1379" t="str">
        <f t="shared" si="84"/>
        <v>OK</v>
      </c>
    </row>
    <row r="1380" spans="1:9" x14ac:dyDescent="0.2">
      <c r="A1380" t="str">
        <f>ObesityDataSet_raw_and_data_sin!A1380</f>
        <v>Male</v>
      </c>
      <c r="B1380">
        <f>ObesityDataSet_raw_and_data_sin!C1380</f>
        <v>1.783901</v>
      </c>
      <c r="C1380">
        <f>ObesityDataSet_raw_and_data_sin!D1380</f>
        <v>103.771371</v>
      </c>
      <c r="D1380" t="str">
        <f>ObesityDataSet_raw_and_data_sin!Q1380</f>
        <v>Obesity_Type_I</v>
      </c>
      <c r="E1380" t="b">
        <f t="shared" si="85"/>
        <v>0</v>
      </c>
      <c r="F1380">
        <f>C1380/(B1380*B1380)</f>
        <v>32.608893070730048</v>
      </c>
      <c r="G1380" t="str">
        <f t="shared" si="86"/>
        <v>Obese</v>
      </c>
      <c r="H1380" t="str">
        <f t="shared" si="87"/>
        <v>OK</v>
      </c>
      <c r="I1380" t="str">
        <f t="shared" si="84"/>
        <v>OK</v>
      </c>
    </row>
    <row r="1381" spans="1:9" x14ac:dyDescent="0.2">
      <c r="A1381" t="str">
        <f>ObesityDataSet_raw_and_data_sin!A1381</f>
        <v>Male</v>
      </c>
      <c r="B1381">
        <f>ObesityDataSet_raw_and_data_sin!C1381</f>
        <v>1.7820670000000001</v>
      </c>
      <c r="C1381">
        <f>ObesityDataSet_raw_and_data_sin!D1381</f>
        <v>103.586342</v>
      </c>
      <c r="D1381" t="str">
        <f>ObesityDataSet_raw_and_data_sin!Q1381</f>
        <v>Obesity_Type_I</v>
      </c>
      <c r="E1381" t="b">
        <f t="shared" si="85"/>
        <v>0</v>
      </c>
      <c r="F1381">
        <f>C1381/(B1381*B1381)</f>
        <v>32.617783118119576</v>
      </c>
      <c r="G1381" t="str">
        <f t="shared" si="86"/>
        <v>Obese</v>
      </c>
      <c r="H1381" t="str">
        <f t="shared" si="87"/>
        <v>OK</v>
      </c>
      <c r="I1381" t="str">
        <f t="shared" si="84"/>
        <v>OK</v>
      </c>
    </row>
    <row r="1382" spans="1:9" x14ac:dyDescent="0.2">
      <c r="A1382" t="str">
        <f>ObesityDataSet_raw_and_data_sin!A1382</f>
        <v>Male</v>
      </c>
      <c r="B1382">
        <f>ObesityDataSet_raw_and_data_sin!C1382</f>
        <v>1.7810319999999999</v>
      </c>
      <c r="C1382">
        <f>ObesityDataSet_raw_and_data_sin!D1382</f>
        <v>96.303854999999999</v>
      </c>
      <c r="D1382" t="str">
        <f>ObesityDataSet_raw_and_data_sin!Q1382</f>
        <v>Obesity_Type_I</v>
      </c>
      <c r="E1382" t="b">
        <f t="shared" si="85"/>
        <v>0</v>
      </c>
      <c r="F1382">
        <f>C1382/(B1382*B1382)</f>
        <v>30.359892327473261</v>
      </c>
      <c r="G1382" t="str">
        <f t="shared" si="86"/>
        <v>Obese</v>
      </c>
      <c r="H1382" t="str">
        <f t="shared" si="87"/>
        <v>OK</v>
      </c>
      <c r="I1382" t="str">
        <f t="shared" si="84"/>
        <v>OK</v>
      </c>
    </row>
    <row r="1383" spans="1:9" x14ac:dyDescent="0.2">
      <c r="A1383" t="str">
        <f>ObesityDataSet_raw_and_data_sin!A1383</f>
        <v>Female</v>
      </c>
      <c r="B1383">
        <f>ObesityDataSet_raw_and_data_sin!C1383</f>
        <v>1.5579430000000001</v>
      </c>
      <c r="C1383">
        <f>ObesityDataSet_raw_and_data_sin!D1383</f>
        <v>77.647716000000003</v>
      </c>
      <c r="D1383" t="str">
        <f>ObesityDataSet_raw_and_data_sin!Q1383</f>
        <v>Obesity_Type_I</v>
      </c>
      <c r="E1383" t="b">
        <f t="shared" si="85"/>
        <v>0</v>
      </c>
      <c r="F1383">
        <f>C1383/(B1383*B1383)</f>
        <v>31.990833617043908</v>
      </c>
      <c r="G1383" t="str">
        <f t="shared" si="86"/>
        <v>Obese</v>
      </c>
      <c r="H1383" t="str">
        <f t="shared" si="87"/>
        <v>OK</v>
      </c>
      <c r="I1383" t="str">
        <f t="shared" si="84"/>
        <v>OK</v>
      </c>
    </row>
    <row r="1384" spans="1:9" x14ac:dyDescent="0.2">
      <c r="A1384" t="str">
        <f>ObesityDataSet_raw_and_data_sin!A1384</f>
        <v>Female</v>
      </c>
      <c r="B1384">
        <f>ObesityDataSet_raw_and_data_sin!C1384</f>
        <v>1.5602579999999999</v>
      </c>
      <c r="C1384">
        <f>ObesityDataSet_raw_and_data_sin!D1384</f>
        <v>78.435903999999994</v>
      </c>
      <c r="D1384" t="str">
        <f>ObesityDataSet_raw_and_data_sin!Q1384</f>
        <v>Obesity_Type_I</v>
      </c>
      <c r="E1384" t="b">
        <f t="shared" si="85"/>
        <v>0</v>
      </c>
      <c r="F1384">
        <f>C1384/(B1384*B1384)</f>
        <v>32.219742871097765</v>
      </c>
      <c r="G1384" t="str">
        <f t="shared" si="86"/>
        <v>Obese</v>
      </c>
      <c r="H1384" t="str">
        <f t="shared" si="87"/>
        <v>OK</v>
      </c>
      <c r="I1384" t="str">
        <f t="shared" si="84"/>
        <v>OK</v>
      </c>
    </row>
    <row r="1385" spans="1:9" x14ac:dyDescent="0.2">
      <c r="A1385" t="str">
        <f>ObesityDataSet_raw_and_data_sin!A1385</f>
        <v>Female</v>
      </c>
      <c r="B1385">
        <f>ObesityDataSet_raw_and_data_sin!C1385</f>
        <v>1.5965860000000001</v>
      </c>
      <c r="C1385">
        <f>ObesityDataSet_raw_and_data_sin!D1385</f>
        <v>80.726195000000004</v>
      </c>
      <c r="D1385" t="str">
        <f>ObesityDataSet_raw_and_data_sin!Q1385</f>
        <v>Obesity_Type_I</v>
      </c>
      <c r="E1385" t="b">
        <f t="shared" si="85"/>
        <v>0</v>
      </c>
      <c r="F1385">
        <f>C1385/(B1385*B1385)</f>
        <v>31.66867179480991</v>
      </c>
      <c r="G1385" t="str">
        <f t="shared" si="86"/>
        <v>Obese</v>
      </c>
      <c r="H1385" t="str">
        <f t="shared" si="87"/>
        <v>OK</v>
      </c>
      <c r="I1385" t="str">
        <f t="shared" si="84"/>
        <v>OK</v>
      </c>
    </row>
    <row r="1386" spans="1:9" x14ac:dyDescent="0.2">
      <c r="A1386" t="str">
        <f>ObesityDataSet_raw_and_data_sin!A1386</f>
        <v>Female</v>
      </c>
      <c r="B1386">
        <f>ObesityDataSet_raw_and_data_sin!C1386</f>
        <v>1.62093</v>
      </c>
      <c r="C1386">
        <f>ObesityDataSet_raw_and_data_sin!D1386</f>
        <v>81.718232</v>
      </c>
      <c r="D1386" t="str">
        <f>ObesityDataSet_raw_and_data_sin!Q1386</f>
        <v>Obesity_Type_I</v>
      </c>
      <c r="E1386" t="b">
        <f t="shared" si="85"/>
        <v>0</v>
      </c>
      <c r="F1386">
        <f>C1386/(B1386*B1386)</f>
        <v>31.102152147118925</v>
      </c>
      <c r="G1386" t="str">
        <f t="shared" si="86"/>
        <v>Obese</v>
      </c>
      <c r="H1386" t="str">
        <f t="shared" si="87"/>
        <v>OK</v>
      </c>
      <c r="I1386" t="str">
        <f t="shared" si="84"/>
        <v>OK</v>
      </c>
    </row>
    <row r="1387" spans="1:9" x14ac:dyDescent="0.2">
      <c r="A1387" t="str">
        <f>ObesityDataSet_raw_and_data_sin!A1387</f>
        <v>Female</v>
      </c>
      <c r="B1387">
        <f>ObesityDataSet_raw_and_data_sin!C1387</f>
        <v>1.5714170000000001</v>
      </c>
      <c r="C1387">
        <f>ObesityDataSet_raw_and_data_sin!D1387</f>
        <v>81.918808999999996</v>
      </c>
      <c r="D1387" t="str">
        <f>ObesityDataSet_raw_and_data_sin!Q1387</f>
        <v>Obesity_Type_I</v>
      </c>
      <c r="E1387" t="b">
        <f t="shared" si="85"/>
        <v>0</v>
      </c>
      <c r="F1387">
        <f>C1387/(B1387*B1387)</f>
        <v>33.174221134251276</v>
      </c>
      <c r="G1387" t="str">
        <f t="shared" si="86"/>
        <v>Obese</v>
      </c>
      <c r="H1387" t="str">
        <f t="shared" si="87"/>
        <v>OK</v>
      </c>
      <c r="I1387" t="str">
        <f t="shared" si="84"/>
        <v>OK</v>
      </c>
    </row>
    <row r="1388" spans="1:9" x14ac:dyDescent="0.2">
      <c r="A1388" t="str">
        <f>ObesityDataSet_raw_and_data_sin!A1388</f>
        <v>Female</v>
      </c>
      <c r="B1388">
        <f>ObesityDataSet_raw_and_data_sin!C1388</f>
        <v>1.584322</v>
      </c>
      <c r="C1388">
        <f>ObesityDataSet_raw_and_data_sin!D1388</f>
        <v>80.986496000000002</v>
      </c>
      <c r="D1388" t="str">
        <f>ObesityDataSet_raw_and_data_sin!Q1388</f>
        <v>Obesity_Type_I</v>
      </c>
      <c r="E1388" t="b">
        <f t="shared" si="85"/>
        <v>0</v>
      </c>
      <c r="F1388">
        <f>C1388/(B1388*B1388)</f>
        <v>32.264556753374897</v>
      </c>
      <c r="G1388" t="str">
        <f t="shared" si="86"/>
        <v>Obese</v>
      </c>
      <c r="H1388" t="str">
        <f t="shared" si="87"/>
        <v>OK</v>
      </c>
      <c r="I1388" t="str">
        <f t="shared" si="84"/>
        <v>OK</v>
      </c>
    </row>
    <row r="1389" spans="1:9" x14ac:dyDescent="0.2">
      <c r="A1389" t="str">
        <f>ObesityDataSet_raw_and_data_sin!A1389</f>
        <v>Female</v>
      </c>
      <c r="B1389">
        <f>ObesityDataSet_raw_and_data_sin!C1389</f>
        <v>1.5825229999999999</v>
      </c>
      <c r="C1389">
        <f>ObesityDataSet_raw_and_data_sin!D1389</f>
        <v>81.919454000000002</v>
      </c>
      <c r="D1389" t="str">
        <f>ObesityDataSet_raw_and_data_sin!Q1389</f>
        <v>Obesity_Type_I</v>
      </c>
      <c r="E1389" t="b">
        <f t="shared" si="85"/>
        <v>0</v>
      </c>
      <c r="F1389">
        <f>C1389/(B1389*B1389)</f>
        <v>32.710485318206359</v>
      </c>
      <c r="G1389" t="str">
        <f t="shared" si="86"/>
        <v>Obese</v>
      </c>
      <c r="H1389" t="str">
        <f t="shared" si="87"/>
        <v>OK</v>
      </c>
      <c r="I1389" t="str">
        <f t="shared" si="84"/>
        <v>OK</v>
      </c>
    </row>
    <row r="1390" spans="1:9" x14ac:dyDescent="0.2">
      <c r="A1390" t="str">
        <f>ObesityDataSet_raw_and_data_sin!A1390</f>
        <v>Female</v>
      </c>
      <c r="B1390">
        <f>ObesityDataSet_raw_and_data_sin!C1390</f>
        <v>1.5727910000000001</v>
      </c>
      <c r="C1390">
        <f>ObesityDataSet_raw_and_data_sin!D1390</f>
        <v>80.086523999999997</v>
      </c>
      <c r="D1390" t="str">
        <f>ObesityDataSet_raw_and_data_sin!Q1390</f>
        <v>Obesity_Type_I</v>
      </c>
      <c r="E1390" t="b">
        <f t="shared" si="85"/>
        <v>0</v>
      </c>
      <c r="F1390">
        <f>C1390/(B1390*B1390)</f>
        <v>32.375569286002893</v>
      </c>
      <c r="G1390" t="str">
        <f t="shared" si="86"/>
        <v>Obese</v>
      </c>
      <c r="H1390" t="str">
        <f t="shared" si="87"/>
        <v>OK</v>
      </c>
      <c r="I1390" t="str">
        <f t="shared" si="84"/>
        <v>OK</v>
      </c>
    </row>
    <row r="1391" spans="1:9" x14ac:dyDescent="0.2">
      <c r="A1391" t="str">
        <f>ObesityDataSet_raw_and_data_sin!A1391</f>
        <v>Female</v>
      </c>
      <c r="B1391">
        <f>ObesityDataSet_raw_and_data_sin!C1391</f>
        <v>1.6279079999999999</v>
      </c>
      <c r="C1391">
        <f>ObesityDataSet_raw_and_data_sin!D1391</f>
        <v>82</v>
      </c>
      <c r="D1391" t="str">
        <f>ObesityDataSet_raw_and_data_sin!Q1391</f>
        <v>Obesity_Type_I</v>
      </c>
      <c r="E1391" t="b">
        <f t="shared" si="85"/>
        <v>0</v>
      </c>
      <c r="F1391">
        <f>C1391/(B1391*B1391)</f>
        <v>30.942410080549802</v>
      </c>
      <c r="G1391" t="str">
        <f t="shared" si="86"/>
        <v>Obese</v>
      </c>
      <c r="H1391" t="str">
        <f t="shared" si="87"/>
        <v>OK</v>
      </c>
      <c r="I1391" t="str">
        <f t="shared" si="84"/>
        <v>OK</v>
      </c>
    </row>
    <row r="1392" spans="1:9" x14ac:dyDescent="0.2">
      <c r="A1392" t="str">
        <f>ObesityDataSet_raw_and_data_sin!A1392</f>
        <v>Female</v>
      </c>
      <c r="B1392">
        <f>ObesityDataSet_raw_and_data_sin!C1392</f>
        <v>1.620938</v>
      </c>
      <c r="C1392">
        <f>ObesityDataSet_raw_and_data_sin!D1392</f>
        <v>82.283185000000003</v>
      </c>
      <c r="D1392" t="str">
        <f>ObesityDataSet_raw_and_data_sin!Q1392</f>
        <v>Obesity_Type_I</v>
      </c>
      <c r="E1392" t="b">
        <f t="shared" si="85"/>
        <v>0</v>
      </c>
      <c r="F1392">
        <f>C1392/(B1392*B1392)</f>
        <v>31.316865467864321</v>
      </c>
      <c r="G1392" t="str">
        <f t="shared" si="86"/>
        <v>Obese</v>
      </c>
      <c r="H1392" t="str">
        <f t="shared" si="87"/>
        <v>OK</v>
      </c>
      <c r="I1392" t="str">
        <f t="shared" si="84"/>
        <v>OK</v>
      </c>
    </row>
    <row r="1393" spans="1:9" x14ac:dyDescent="0.2">
      <c r="A1393" t="str">
        <f>ObesityDataSet_raw_and_data_sin!A1393</f>
        <v>Female</v>
      </c>
      <c r="B1393">
        <f>ObesityDataSet_raw_and_data_sin!C1393</f>
        <v>1.613119</v>
      </c>
      <c r="C1393">
        <f>ObesityDataSet_raw_and_data_sin!D1393</f>
        <v>82.636161999999999</v>
      </c>
      <c r="D1393" t="str">
        <f>ObesityDataSet_raw_and_data_sin!Q1393</f>
        <v>Obesity_Type_I</v>
      </c>
      <c r="E1393" t="b">
        <f t="shared" si="85"/>
        <v>0</v>
      </c>
      <c r="F1393">
        <f>C1393/(B1393*B1393)</f>
        <v>31.756843243466747</v>
      </c>
      <c r="G1393" t="str">
        <f t="shared" si="86"/>
        <v>Obese</v>
      </c>
      <c r="H1393" t="str">
        <f t="shared" si="87"/>
        <v>OK</v>
      </c>
      <c r="I1393" t="str">
        <f t="shared" si="84"/>
        <v>OK</v>
      </c>
    </row>
    <row r="1394" spans="1:9" x14ac:dyDescent="0.2">
      <c r="A1394" t="str">
        <f>ObesityDataSet_raw_and_data_sin!A1394</f>
        <v>Female</v>
      </c>
      <c r="B1394">
        <f>ObesityDataSet_raw_and_data_sin!C1394</f>
        <v>1.62686</v>
      </c>
      <c r="C1394">
        <f>ObesityDataSet_raw_and_data_sin!D1394</f>
        <v>82.410189000000003</v>
      </c>
      <c r="D1394" t="str">
        <f>ObesityDataSet_raw_and_data_sin!Q1394</f>
        <v>Obesity_Type_I</v>
      </c>
      <c r="E1394" t="b">
        <f t="shared" si="85"/>
        <v>0</v>
      </c>
      <c r="F1394">
        <f>C1394/(B1394*B1394)</f>
        <v>31.13727109065238</v>
      </c>
      <c r="G1394" t="str">
        <f t="shared" si="86"/>
        <v>Obese</v>
      </c>
      <c r="H1394" t="str">
        <f t="shared" si="87"/>
        <v>OK</v>
      </c>
      <c r="I1394" t="str">
        <f t="shared" si="84"/>
        <v>OK</v>
      </c>
    </row>
    <row r="1395" spans="1:9" x14ac:dyDescent="0.2">
      <c r="A1395" t="str">
        <f>ObesityDataSet_raw_and_data_sin!A1395</f>
        <v>Male</v>
      </c>
      <c r="B1395">
        <f>ObesityDataSet_raw_and_data_sin!C1395</f>
        <v>1.728183</v>
      </c>
      <c r="C1395">
        <f>ObesityDataSet_raw_and_data_sin!D1395</f>
        <v>97.959898999999993</v>
      </c>
      <c r="D1395" t="str">
        <f>ObesityDataSet_raw_and_data_sin!Q1395</f>
        <v>Obesity_Type_I</v>
      </c>
      <c r="E1395" t="b">
        <f t="shared" si="85"/>
        <v>0</v>
      </c>
      <c r="F1395">
        <f>C1395/(B1395*B1395)</f>
        <v>32.799624460373082</v>
      </c>
      <c r="G1395" t="str">
        <f t="shared" si="86"/>
        <v>Obese</v>
      </c>
      <c r="H1395" t="str">
        <f t="shared" si="87"/>
        <v>OK</v>
      </c>
      <c r="I1395" t="str">
        <f t="shared" si="84"/>
        <v>OK</v>
      </c>
    </row>
    <row r="1396" spans="1:9" x14ac:dyDescent="0.2">
      <c r="A1396" t="str">
        <f>ObesityDataSet_raw_and_data_sin!A1396</f>
        <v>Male</v>
      </c>
      <c r="B1396">
        <f>ObesityDataSet_raw_and_data_sin!C1396</f>
        <v>1.732694</v>
      </c>
      <c r="C1396">
        <f>ObesityDataSet_raw_and_data_sin!D1396</f>
        <v>98.441130000000001</v>
      </c>
      <c r="D1396" t="str">
        <f>ObesityDataSet_raw_and_data_sin!Q1396</f>
        <v>Obesity_Type_I</v>
      </c>
      <c r="E1396" t="b">
        <f t="shared" si="85"/>
        <v>0</v>
      </c>
      <c r="F1396">
        <f>C1396/(B1396*B1396)</f>
        <v>32.789353001450102</v>
      </c>
      <c r="G1396" t="str">
        <f t="shared" si="86"/>
        <v>Obese</v>
      </c>
      <c r="H1396" t="str">
        <f t="shared" si="87"/>
        <v>OK</v>
      </c>
      <c r="I1396" t="str">
        <f t="shared" si="84"/>
        <v>OK</v>
      </c>
    </row>
    <row r="1397" spans="1:9" x14ac:dyDescent="0.2">
      <c r="A1397" t="str">
        <f>ObesityDataSet_raw_and_data_sin!A1397</f>
        <v>Female</v>
      </c>
      <c r="B1397">
        <f>ObesityDataSet_raw_and_data_sin!C1397</f>
        <v>1.65</v>
      </c>
      <c r="C1397">
        <f>ObesityDataSet_raw_and_data_sin!D1397</f>
        <v>88.129436999999996</v>
      </c>
      <c r="D1397" t="str">
        <f>ObesityDataSet_raw_and_data_sin!Q1397</f>
        <v>Obesity_Type_I</v>
      </c>
      <c r="E1397" t="b">
        <f t="shared" si="85"/>
        <v>0</v>
      </c>
      <c r="F1397">
        <f>C1397/(B1397*B1397)</f>
        <v>32.370775757575757</v>
      </c>
      <c r="G1397" t="str">
        <f t="shared" si="86"/>
        <v>Obese</v>
      </c>
      <c r="H1397" t="str">
        <f t="shared" si="87"/>
        <v>OK</v>
      </c>
      <c r="I1397" t="str">
        <f t="shared" si="84"/>
        <v>OK</v>
      </c>
    </row>
    <row r="1398" spans="1:9" x14ac:dyDescent="0.2">
      <c r="A1398" t="str">
        <f>ObesityDataSet_raw_and_data_sin!A1398</f>
        <v>Female</v>
      </c>
      <c r="B1398">
        <f>ObesityDataSet_raw_and_data_sin!C1398</f>
        <v>1.65</v>
      </c>
      <c r="C1398">
        <f>ObesityDataSet_raw_and_data_sin!D1398</f>
        <v>88.026943000000003</v>
      </c>
      <c r="D1398" t="str">
        <f>ObesityDataSet_raw_and_data_sin!Q1398</f>
        <v>Obesity_Type_I</v>
      </c>
      <c r="E1398" t="b">
        <f t="shared" si="85"/>
        <v>0</v>
      </c>
      <c r="F1398">
        <f>C1398/(B1398*B1398)</f>
        <v>32.333128741965112</v>
      </c>
      <c r="G1398" t="str">
        <f t="shared" si="86"/>
        <v>Obese</v>
      </c>
      <c r="H1398" t="str">
        <f t="shared" si="87"/>
        <v>OK</v>
      </c>
      <c r="I1398" t="str">
        <f t="shared" si="84"/>
        <v>OK</v>
      </c>
    </row>
    <row r="1399" spans="1:9" x14ac:dyDescent="0.2">
      <c r="A1399" t="str">
        <f>ObesityDataSet_raw_and_data_sin!A1399</f>
        <v>Female</v>
      </c>
      <c r="B1399">
        <f>ObesityDataSet_raw_and_data_sin!C1399</f>
        <v>1.66913</v>
      </c>
      <c r="C1399">
        <f>ObesityDataSet_raw_and_data_sin!D1399</f>
        <v>86.002735999999999</v>
      </c>
      <c r="D1399" t="str">
        <f>ObesityDataSet_raw_and_data_sin!Q1399</f>
        <v>Obesity_Type_I</v>
      </c>
      <c r="E1399" t="b">
        <f t="shared" si="85"/>
        <v>0</v>
      </c>
      <c r="F1399">
        <f>C1399/(B1399*B1399)</f>
        <v>30.869666790673577</v>
      </c>
      <c r="G1399" t="str">
        <f t="shared" si="86"/>
        <v>Obese</v>
      </c>
      <c r="H1399" t="str">
        <f t="shared" si="87"/>
        <v>OK</v>
      </c>
      <c r="I1399" t="str">
        <f t="shared" si="84"/>
        <v>OK</v>
      </c>
    </row>
    <row r="1400" spans="1:9" x14ac:dyDescent="0.2">
      <c r="A1400" t="str">
        <f>ObesityDataSet_raw_and_data_sin!A1400</f>
        <v>Female</v>
      </c>
      <c r="B1400">
        <f>ObesityDataSet_raw_and_data_sin!C1400</f>
        <v>1.669136</v>
      </c>
      <c r="C1400">
        <f>ObesityDataSet_raw_and_data_sin!D1400</f>
        <v>85.568385000000006</v>
      </c>
      <c r="D1400" t="str">
        <f>ObesityDataSet_raw_and_data_sin!Q1400</f>
        <v>Obesity_Type_I</v>
      </c>
      <c r="E1400" t="b">
        <f t="shared" si="85"/>
        <v>0</v>
      </c>
      <c r="F1400">
        <f>C1400/(B1400*B1400)</f>
        <v>30.713540815378117</v>
      </c>
      <c r="G1400" t="str">
        <f t="shared" si="86"/>
        <v>Obese</v>
      </c>
      <c r="H1400" t="str">
        <f t="shared" si="87"/>
        <v>OK</v>
      </c>
      <c r="I1400" t="str">
        <f t="shared" si="84"/>
        <v>OK</v>
      </c>
    </row>
    <row r="1401" spans="1:9" x14ac:dyDescent="0.2">
      <c r="A1401" t="str">
        <f>ObesityDataSet_raw_and_data_sin!A1401</f>
        <v>Female</v>
      </c>
      <c r="B1401">
        <f>ObesityDataSet_raw_and_data_sin!C1401</f>
        <v>1.6110580000000001</v>
      </c>
      <c r="C1401">
        <f>ObesityDataSet_raw_and_data_sin!D1401</f>
        <v>84.191125</v>
      </c>
      <c r="D1401" t="str">
        <f>ObesityDataSet_raw_and_data_sin!Q1401</f>
        <v>Obesity_Type_I</v>
      </c>
      <c r="E1401" t="b">
        <f t="shared" si="85"/>
        <v>0</v>
      </c>
      <c r="F1401">
        <f>C1401/(B1401*B1401)</f>
        <v>32.437245006796154</v>
      </c>
      <c r="G1401" t="str">
        <f t="shared" si="86"/>
        <v>Obese</v>
      </c>
      <c r="H1401" t="str">
        <f t="shared" si="87"/>
        <v>OK</v>
      </c>
      <c r="I1401" t="str">
        <f t="shared" si="84"/>
        <v>OK</v>
      </c>
    </row>
    <row r="1402" spans="1:9" x14ac:dyDescent="0.2">
      <c r="A1402" t="str">
        <f>ObesityDataSet_raw_and_data_sin!A1402</f>
        <v>Female</v>
      </c>
      <c r="B1402">
        <f>ObesityDataSet_raw_and_data_sin!C1402</f>
        <v>1.6497360000000001</v>
      </c>
      <c r="C1402">
        <f>ObesityDataSet_raw_and_data_sin!D1402</f>
        <v>84.134711999999993</v>
      </c>
      <c r="D1402" t="str">
        <f>ObesityDataSet_raw_and_data_sin!Q1402</f>
        <v>Obesity_Type_I</v>
      </c>
      <c r="E1402" t="b">
        <f t="shared" si="85"/>
        <v>0</v>
      </c>
      <c r="F1402">
        <f>C1402/(B1402*B1402)</f>
        <v>30.913366968141268</v>
      </c>
      <c r="G1402" t="str">
        <f t="shared" si="86"/>
        <v>Obese</v>
      </c>
      <c r="H1402" t="str">
        <f t="shared" si="87"/>
        <v>OK</v>
      </c>
      <c r="I1402" t="str">
        <f t="shared" si="84"/>
        <v>OK</v>
      </c>
    </row>
    <row r="1403" spans="1:9" x14ac:dyDescent="0.2">
      <c r="A1403" t="str">
        <f>ObesityDataSet_raw_and_data_sin!A1403</f>
        <v>Female</v>
      </c>
      <c r="B1403">
        <f>ObesityDataSet_raw_and_data_sin!C1403</f>
        <v>1.532643</v>
      </c>
      <c r="C1403">
        <f>ObesityDataSet_raw_and_data_sin!D1403</f>
        <v>77.550344999999993</v>
      </c>
      <c r="D1403" t="str">
        <f>ObesityDataSet_raw_and_data_sin!Q1403</f>
        <v>Obesity_Type_I</v>
      </c>
      <c r="E1403" t="b">
        <f t="shared" si="85"/>
        <v>0</v>
      </c>
      <c r="F1403">
        <f>C1403/(B1403*B1403)</f>
        <v>33.014271782777236</v>
      </c>
      <c r="G1403" t="str">
        <f t="shared" si="86"/>
        <v>Obese</v>
      </c>
      <c r="H1403" t="str">
        <f t="shared" si="87"/>
        <v>OK</v>
      </c>
      <c r="I1403" t="str">
        <f t="shared" si="84"/>
        <v>OK</v>
      </c>
    </row>
    <row r="1404" spans="1:9" x14ac:dyDescent="0.2">
      <c r="A1404" t="str">
        <f>ObesityDataSet_raw_and_data_sin!A1404</f>
        <v>Female</v>
      </c>
      <c r="B1404">
        <f>ObesityDataSet_raw_and_data_sin!C1404</f>
        <v>1.5242929999999999</v>
      </c>
      <c r="C1404">
        <f>ObesityDataSet_raw_and_data_sin!D1404</f>
        <v>76.202760999999995</v>
      </c>
      <c r="D1404" t="str">
        <f>ObesityDataSet_raw_and_data_sin!Q1404</f>
        <v>Obesity_Type_I</v>
      </c>
      <c r="E1404" t="b">
        <f t="shared" si="85"/>
        <v>0</v>
      </c>
      <c r="F1404">
        <f>C1404/(B1404*B1404)</f>
        <v>32.796975593565485</v>
      </c>
      <c r="G1404" t="str">
        <f t="shared" si="86"/>
        <v>Obese</v>
      </c>
      <c r="H1404" t="str">
        <f t="shared" si="87"/>
        <v>OK</v>
      </c>
      <c r="I1404" t="str">
        <f t="shared" si="84"/>
        <v>OK</v>
      </c>
    </row>
    <row r="1405" spans="1:9" x14ac:dyDescent="0.2">
      <c r="A1405" t="str">
        <f>ObesityDataSet_raw_and_data_sin!A1405</f>
        <v>Male</v>
      </c>
      <c r="B1405">
        <f>ObesityDataSet_raw_and_data_sin!C1405</f>
        <v>1.7016340000000001</v>
      </c>
      <c r="C1405">
        <f>ObesityDataSet_raw_and_data_sin!D1405</f>
        <v>95</v>
      </c>
      <c r="D1405" t="str">
        <f>ObesityDataSet_raw_and_data_sin!Q1405</f>
        <v>Obesity_Type_I</v>
      </c>
      <c r="E1405" t="b">
        <f t="shared" si="85"/>
        <v>0</v>
      </c>
      <c r="F1405">
        <f>C1405/(B1405*B1405)</f>
        <v>32.808871776372015</v>
      </c>
      <c r="G1405" t="str">
        <f t="shared" si="86"/>
        <v>Obese</v>
      </c>
      <c r="H1405" t="str">
        <f t="shared" si="87"/>
        <v>OK</v>
      </c>
      <c r="I1405" t="str">
        <f t="shared" si="84"/>
        <v>OK</v>
      </c>
    </row>
    <row r="1406" spans="1:9" x14ac:dyDescent="0.2">
      <c r="A1406" t="str">
        <f>ObesityDataSet_raw_and_data_sin!A1406</f>
        <v>Male</v>
      </c>
      <c r="B1406">
        <f>ObesityDataSet_raw_and_data_sin!C1406</f>
        <v>1.723921</v>
      </c>
      <c r="C1406">
        <f>ObesityDataSet_raw_and_data_sin!D1406</f>
        <v>94.743892000000002</v>
      </c>
      <c r="D1406" t="str">
        <f>ObesityDataSet_raw_and_data_sin!Q1406</f>
        <v>Obesity_Type_I</v>
      </c>
      <c r="E1406" t="b">
        <f t="shared" si="85"/>
        <v>0</v>
      </c>
      <c r="F1406">
        <f>C1406/(B1406*B1406)</f>
        <v>31.879867013855637</v>
      </c>
      <c r="G1406" t="str">
        <f t="shared" si="86"/>
        <v>Obese</v>
      </c>
      <c r="H1406" t="str">
        <f t="shared" si="87"/>
        <v>OK</v>
      </c>
      <c r="I1406" t="str">
        <f t="shared" si="84"/>
        <v>OK</v>
      </c>
    </row>
    <row r="1407" spans="1:9" x14ac:dyDescent="0.2">
      <c r="A1407" t="str">
        <f>ObesityDataSet_raw_and_data_sin!A1407</f>
        <v>Male</v>
      </c>
      <c r="B1407">
        <f>ObesityDataSet_raw_and_data_sin!C1407</f>
        <v>1.7694840000000001</v>
      </c>
      <c r="C1407">
        <f>ObesityDataSet_raw_and_data_sin!D1407</f>
        <v>96.078462000000002</v>
      </c>
      <c r="D1407" t="str">
        <f>ObesityDataSet_raw_and_data_sin!Q1407</f>
        <v>Obesity_Type_I</v>
      </c>
      <c r="E1407" t="b">
        <f t="shared" si="85"/>
        <v>0</v>
      </c>
      <c r="F1407">
        <f>C1407/(B1407*B1407)</f>
        <v>30.685468777968786</v>
      </c>
      <c r="G1407" t="str">
        <f t="shared" si="86"/>
        <v>Obese</v>
      </c>
      <c r="H1407" t="str">
        <f t="shared" si="87"/>
        <v>OK</v>
      </c>
      <c r="I1407" t="str">
        <f t="shared" si="84"/>
        <v>OK</v>
      </c>
    </row>
    <row r="1408" spans="1:9" x14ac:dyDescent="0.2">
      <c r="A1408" t="str">
        <f>ObesityDataSet_raw_and_data_sin!A1408</f>
        <v>Male</v>
      </c>
      <c r="B1408">
        <f>ObesityDataSet_raw_and_data_sin!C1408</f>
        <v>1.7774160000000001</v>
      </c>
      <c r="C1408">
        <f>ObesityDataSet_raw_and_data_sin!D1408</f>
        <v>97.842405999999997</v>
      </c>
      <c r="D1408" t="str">
        <f>ObesityDataSet_raw_and_data_sin!Q1408</f>
        <v>Obesity_Type_I</v>
      </c>
      <c r="E1408" t="b">
        <f t="shared" si="85"/>
        <v>0</v>
      </c>
      <c r="F1408">
        <f>C1408/(B1408*B1408)</f>
        <v>30.970552505747072</v>
      </c>
      <c r="G1408" t="str">
        <f t="shared" si="86"/>
        <v>Obese</v>
      </c>
      <c r="H1408" t="str">
        <f t="shared" si="87"/>
        <v>OK</v>
      </c>
      <c r="I1408" t="str">
        <f t="shared" si="84"/>
        <v>OK</v>
      </c>
    </row>
    <row r="1409" spans="1:9" x14ac:dyDescent="0.2">
      <c r="A1409" t="str">
        <f>ObesityDataSet_raw_and_data_sin!A1409</f>
        <v>Female</v>
      </c>
      <c r="B1409">
        <f>ObesityDataSet_raw_and_data_sin!C1409</f>
        <v>1.64456</v>
      </c>
      <c r="C1409">
        <f>ObesityDataSet_raw_and_data_sin!D1409</f>
        <v>88.119139000000004</v>
      </c>
      <c r="D1409" t="str">
        <f>ObesityDataSet_raw_and_data_sin!Q1409</f>
        <v>Obesity_Type_I</v>
      </c>
      <c r="E1409" t="b">
        <f t="shared" si="85"/>
        <v>0</v>
      </c>
      <c r="F1409">
        <f>C1409/(B1409*B1409)</f>
        <v>32.581479343954285</v>
      </c>
      <c r="G1409" t="str">
        <f t="shared" si="86"/>
        <v>Obese</v>
      </c>
      <c r="H1409" t="str">
        <f t="shared" si="87"/>
        <v>OK</v>
      </c>
      <c r="I1409" t="str">
        <f t="shared" si="84"/>
        <v>OK</v>
      </c>
    </row>
    <row r="1410" spans="1:9" x14ac:dyDescent="0.2">
      <c r="A1410" t="str">
        <f>ObesityDataSet_raw_and_data_sin!A1410</f>
        <v>Female</v>
      </c>
      <c r="B1410">
        <f>ObesityDataSet_raw_and_data_sin!C1410</f>
        <v>1.641149</v>
      </c>
      <c r="C1410">
        <f>ObesityDataSet_raw_and_data_sin!D1410</f>
        <v>88.079177000000001</v>
      </c>
      <c r="D1410" t="str">
        <f>ObesityDataSet_raw_and_data_sin!Q1410</f>
        <v>Obesity_Type_I</v>
      </c>
      <c r="E1410" t="b">
        <f t="shared" si="85"/>
        <v>0</v>
      </c>
      <c r="F1410">
        <f>C1410/(B1410*B1410)</f>
        <v>32.702219036128753</v>
      </c>
      <c r="G1410" t="str">
        <f t="shared" si="86"/>
        <v>Obese</v>
      </c>
      <c r="H1410" t="str">
        <f t="shared" si="87"/>
        <v>OK</v>
      </c>
      <c r="I1410" t="str">
        <f t="shared" ref="I1410:I1473" si="88">IF(AND(LEFT(D1410,10)="Overweight",G1410&lt;&gt;"Overweight"),"ERROR","OK")</f>
        <v>OK</v>
      </c>
    </row>
    <row r="1411" spans="1:9" x14ac:dyDescent="0.2">
      <c r="A1411" t="str">
        <f>ObesityDataSet_raw_and_data_sin!A1411</f>
        <v>Female</v>
      </c>
      <c r="B1411">
        <f>ObesityDataSet_raw_and_data_sin!C1411</f>
        <v>1.642892</v>
      </c>
      <c r="C1411">
        <f>ObesityDataSet_raw_and_data_sin!D1411</f>
        <v>82.144405000000006</v>
      </c>
      <c r="D1411" t="str">
        <f>ObesityDataSet_raw_and_data_sin!Q1411</f>
        <v>Obesity_Type_I</v>
      </c>
      <c r="E1411" t="b">
        <f t="shared" ref="E1411:E1474" si="89">IF(AND(A1411="Female", B1411&lt;1.5), TRUE, IF(AND(A1411="Male",B1411&lt;1.6),TRUE, FALSE))</f>
        <v>0</v>
      </c>
      <c r="F1411">
        <f>C1411/(B1411*B1411)</f>
        <v>30.434064629242936</v>
      </c>
      <c r="G1411" t="str">
        <f t="shared" ref="G1411:G1474" si="90">IF(E1411=TRUE,IF(F1411&lt;23,"Normal",IF(F1411&lt;25,"Overweight","Obese")),IF(F1411&lt;25,"Normal",IF(F1411&lt;30,"Overweight","Obese")))</f>
        <v>Obese</v>
      </c>
      <c r="H1411" t="str">
        <f t="shared" ref="H1411:H1474" si="91">IF(AND(D1411="Normal_Weight",G1411&lt;&gt;"Normal"),"ERROR","OK")</f>
        <v>OK</v>
      </c>
      <c r="I1411" t="str">
        <f t="shared" si="88"/>
        <v>OK</v>
      </c>
    </row>
    <row r="1412" spans="1:9" x14ac:dyDescent="0.2">
      <c r="A1412" t="str">
        <f>ObesityDataSet_raw_and_data_sin!A1412</f>
        <v>Female</v>
      </c>
      <c r="B1412">
        <f>ObesityDataSet_raw_and_data_sin!C1412</f>
        <v>1.65</v>
      </c>
      <c r="C1412">
        <f>ObesityDataSet_raw_and_data_sin!D1412</f>
        <v>82.01831</v>
      </c>
      <c r="D1412" t="str">
        <f>ObesityDataSet_raw_and_data_sin!Q1412</f>
        <v>Obesity_Type_I</v>
      </c>
      <c r="E1412" t="b">
        <f t="shared" si="89"/>
        <v>0</v>
      </c>
      <c r="F1412">
        <f>C1412/(B1412*B1412)</f>
        <v>30.126101010101014</v>
      </c>
      <c r="G1412" t="str">
        <f t="shared" si="90"/>
        <v>Obese</v>
      </c>
      <c r="H1412" t="str">
        <f t="shared" si="91"/>
        <v>OK</v>
      </c>
      <c r="I1412" t="str">
        <f t="shared" si="88"/>
        <v>OK</v>
      </c>
    </row>
    <row r="1413" spans="1:9" x14ac:dyDescent="0.2">
      <c r="A1413" t="str">
        <f>ObesityDataSet_raw_and_data_sin!A1413</f>
        <v>Male</v>
      </c>
      <c r="B1413">
        <f>ObesityDataSet_raw_and_data_sin!C1413</f>
        <v>1.7772509999999999</v>
      </c>
      <c r="C1413">
        <f>ObesityDataSet_raw_and_data_sin!D1413</f>
        <v>106.452367</v>
      </c>
      <c r="D1413" t="str">
        <f>ObesityDataSet_raw_and_data_sin!Q1413</f>
        <v>Obesity_Type_I</v>
      </c>
      <c r="E1413" t="b">
        <f t="shared" si="89"/>
        <v>0</v>
      </c>
      <c r="F1413">
        <f>C1413/(B1413*B1413)</f>
        <v>33.702164031966198</v>
      </c>
      <c r="G1413" t="str">
        <f t="shared" si="90"/>
        <v>Obese</v>
      </c>
      <c r="H1413" t="str">
        <f t="shared" si="91"/>
        <v>OK</v>
      </c>
      <c r="I1413" t="str">
        <f t="shared" si="88"/>
        <v>OK</v>
      </c>
    </row>
    <row r="1414" spans="1:9" x14ac:dyDescent="0.2">
      <c r="A1414" t="str">
        <f>ObesityDataSet_raw_and_data_sin!A1414</f>
        <v>Male</v>
      </c>
      <c r="B1414">
        <f>ObesityDataSet_raw_and_data_sin!C1414</f>
        <v>1.8146960000000001</v>
      </c>
      <c r="C1414">
        <f>ObesityDataSet_raw_and_data_sin!D1414</f>
        <v>107.55963</v>
      </c>
      <c r="D1414" t="str">
        <f>ObesityDataSet_raw_and_data_sin!Q1414</f>
        <v>Obesity_Type_I</v>
      </c>
      <c r="E1414" t="b">
        <f t="shared" si="89"/>
        <v>0</v>
      </c>
      <c r="F1414">
        <f>C1414/(B1414*B1414)</f>
        <v>32.661906836645827</v>
      </c>
      <c r="G1414" t="str">
        <f t="shared" si="90"/>
        <v>Obese</v>
      </c>
      <c r="H1414" t="str">
        <f t="shared" si="91"/>
        <v>OK</v>
      </c>
      <c r="I1414" t="str">
        <f t="shared" si="88"/>
        <v>OK</v>
      </c>
    </row>
    <row r="1415" spans="1:9" x14ac:dyDescent="0.2">
      <c r="A1415" t="str">
        <f>ObesityDataSet_raw_and_data_sin!A1415</f>
        <v>Female</v>
      </c>
      <c r="B1415">
        <f>ObesityDataSet_raw_and_data_sin!C1415</f>
        <v>1.559005</v>
      </c>
      <c r="C1415">
        <f>ObesityDataSet_raw_and_data_sin!D1415</f>
        <v>77.601483000000002</v>
      </c>
      <c r="D1415" t="str">
        <f>ObesityDataSet_raw_and_data_sin!Q1415</f>
        <v>Obesity_Type_I</v>
      </c>
      <c r="E1415" t="b">
        <f t="shared" si="89"/>
        <v>0</v>
      </c>
      <c r="F1415">
        <f>C1415/(B1415*B1415)</f>
        <v>31.928241873896972</v>
      </c>
      <c r="G1415" t="str">
        <f t="shared" si="90"/>
        <v>Obese</v>
      </c>
      <c r="H1415" t="str">
        <f t="shared" si="91"/>
        <v>OK</v>
      </c>
      <c r="I1415" t="str">
        <f t="shared" si="88"/>
        <v>OK</v>
      </c>
    </row>
    <row r="1416" spans="1:9" x14ac:dyDescent="0.2">
      <c r="A1416" t="str">
        <f>ObesityDataSet_raw_and_data_sin!A1416</f>
        <v>Female</v>
      </c>
      <c r="B1416">
        <f>ObesityDataSet_raw_and_data_sin!C1416</f>
        <v>1.556028</v>
      </c>
      <c r="C1416">
        <f>ObesityDataSet_raw_and_data_sin!D1416</f>
        <v>77.684229000000002</v>
      </c>
      <c r="D1416" t="str">
        <f>ObesityDataSet_raw_and_data_sin!Q1416</f>
        <v>Obesity_Type_I</v>
      </c>
      <c r="E1416" t="b">
        <f t="shared" si="89"/>
        <v>0</v>
      </c>
      <c r="F1416">
        <f>C1416/(B1416*B1416)</f>
        <v>32.084704552751141</v>
      </c>
      <c r="G1416" t="str">
        <f t="shared" si="90"/>
        <v>Obese</v>
      </c>
      <c r="H1416" t="str">
        <f t="shared" si="91"/>
        <v>OK</v>
      </c>
      <c r="I1416" t="str">
        <f t="shared" si="88"/>
        <v>OK</v>
      </c>
    </row>
    <row r="1417" spans="1:9" x14ac:dyDescent="0.2">
      <c r="A1417" t="str">
        <f>ObesityDataSet_raw_and_data_sin!A1417</f>
        <v>Male</v>
      </c>
      <c r="B1417">
        <f>ObesityDataSet_raw_and_data_sin!C1417</f>
        <v>1.653751</v>
      </c>
      <c r="C1417">
        <f>ObesityDataSet_raw_and_data_sin!D1417</f>
        <v>91.204752999999997</v>
      </c>
      <c r="D1417" t="str">
        <f>ObesityDataSet_raw_and_data_sin!Q1417</f>
        <v>Obesity_Type_I</v>
      </c>
      <c r="E1417" t="b">
        <f t="shared" si="89"/>
        <v>0</v>
      </c>
      <c r="F1417">
        <f>C1417/(B1417*B1417)</f>
        <v>33.34857122730817</v>
      </c>
      <c r="G1417" t="str">
        <f t="shared" si="90"/>
        <v>Obese</v>
      </c>
      <c r="H1417" t="str">
        <f t="shared" si="91"/>
        <v>OK</v>
      </c>
      <c r="I1417" t="str">
        <f t="shared" si="88"/>
        <v>OK</v>
      </c>
    </row>
    <row r="1418" spans="1:9" x14ac:dyDescent="0.2">
      <c r="A1418" t="str">
        <f>ObesityDataSet_raw_and_data_sin!A1418</f>
        <v>Male</v>
      </c>
      <c r="B1418">
        <f>ObesityDataSet_raw_and_data_sin!C1418</f>
        <v>1.6801710000000001</v>
      </c>
      <c r="C1418">
        <f>ObesityDataSet_raw_and_data_sin!D1418</f>
        <v>91.068054000000004</v>
      </c>
      <c r="D1418" t="str">
        <f>ObesityDataSet_raw_and_data_sin!Q1418</f>
        <v>Obesity_Type_I</v>
      </c>
      <c r="E1418" t="b">
        <f t="shared" si="89"/>
        <v>0</v>
      </c>
      <c r="F1418">
        <f>C1418/(B1418*B1418)</f>
        <v>32.259608126506386</v>
      </c>
      <c r="G1418" t="str">
        <f t="shared" si="90"/>
        <v>Obese</v>
      </c>
      <c r="H1418" t="str">
        <f t="shared" si="91"/>
        <v>OK</v>
      </c>
      <c r="I1418" t="str">
        <f t="shared" si="88"/>
        <v>OK</v>
      </c>
    </row>
    <row r="1419" spans="1:9" x14ac:dyDescent="0.2">
      <c r="A1419" t="str">
        <f>ObesityDataSet_raw_and_data_sin!A1419</f>
        <v>Female</v>
      </c>
      <c r="B1419">
        <f>ObesityDataSet_raw_and_data_sin!C1419</f>
        <v>1.552648</v>
      </c>
      <c r="C1419">
        <f>ObesityDataSet_raw_and_data_sin!D1419</f>
        <v>80</v>
      </c>
      <c r="D1419" t="str">
        <f>ObesityDataSet_raw_and_data_sin!Q1419</f>
        <v>Obesity_Type_I</v>
      </c>
      <c r="E1419" t="b">
        <f t="shared" si="89"/>
        <v>0</v>
      </c>
      <c r="F1419">
        <f>C1419/(B1419*B1419)</f>
        <v>33.185164176118896</v>
      </c>
      <c r="G1419" t="str">
        <f t="shared" si="90"/>
        <v>Obese</v>
      </c>
      <c r="H1419" t="str">
        <f t="shared" si="91"/>
        <v>OK</v>
      </c>
      <c r="I1419" t="str">
        <f t="shared" si="88"/>
        <v>OK</v>
      </c>
    </row>
    <row r="1420" spans="1:9" x14ac:dyDescent="0.2">
      <c r="A1420" t="str">
        <f>ObesityDataSet_raw_and_data_sin!A1420</f>
        <v>Female</v>
      </c>
      <c r="B1420">
        <f>ObesityDataSet_raw_and_data_sin!C1420</f>
        <v>1.5602149999999999</v>
      </c>
      <c r="C1420">
        <f>ObesityDataSet_raw_and_data_sin!D1420</f>
        <v>80</v>
      </c>
      <c r="D1420" t="str">
        <f>ObesityDataSet_raw_and_data_sin!Q1420</f>
        <v>Obesity_Type_I</v>
      </c>
      <c r="E1420" t="b">
        <f t="shared" si="89"/>
        <v>0</v>
      </c>
      <c r="F1420">
        <f>C1420/(B1420*B1420)</f>
        <v>32.864050491366562</v>
      </c>
      <c r="G1420" t="str">
        <f t="shared" si="90"/>
        <v>Obese</v>
      </c>
      <c r="H1420" t="str">
        <f t="shared" si="91"/>
        <v>OK</v>
      </c>
      <c r="I1420" t="str">
        <f t="shared" si="88"/>
        <v>OK</v>
      </c>
    </row>
    <row r="1421" spans="1:9" x14ac:dyDescent="0.2">
      <c r="A1421" t="str">
        <f>ObesityDataSet_raw_and_data_sin!A1421</f>
        <v>Male</v>
      </c>
      <c r="B1421">
        <f>ObesityDataSet_raw_and_data_sin!C1421</f>
        <v>1.6729590000000001</v>
      </c>
      <c r="C1421">
        <f>ObesityDataSet_raw_and_data_sin!D1421</f>
        <v>90</v>
      </c>
      <c r="D1421" t="str">
        <f>ObesityDataSet_raw_and_data_sin!Q1421</f>
        <v>Obesity_Type_I</v>
      </c>
      <c r="E1421" t="b">
        <f t="shared" si="89"/>
        <v>0</v>
      </c>
      <c r="F1421">
        <f>C1421/(B1421*B1421)</f>
        <v>32.156732592881781</v>
      </c>
      <c r="G1421" t="str">
        <f t="shared" si="90"/>
        <v>Obese</v>
      </c>
      <c r="H1421" t="str">
        <f t="shared" si="91"/>
        <v>OK</v>
      </c>
      <c r="I1421" t="str">
        <f t="shared" si="88"/>
        <v>OK</v>
      </c>
    </row>
    <row r="1422" spans="1:9" x14ac:dyDescent="0.2">
      <c r="A1422" t="str">
        <f>ObesityDataSet_raw_and_data_sin!A1422</f>
        <v>Male</v>
      </c>
      <c r="B1422">
        <f>ObesityDataSet_raw_and_data_sin!C1422</f>
        <v>1.6800580000000001</v>
      </c>
      <c r="C1422">
        <f>ObesityDataSet_raw_and_data_sin!D1422</f>
        <v>89.994350999999995</v>
      </c>
      <c r="D1422" t="str">
        <f>ObesityDataSet_raw_and_data_sin!Q1422</f>
        <v>Obesity_Type_I</v>
      </c>
      <c r="E1422" t="b">
        <f t="shared" si="89"/>
        <v>0</v>
      </c>
      <c r="F1422">
        <f>C1422/(B1422*B1422)</f>
        <v>31.883552092585003</v>
      </c>
      <c r="G1422" t="str">
        <f t="shared" si="90"/>
        <v>Obese</v>
      </c>
      <c r="H1422" t="str">
        <f t="shared" si="91"/>
        <v>OK</v>
      </c>
      <c r="I1422" t="str">
        <f t="shared" si="88"/>
        <v>OK</v>
      </c>
    </row>
    <row r="1423" spans="1:9" x14ac:dyDescent="0.2">
      <c r="A1423" t="str">
        <f>ObesityDataSet_raw_and_data_sin!A1423</f>
        <v>Male</v>
      </c>
      <c r="B1423">
        <f>ObesityDataSet_raw_and_data_sin!C1423</f>
        <v>1.664752</v>
      </c>
      <c r="C1423">
        <f>ObesityDataSet_raw_and_data_sin!D1423</f>
        <v>94.256546999999998</v>
      </c>
      <c r="D1423" t="str">
        <f>ObesityDataSet_raw_and_data_sin!Q1423</f>
        <v>Obesity_Type_I</v>
      </c>
      <c r="E1423" t="b">
        <f t="shared" si="89"/>
        <v>0</v>
      </c>
      <c r="F1423">
        <f>C1423/(B1423*B1423)</f>
        <v>34.010454455150011</v>
      </c>
      <c r="G1423" t="str">
        <f t="shared" si="90"/>
        <v>Obese</v>
      </c>
      <c r="H1423" t="str">
        <f t="shared" si="91"/>
        <v>OK</v>
      </c>
      <c r="I1423" t="str">
        <f t="shared" si="88"/>
        <v>OK</v>
      </c>
    </row>
    <row r="1424" spans="1:9" x14ac:dyDescent="0.2">
      <c r="A1424" t="str">
        <f>ObesityDataSet_raw_and_data_sin!A1424</f>
        <v>Male</v>
      </c>
      <c r="B1424">
        <f>ObesityDataSet_raw_and_data_sin!C1424</f>
        <v>1.668553</v>
      </c>
      <c r="C1424">
        <f>ObesityDataSet_raw_and_data_sin!D1424</f>
        <v>94.454393999999994</v>
      </c>
      <c r="D1424" t="str">
        <f>ObesityDataSet_raw_and_data_sin!Q1424</f>
        <v>Obesity_Type_I</v>
      </c>
      <c r="E1424" t="b">
        <f t="shared" si="89"/>
        <v>0</v>
      </c>
      <c r="F1424">
        <f>C1424/(B1424*B1424)</f>
        <v>33.926741808062751</v>
      </c>
      <c r="G1424" t="str">
        <f t="shared" si="90"/>
        <v>Obese</v>
      </c>
      <c r="H1424" t="str">
        <f t="shared" si="91"/>
        <v>OK</v>
      </c>
      <c r="I1424" t="str">
        <f t="shared" si="88"/>
        <v>OK</v>
      </c>
    </row>
    <row r="1425" spans="1:9" x14ac:dyDescent="0.2">
      <c r="A1425" t="str">
        <f>ObesityDataSet_raw_and_data_sin!A1425</f>
        <v>Male</v>
      </c>
      <c r="B1425">
        <f>ObesityDataSet_raw_and_data_sin!C1425</f>
        <v>1.7852859999999999</v>
      </c>
      <c r="C1425">
        <f>ObesityDataSet_raw_and_data_sin!D1425</f>
        <v>100.431625</v>
      </c>
      <c r="D1425" t="str">
        <f>ObesityDataSet_raw_and_data_sin!Q1425</f>
        <v>Obesity_Type_I</v>
      </c>
      <c r="E1425" t="b">
        <f t="shared" si="89"/>
        <v>0</v>
      </c>
      <c r="F1425">
        <f>C1425/(B1425*B1425)</f>
        <v>31.510470730015861</v>
      </c>
      <c r="G1425" t="str">
        <f t="shared" si="90"/>
        <v>Obese</v>
      </c>
      <c r="H1425" t="str">
        <f t="shared" si="91"/>
        <v>OK</v>
      </c>
      <c r="I1425" t="str">
        <f t="shared" si="88"/>
        <v>OK</v>
      </c>
    </row>
    <row r="1426" spans="1:9" x14ac:dyDescent="0.2">
      <c r="A1426" t="str">
        <f>ObesityDataSet_raw_and_data_sin!A1426</f>
        <v>Male</v>
      </c>
      <c r="B1426">
        <f>ObesityDataSet_raw_and_data_sin!C1426</f>
        <v>1.7807249999999999</v>
      </c>
      <c r="C1426">
        <f>ObesityDataSet_raw_and_data_sin!D1426</f>
        <v>98.790166999999997</v>
      </c>
      <c r="D1426" t="str">
        <f>ObesityDataSet_raw_and_data_sin!Q1426</f>
        <v>Obesity_Type_I</v>
      </c>
      <c r="E1426" t="b">
        <f t="shared" si="89"/>
        <v>0</v>
      </c>
      <c r="F1426">
        <f>C1426/(B1426*B1426)</f>
        <v>31.154444200216044</v>
      </c>
      <c r="G1426" t="str">
        <f t="shared" si="90"/>
        <v>Obese</v>
      </c>
      <c r="H1426" t="str">
        <f t="shared" si="91"/>
        <v>OK</v>
      </c>
      <c r="I1426" t="str">
        <f t="shared" si="88"/>
        <v>OK</v>
      </c>
    </row>
    <row r="1427" spans="1:9" x14ac:dyDescent="0.2">
      <c r="A1427" t="str">
        <f>ObesityDataSet_raw_and_data_sin!A1427</f>
        <v>Male</v>
      </c>
      <c r="B1427">
        <f>ObesityDataSet_raw_and_data_sin!C1427</f>
        <v>1.7510460000000001</v>
      </c>
      <c r="C1427">
        <f>ObesityDataSet_raw_and_data_sin!D1427</f>
        <v>95.285898000000003</v>
      </c>
      <c r="D1427" t="str">
        <f>ObesityDataSet_raw_and_data_sin!Q1427</f>
        <v>Obesity_Type_I</v>
      </c>
      <c r="E1427" t="b">
        <f t="shared" si="89"/>
        <v>0</v>
      </c>
      <c r="F1427">
        <f>C1427/(B1427*B1427)</f>
        <v>31.076601652226646</v>
      </c>
      <c r="G1427" t="str">
        <f t="shared" si="90"/>
        <v>Obese</v>
      </c>
      <c r="H1427" t="str">
        <f t="shared" si="91"/>
        <v>OK</v>
      </c>
      <c r="I1427" t="str">
        <f t="shared" si="88"/>
        <v>OK</v>
      </c>
    </row>
    <row r="1428" spans="1:9" x14ac:dyDescent="0.2">
      <c r="A1428" t="str">
        <f>ObesityDataSet_raw_and_data_sin!A1428</f>
        <v>Male</v>
      </c>
      <c r="B1428">
        <f>ObesityDataSet_raw_and_data_sin!C1428</f>
        <v>1.7513650000000001</v>
      </c>
      <c r="C1428">
        <f>ObesityDataSet_raw_and_data_sin!D1428</f>
        <v>95.290429000000003</v>
      </c>
      <c r="D1428" t="str">
        <f>ObesityDataSet_raw_and_data_sin!Q1428</f>
        <v>Obesity_Type_I</v>
      </c>
      <c r="E1428" t="b">
        <f t="shared" si="89"/>
        <v>0</v>
      </c>
      <c r="F1428">
        <f>C1428/(B1428*B1428)</f>
        <v>31.066759077272209</v>
      </c>
      <c r="G1428" t="str">
        <f t="shared" si="90"/>
        <v>Obese</v>
      </c>
      <c r="H1428" t="str">
        <f t="shared" si="91"/>
        <v>OK</v>
      </c>
      <c r="I1428" t="str">
        <f t="shared" si="88"/>
        <v>OK</v>
      </c>
    </row>
    <row r="1429" spans="1:9" x14ac:dyDescent="0.2">
      <c r="A1429" t="str">
        <f>ObesityDataSet_raw_and_data_sin!A1429</f>
        <v>Male</v>
      </c>
      <c r="B1429">
        <f>ObesityDataSet_raw_and_data_sin!C1429</f>
        <v>1.7172620000000001</v>
      </c>
      <c r="C1429">
        <f>ObesityDataSet_raw_and_data_sin!D1429</f>
        <v>98.579155999999998</v>
      </c>
      <c r="D1429" t="str">
        <f>ObesityDataSet_raw_and_data_sin!Q1429</f>
        <v>Obesity_Type_I</v>
      </c>
      <c r="E1429" t="b">
        <f t="shared" si="89"/>
        <v>0</v>
      </c>
      <c r="F1429">
        <f>C1429/(B1429*B1429)</f>
        <v>33.428121795765115</v>
      </c>
      <c r="G1429" t="str">
        <f t="shared" si="90"/>
        <v>Obese</v>
      </c>
      <c r="H1429" t="str">
        <f t="shared" si="91"/>
        <v>OK</v>
      </c>
      <c r="I1429" t="str">
        <f t="shared" si="88"/>
        <v>OK</v>
      </c>
    </row>
    <row r="1430" spans="1:9" x14ac:dyDescent="0.2">
      <c r="A1430" t="str">
        <f>ObesityDataSet_raw_and_data_sin!A1430</f>
        <v>Male</v>
      </c>
      <c r="B1430">
        <f>ObesityDataSet_raw_and_data_sin!C1430</f>
        <v>1.741393</v>
      </c>
      <c r="C1430">
        <f>ObesityDataSet_raw_and_data_sin!D1430</f>
        <v>98.182497999999995</v>
      </c>
      <c r="D1430" t="str">
        <f>ObesityDataSet_raw_and_data_sin!Q1430</f>
        <v>Obesity_Type_I</v>
      </c>
      <c r="E1430" t="b">
        <f t="shared" si="89"/>
        <v>0</v>
      </c>
      <c r="F1430">
        <f>C1430/(B1430*B1430)</f>
        <v>32.37728951307497</v>
      </c>
      <c r="G1430" t="str">
        <f t="shared" si="90"/>
        <v>Obese</v>
      </c>
      <c r="H1430" t="str">
        <f t="shared" si="91"/>
        <v>OK</v>
      </c>
      <c r="I1430" t="str">
        <f t="shared" si="88"/>
        <v>OK</v>
      </c>
    </row>
    <row r="1431" spans="1:9" x14ac:dyDescent="0.2">
      <c r="A1431" t="str">
        <f>ObesityDataSet_raw_and_data_sin!A1431</f>
        <v>Male</v>
      </c>
      <c r="B1431">
        <f>ObesityDataSet_raw_and_data_sin!C1431</f>
        <v>1.7921</v>
      </c>
      <c r="C1431">
        <f>ObesityDataSet_raw_and_data_sin!D1431</f>
        <v>101.285765</v>
      </c>
      <c r="D1431" t="str">
        <f>ObesityDataSet_raw_and_data_sin!Q1431</f>
        <v>Obesity_Type_I</v>
      </c>
      <c r="E1431" t="b">
        <f t="shared" si="89"/>
        <v>0</v>
      </c>
      <c r="F1431">
        <f>C1431/(B1431*B1431)</f>
        <v>31.53725814237297</v>
      </c>
      <c r="G1431" t="str">
        <f t="shared" si="90"/>
        <v>Obese</v>
      </c>
      <c r="H1431" t="str">
        <f t="shared" si="91"/>
        <v>OK</v>
      </c>
      <c r="I1431" t="str">
        <f t="shared" si="88"/>
        <v>OK</v>
      </c>
    </row>
    <row r="1432" spans="1:9" x14ac:dyDescent="0.2">
      <c r="A1432" t="str">
        <f>ObesityDataSet_raw_and_data_sin!A1432</f>
        <v>Male</v>
      </c>
      <c r="B1432">
        <f>ObesityDataSet_raw_and_data_sin!C1432</f>
        <v>1.785957</v>
      </c>
      <c r="C1432">
        <f>ObesityDataSet_raw_and_data_sin!D1432</f>
        <v>99.199286999999998</v>
      </c>
      <c r="D1432" t="str">
        <f>ObesityDataSet_raw_and_data_sin!Q1432</f>
        <v>Obesity_Type_I</v>
      </c>
      <c r="E1432" t="b">
        <f t="shared" si="89"/>
        <v>0</v>
      </c>
      <c r="F1432">
        <f>C1432/(B1432*B1432)</f>
        <v>31.100441484629595</v>
      </c>
      <c r="G1432" t="str">
        <f t="shared" si="90"/>
        <v>Obese</v>
      </c>
      <c r="H1432" t="str">
        <f t="shared" si="91"/>
        <v>OK</v>
      </c>
      <c r="I1432" t="str">
        <f t="shared" si="88"/>
        <v>OK</v>
      </c>
    </row>
    <row r="1433" spans="1:9" x14ac:dyDescent="0.2">
      <c r="A1433" t="str">
        <f>ObesityDataSet_raw_and_data_sin!A1433</f>
        <v>Female</v>
      </c>
      <c r="B1433">
        <f>ObesityDataSet_raw_and_data_sin!C1433</f>
        <v>1.6090679999999999</v>
      </c>
      <c r="C1433">
        <f>ObesityDataSet_raw_and_data_sin!D1433</f>
        <v>83.785312000000005</v>
      </c>
      <c r="D1433" t="str">
        <f>ObesityDataSet_raw_and_data_sin!Q1433</f>
        <v>Obesity_Type_I</v>
      </c>
      <c r="E1433" t="b">
        <f t="shared" si="89"/>
        <v>0</v>
      </c>
      <c r="F1433">
        <f>C1433/(B1433*B1433)</f>
        <v>32.360788515647329</v>
      </c>
      <c r="G1433" t="str">
        <f t="shared" si="90"/>
        <v>Obese</v>
      </c>
      <c r="H1433" t="str">
        <f t="shared" si="91"/>
        <v>OK</v>
      </c>
      <c r="I1433" t="str">
        <f t="shared" si="88"/>
        <v>OK</v>
      </c>
    </row>
    <row r="1434" spans="1:9" x14ac:dyDescent="0.2">
      <c r="A1434" t="str">
        <f>ObesityDataSet_raw_and_data_sin!A1434</f>
        <v>Female</v>
      </c>
      <c r="B1434">
        <f>ObesityDataSet_raw_and_data_sin!C1434</f>
        <v>1.603963</v>
      </c>
      <c r="C1434">
        <f>ObesityDataSet_raw_and_data_sin!D1434</f>
        <v>82.012636999999998</v>
      </c>
      <c r="D1434" t="str">
        <f>ObesityDataSet_raw_and_data_sin!Q1434</f>
        <v>Obesity_Type_I</v>
      </c>
      <c r="E1434" t="b">
        <f t="shared" si="89"/>
        <v>0</v>
      </c>
      <c r="F1434">
        <f>C1434/(B1434*B1434)</f>
        <v>31.878074746238749</v>
      </c>
      <c r="G1434" t="str">
        <f t="shared" si="90"/>
        <v>Obese</v>
      </c>
      <c r="H1434" t="str">
        <f t="shared" si="91"/>
        <v>OK</v>
      </c>
      <c r="I1434" t="str">
        <f t="shared" si="88"/>
        <v>OK</v>
      </c>
    </row>
    <row r="1435" spans="1:9" x14ac:dyDescent="0.2">
      <c r="A1435" t="str">
        <f>ObesityDataSet_raw_and_data_sin!A1435</f>
        <v>Female</v>
      </c>
      <c r="B1435">
        <f>ObesityDataSet_raw_and_data_sin!C1435</f>
        <v>1.6054949999999999</v>
      </c>
      <c r="C1435">
        <f>ObesityDataSet_raw_and_data_sin!D1435</f>
        <v>82.528575000000004</v>
      </c>
      <c r="D1435" t="str">
        <f>ObesityDataSet_raw_and_data_sin!Q1435</f>
        <v>Obesity_Type_I</v>
      </c>
      <c r="E1435" t="b">
        <f t="shared" si="89"/>
        <v>0</v>
      </c>
      <c r="F1435">
        <f>C1435/(B1435*B1435)</f>
        <v>32.017427262499837</v>
      </c>
      <c r="G1435" t="str">
        <f t="shared" si="90"/>
        <v>Obese</v>
      </c>
      <c r="H1435" t="str">
        <f t="shared" si="91"/>
        <v>OK</v>
      </c>
      <c r="I1435" t="str">
        <f t="shared" si="88"/>
        <v>OK</v>
      </c>
    </row>
    <row r="1436" spans="1:9" x14ac:dyDescent="0.2">
      <c r="A1436" t="str">
        <f>ObesityDataSet_raw_and_data_sin!A1436</f>
        <v>Female</v>
      </c>
      <c r="B1436">
        <f>ObesityDataSet_raw_and_data_sin!C1436</f>
        <v>1.6071820000000001</v>
      </c>
      <c r="C1436">
        <f>ObesityDataSet_raw_and_data_sin!D1436</f>
        <v>82.368441000000004</v>
      </c>
      <c r="D1436" t="str">
        <f>ObesityDataSet_raw_and_data_sin!Q1436</f>
        <v>Obesity_Type_I</v>
      </c>
      <c r="E1436" t="b">
        <f t="shared" si="89"/>
        <v>0</v>
      </c>
      <c r="F1436">
        <f>C1436/(B1436*B1436)</f>
        <v>31.888252962184261</v>
      </c>
      <c r="G1436" t="str">
        <f t="shared" si="90"/>
        <v>Obese</v>
      </c>
      <c r="H1436" t="str">
        <f t="shared" si="91"/>
        <v>OK</v>
      </c>
      <c r="I1436" t="str">
        <f t="shared" si="88"/>
        <v>OK</v>
      </c>
    </row>
    <row r="1437" spans="1:9" x14ac:dyDescent="0.2">
      <c r="A1437" t="str">
        <f>ObesityDataSet_raw_and_data_sin!A1437</f>
        <v>Female</v>
      </c>
      <c r="B1437">
        <f>ObesityDataSet_raw_and_data_sin!C1437</f>
        <v>1.6617150000000001</v>
      </c>
      <c r="C1437">
        <f>ObesityDataSet_raw_and_data_sin!D1437</f>
        <v>82.595793</v>
      </c>
      <c r="D1437" t="str">
        <f>ObesityDataSet_raw_and_data_sin!Q1437</f>
        <v>Obesity_Type_I</v>
      </c>
      <c r="E1437" t="b">
        <f t="shared" si="89"/>
        <v>0</v>
      </c>
      <c r="F1437">
        <f>C1437/(B1437*B1437)</f>
        <v>29.911958308167144</v>
      </c>
      <c r="G1437" t="str">
        <f t="shared" si="90"/>
        <v>Overweight</v>
      </c>
      <c r="H1437" t="str">
        <f t="shared" si="91"/>
        <v>OK</v>
      </c>
      <c r="I1437" t="str">
        <f t="shared" si="88"/>
        <v>OK</v>
      </c>
    </row>
    <row r="1438" spans="1:9" x14ac:dyDescent="0.2">
      <c r="A1438" t="str">
        <f>ObesityDataSet_raw_and_data_sin!A1438</f>
        <v>Female</v>
      </c>
      <c r="B1438">
        <f>ObesityDataSet_raw_and_data_sin!C1438</f>
        <v>1.655742</v>
      </c>
      <c r="C1438">
        <f>ObesityDataSet_raw_and_data_sin!D1438</f>
        <v>82.463759999999994</v>
      </c>
      <c r="D1438" t="str">
        <f>ObesityDataSet_raw_and_data_sin!Q1438</f>
        <v>Obesity_Type_I</v>
      </c>
      <c r="E1438" t="b">
        <f t="shared" si="89"/>
        <v>0</v>
      </c>
      <c r="F1438">
        <f>C1438/(B1438*B1438)</f>
        <v>30.079997941782576</v>
      </c>
      <c r="G1438" t="str">
        <f t="shared" si="90"/>
        <v>Obese</v>
      </c>
      <c r="H1438" t="str">
        <f t="shared" si="91"/>
        <v>OK</v>
      </c>
      <c r="I1438" t="str">
        <f t="shared" si="88"/>
        <v>OK</v>
      </c>
    </row>
    <row r="1439" spans="1:9" x14ac:dyDescent="0.2">
      <c r="A1439" t="str">
        <f>ObesityDataSet_raw_and_data_sin!A1439</f>
        <v>Female</v>
      </c>
      <c r="B1439">
        <f>ObesityDataSet_raw_and_data_sin!C1439</f>
        <v>1.5492570000000001</v>
      </c>
      <c r="C1439">
        <f>ObesityDataSet_raw_and_data_sin!D1439</f>
        <v>80</v>
      </c>
      <c r="D1439" t="str">
        <f>ObesityDataSet_raw_and_data_sin!Q1439</f>
        <v>Obesity_Type_I</v>
      </c>
      <c r="E1439" t="b">
        <f t="shared" si="89"/>
        <v>0</v>
      </c>
      <c r="F1439">
        <f>C1439/(B1439*B1439)</f>
        <v>33.330593946687344</v>
      </c>
      <c r="G1439" t="str">
        <f t="shared" si="90"/>
        <v>Obese</v>
      </c>
      <c r="H1439" t="str">
        <f t="shared" si="91"/>
        <v>OK</v>
      </c>
      <c r="I1439" t="str">
        <f t="shared" si="88"/>
        <v>OK</v>
      </c>
    </row>
    <row r="1440" spans="1:9" x14ac:dyDescent="0.2">
      <c r="A1440" t="str">
        <f>ObesityDataSet_raw_and_data_sin!A1440</f>
        <v>Female</v>
      </c>
      <c r="B1440">
        <f>ObesityDataSet_raw_and_data_sin!C1440</f>
        <v>1.5497479999999999</v>
      </c>
      <c r="C1440">
        <f>ObesityDataSet_raw_and_data_sin!D1440</f>
        <v>80</v>
      </c>
      <c r="D1440" t="str">
        <f>ObesityDataSet_raw_and_data_sin!Q1440</f>
        <v>Obesity_Type_I</v>
      </c>
      <c r="E1440" t="b">
        <f t="shared" si="89"/>
        <v>0</v>
      </c>
      <c r="F1440">
        <f>C1440/(B1440*B1440)</f>
        <v>33.309477314627742</v>
      </c>
      <c r="G1440" t="str">
        <f t="shared" si="90"/>
        <v>Obese</v>
      </c>
      <c r="H1440" t="str">
        <f t="shared" si="91"/>
        <v>OK</v>
      </c>
      <c r="I1440" t="str">
        <f t="shared" si="88"/>
        <v>OK</v>
      </c>
    </row>
    <row r="1441" spans="1:9" x14ac:dyDescent="0.2">
      <c r="A1441" t="str">
        <f>ObesityDataSet_raw_and_data_sin!A1441</f>
        <v>Female</v>
      </c>
      <c r="B1441">
        <f>ObesityDataSet_raw_and_data_sin!C1441</f>
        <v>1.5290600000000001</v>
      </c>
      <c r="C1441">
        <f>ObesityDataSet_raw_and_data_sin!D1441</f>
        <v>79.760921999999994</v>
      </c>
      <c r="D1441" t="str">
        <f>ObesityDataSet_raw_and_data_sin!Q1441</f>
        <v>Obesity_Type_I</v>
      </c>
      <c r="E1441" t="b">
        <f t="shared" si="89"/>
        <v>0</v>
      </c>
      <c r="F1441">
        <f>C1441/(B1441*B1441)</f>
        <v>34.114664991526176</v>
      </c>
      <c r="G1441" t="str">
        <f t="shared" si="90"/>
        <v>Obese</v>
      </c>
      <c r="H1441" t="str">
        <f t="shared" si="91"/>
        <v>OK</v>
      </c>
      <c r="I1441" t="str">
        <f t="shared" si="88"/>
        <v>OK</v>
      </c>
    </row>
    <row r="1442" spans="1:9" x14ac:dyDescent="0.2">
      <c r="A1442" t="str">
        <f>ObesityDataSet_raw_and_data_sin!A1442</f>
        <v>Female</v>
      </c>
      <c r="B1442">
        <f>ObesityDataSet_raw_and_data_sin!C1442</f>
        <v>1.5172479999999999</v>
      </c>
      <c r="C1442">
        <f>ObesityDataSet_raw_and_data_sin!D1442</f>
        <v>79.843221</v>
      </c>
      <c r="D1442" t="str">
        <f>ObesityDataSet_raw_and_data_sin!Q1442</f>
        <v>Obesity_Type_I</v>
      </c>
      <c r="E1442" t="b">
        <f t="shared" si="89"/>
        <v>0</v>
      </c>
      <c r="F1442">
        <f>C1442/(B1442*B1442)</f>
        <v>34.68365849412578</v>
      </c>
      <c r="G1442" t="str">
        <f t="shared" si="90"/>
        <v>Obese</v>
      </c>
      <c r="H1442" t="str">
        <f t="shared" si="91"/>
        <v>OK</v>
      </c>
      <c r="I1442" t="str">
        <f t="shared" si="88"/>
        <v>OK</v>
      </c>
    </row>
    <row r="1443" spans="1:9" x14ac:dyDescent="0.2">
      <c r="A1443" t="str">
        <f>ObesityDataSet_raw_and_data_sin!A1443</f>
        <v>Male</v>
      </c>
      <c r="B1443">
        <f>ObesityDataSet_raw_and_data_sin!C1443</f>
        <v>1.6573100000000001</v>
      </c>
      <c r="C1443">
        <f>ObesityDataSet_raw_and_data_sin!D1443</f>
        <v>90</v>
      </c>
      <c r="D1443" t="str">
        <f>ObesityDataSet_raw_and_data_sin!Q1443</f>
        <v>Obesity_Type_I</v>
      </c>
      <c r="E1443" t="b">
        <f t="shared" si="89"/>
        <v>0</v>
      </c>
      <c r="F1443">
        <f>C1443/(B1443*B1443)</f>
        <v>32.766873744979883</v>
      </c>
      <c r="G1443" t="str">
        <f t="shared" si="90"/>
        <v>Obese</v>
      </c>
      <c r="H1443" t="str">
        <f t="shared" si="91"/>
        <v>OK</v>
      </c>
      <c r="I1443" t="str">
        <f t="shared" si="88"/>
        <v>OK</v>
      </c>
    </row>
    <row r="1444" spans="1:9" x14ac:dyDescent="0.2">
      <c r="A1444" t="str">
        <f>ObesityDataSet_raw_and_data_sin!A1444</f>
        <v>Male</v>
      </c>
      <c r="B1444">
        <f>ObesityDataSet_raw_and_data_sin!C1444</f>
        <v>1.673287</v>
      </c>
      <c r="C1444">
        <f>ObesityDataSet_raw_and_data_sin!D1444</f>
        <v>90</v>
      </c>
      <c r="D1444" t="str">
        <f>ObesityDataSet_raw_and_data_sin!Q1444</f>
        <v>Obesity_Type_I</v>
      </c>
      <c r="E1444" t="b">
        <f t="shared" si="89"/>
        <v>0</v>
      </c>
      <c r="F1444">
        <f>C1444/(B1444*B1444)</f>
        <v>32.144127015318837</v>
      </c>
      <c r="G1444" t="str">
        <f t="shared" si="90"/>
        <v>Obese</v>
      </c>
      <c r="H1444" t="str">
        <f t="shared" si="91"/>
        <v>OK</v>
      </c>
      <c r="I1444" t="str">
        <f t="shared" si="88"/>
        <v>OK</v>
      </c>
    </row>
    <row r="1445" spans="1:9" x14ac:dyDescent="0.2">
      <c r="A1445" t="str">
        <f>ObesityDataSet_raw_and_data_sin!A1445</f>
        <v>Female</v>
      </c>
      <c r="B1445">
        <f>ObesityDataSet_raw_and_data_sin!C1445</f>
        <v>1.5815269999999999</v>
      </c>
      <c r="C1445">
        <f>ObesityDataSet_raw_and_data_sin!D1445</f>
        <v>78.089574999999996</v>
      </c>
      <c r="D1445" t="str">
        <f>ObesityDataSet_raw_and_data_sin!Q1445</f>
        <v>Obesity_Type_I</v>
      </c>
      <c r="E1445" t="b">
        <f t="shared" si="89"/>
        <v>0</v>
      </c>
      <c r="F1445">
        <f>C1445/(B1445*B1445)</f>
        <v>31.220498840247412</v>
      </c>
      <c r="G1445" t="str">
        <f t="shared" si="90"/>
        <v>Obese</v>
      </c>
      <c r="H1445" t="str">
        <f t="shared" si="91"/>
        <v>OK</v>
      </c>
      <c r="I1445" t="str">
        <f t="shared" si="88"/>
        <v>OK</v>
      </c>
    </row>
    <row r="1446" spans="1:9" x14ac:dyDescent="0.2">
      <c r="A1446" t="str">
        <f>ObesityDataSet_raw_and_data_sin!A1446</f>
        <v>Female</v>
      </c>
      <c r="B1446">
        <f>ObesityDataSet_raw_and_data_sin!C1446</f>
        <v>1.562724</v>
      </c>
      <c r="C1446">
        <f>ObesityDataSet_raw_and_data_sin!D1446</f>
        <v>80.535697999999996</v>
      </c>
      <c r="D1446" t="str">
        <f>ObesityDataSet_raw_and_data_sin!Q1446</f>
        <v>Obesity_Type_I</v>
      </c>
      <c r="E1446" t="b">
        <f t="shared" si="89"/>
        <v>0</v>
      </c>
      <c r="F1446">
        <f>C1446/(B1446*B1446)</f>
        <v>32.977965780685253</v>
      </c>
      <c r="G1446" t="str">
        <f t="shared" si="90"/>
        <v>Obese</v>
      </c>
      <c r="H1446" t="str">
        <f t="shared" si="91"/>
        <v>OK</v>
      </c>
      <c r="I1446" t="str">
        <f t="shared" si="88"/>
        <v>OK</v>
      </c>
    </row>
    <row r="1447" spans="1:9" x14ac:dyDescent="0.2">
      <c r="A1447" t="str">
        <f>ObesityDataSet_raw_and_data_sin!A1447</f>
        <v>Male</v>
      </c>
      <c r="B1447">
        <f>ObesityDataSet_raw_and_data_sin!C1447</f>
        <v>1.7812509999999999</v>
      </c>
      <c r="C1447">
        <f>ObesityDataSet_raw_and_data_sin!D1447</f>
        <v>102.950929</v>
      </c>
      <c r="D1447" t="str">
        <f>ObesityDataSet_raw_and_data_sin!Q1447</f>
        <v>Obesity_Type_I</v>
      </c>
      <c r="E1447" t="b">
        <f t="shared" si="89"/>
        <v>0</v>
      </c>
      <c r="F1447">
        <f>C1447/(B1447*B1447)</f>
        <v>32.447409334508322</v>
      </c>
      <c r="G1447" t="str">
        <f t="shared" si="90"/>
        <v>Obese</v>
      </c>
      <c r="H1447" t="str">
        <f t="shared" si="91"/>
        <v>OK</v>
      </c>
      <c r="I1447" t="str">
        <f t="shared" si="88"/>
        <v>OK</v>
      </c>
    </row>
    <row r="1448" spans="1:9" x14ac:dyDescent="0.2">
      <c r="A1448" t="str">
        <f>ObesityDataSet_raw_and_data_sin!A1448</f>
        <v>Male</v>
      </c>
      <c r="B1448">
        <f>ObesityDataSet_raw_and_data_sin!C1448</f>
        <v>1.7755840000000001</v>
      </c>
      <c r="C1448">
        <f>ObesityDataSet_raw_and_data_sin!D1448</f>
        <v>103.605896</v>
      </c>
      <c r="D1448" t="str">
        <f>ObesityDataSet_raw_and_data_sin!Q1448</f>
        <v>Obesity_Type_I</v>
      </c>
      <c r="E1448" t="b">
        <f t="shared" si="89"/>
        <v>0</v>
      </c>
      <c r="F1448">
        <f>C1448/(B1448*B1448)</f>
        <v>32.86260790582822</v>
      </c>
      <c r="G1448" t="str">
        <f t="shared" si="90"/>
        <v>Obese</v>
      </c>
      <c r="H1448" t="str">
        <f t="shared" si="91"/>
        <v>OK</v>
      </c>
      <c r="I1448" t="str">
        <f t="shared" si="88"/>
        <v>OK</v>
      </c>
    </row>
    <row r="1449" spans="1:9" x14ac:dyDescent="0.2">
      <c r="A1449" t="str">
        <f>ObesityDataSet_raw_and_data_sin!A1449</f>
        <v>Male</v>
      </c>
      <c r="B1449">
        <f>ObesityDataSet_raw_and_data_sin!C1449</f>
        <v>1.746645</v>
      </c>
      <c r="C1449">
        <f>ObesityDataSet_raw_and_data_sin!D1449</f>
        <v>96.875501999999997</v>
      </c>
      <c r="D1449" t="str">
        <f>ObesityDataSet_raw_and_data_sin!Q1449</f>
        <v>Obesity_Type_I</v>
      </c>
      <c r="E1449" t="b">
        <f t="shared" si="89"/>
        <v>0</v>
      </c>
      <c r="F1449">
        <f>C1449/(B1449*B1449)</f>
        <v>31.754455924815474</v>
      </c>
      <c r="G1449" t="str">
        <f t="shared" si="90"/>
        <v>Obese</v>
      </c>
      <c r="H1449" t="str">
        <f t="shared" si="91"/>
        <v>OK</v>
      </c>
      <c r="I1449" t="str">
        <f t="shared" si="88"/>
        <v>OK</v>
      </c>
    </row>
    <row r="1450" spans="1:9" x14ac:dyDescent="0.2">
      <c r="A1450" t="str">
        <f>ObesityDataSet_raw_and_data_sin!A1450</f>
        <v>Male</v>
      </c>
      <c r="B1450">
        <f>ObesityDataSet_raw_and_data_sin!C1450</f>
        <v>1.7413529999999999</v>
      </c>
      <c r="C1450">
        <f>ObesityDataSet_raw_and_data_sin!D1450</f>
        <v>96.738014000000007</v>
      </c>
      <c r="D1450" t="str">
        <f>ObesityDataSet_raw_and_data_sin!Q1450</f>
        <v>Obesity_Type_I</v>
      </c>
      <c r="E1450" t="b">
        <f t="shared" si="89"/>
        <v>0</v>
      </c>
      <c r="F1450">
        <f>C1450/(B1450*B1450)</f>
        <v>31.902412803084111</v>
      </c>
      <c r="G1450" t="str">
        <f t="shared" si="90"/>
        <v>Obese</v>
      </c>
      <c r="H1450" t="str">
        <f t="shared" si="91"/>
        <v>OK</v>
      </c>
      <c r="I1450" t="str">
        <f t="shared" si="88"/>
        <v>OK</v>
      </c>
    </row>
    <row r="1451" spans="1:9" x14ac:dyDescent="0.2">
      <c r="A1451" t="str">
        <f>ObesityDataSet_raw_and_data_sin!A1451</f>
        <v>Female</v>
      </c>
      <c r="B1451">
        <f>ObesityDataSet_raw_and_data_sin!C1451</f>
        <v>1.571812</v>
      </c>
      <c r="C1451">
        <f>ObesityDataSet_raw_and_data_sin!D1451</f>
        <v>78.997166000000007</v>
      </c>
      <c r="D1451" t="str">
        <f>ObesityDataSet_raw_and_data_sin!Q1451</f>
        <v>Obesity_Type_I</v>
      </c>
      <c r="E1451" t="b">
        <f t="shared" si="89"/>
        <v>0</v>
      </c>
      <c r="F1451">
        <f>C1451/(B1451*B1451)</f>
        <v>31.974982189326592</v>
      </c>
      <c r="G1451" t="str">
        <f t="shared" si="90"/>
        <v>Obese</v>
      </c>
      <c r="H1451" t="str">
        <f t="shared" si="91"/>
        <v>OK</v>
      </c>
      <c r="I1451" t="str">
        <f t="shared" si="88"/>
        <v>OK</v>
      </c>
    </row>
    <row r="1452" spans="1:9" x14ac:dyDescent="0.2">
      <c r="A1452" t="str">
        <f>ObesityDataSet_raw_and_data_sin!A1452</f>
        <v>Female</v>
      </c>
      <c r="B1452">
        <f>ObesityDataSet_raw_and_data_sin!C1452</f>
        <v>1.589027</v>
      </c>
      <c r="C1452">
        <f>ObesityDataSet_raw_and_data_sin!D1452</f>
        <v>80.553066999999999</v>
      </c>
      <c r="D1452" t="str">
        <f>ObesityDataSet_raw_and_data_sin!Q1452</f>
        <v>Obesity_Type_I</v>
      </c>
      <c r="E1452" t="b">
        <f t="shared" si="89"/>
        <v>0</v>
      </c>
      <c r="F1452">
        <f>C1452/(B1452*B1452)</f>
        <v>31.902118752840842</v>
      </c>
      <c r="G1452" t="str">
        <f t="shared" si="90"/>
        <v>Obese</v>
      </c>
      <c r="H1452" t="str">
        <f t="shared" si="91"/>
        <v>OK</v>
      </c>
      <c r="I1452" t="str">
        <f t="shared" si="88"/>
        <v>OK</v>
      </c>
    </row>
    <row r="1453" spans="1:9" x14ac:dyDescent="0.2">
      <c r="A1453" t="str">
        <f>ObesityDataSet_raw_and_data_sin!A1453</f>
        <v>Male</v>
      </c>
      <c r="B1453">
        <f>ObesityDataSet_raw_and_data_sin!C1453</f>
        <v>1.803245</v>
      </c>
      <c r="C1453">
        <f>ObesityDataSet_raw_and_data_sin!D1453</f>
        <v>105.686091</v>
      </c>
      <c r="D1453" t="str">
        <f>ObesityDataSet_raw_and_data_sin!Q1453</f>
        <v>Obesity_Type_I</v>
      </c>
      <c r="E1453" t="b">
        <f t="shared" si="89"/>
        <v>0</v>
      </c>
      <c r="F1453">
        <f>C1453/(B1453*B1453)</f>
        <v>32.50187095616554</v>
      </c>
      <c r="G1453" t="str">
        <f t="shared" si="90"/>
        <v>Obese</v>
      </c>
      <c r="H1453" t="str">
        <f t="shared" si="91"/>
        <v>OK</v>
      </c>
      <c r="I1453" t="str">
        <f t="shared" si="88"/>
        <v>OK</v>
      </c>
    </row>
    <row r="1454" spans="1:9" x14ac:dyDescent="0.2">
      <c r="A1454" t="str">
        <f>ObesityDataSet_raw_and_data_sin!A1454</f>
        <v>Male</v>
      </c>
      <c r="B1454">
        <f>ObesityDataSet_raw_and_data_sin!C1454</f>
        <v>1.792646</v>
      </c>
      <c r="C1454">
        <f>ObesityDataSet_raw_and_data_sin!D1454</f>
        <v>105.61914299999999</v>
      </c>
      <c r="D1454" t="str">
        <f>ObesityDataSet_raw_and_data_sin!Q1454</f>
        <v>Obesity_Type_I</v>
      </c>
      <c r="E1454" t="b">
        <f t="shared" si="89"/>
        <v>0</v>
      </c>
      <c r="F1454">
        <f>C1454/(B1454*B1454)</f>
        <v>32.866508216391161</v>
      </c>
      <c r="G1454" t="str">
        <f t="shared" si="90"/>
        <v>Obese</v>
      </c>
      <c r="H1454" t="str">
        <f t="shared" si="91"/>
        <v>OK</v>
      </c>
      <c r="I1454" t="str">
        <f t="shared" si="88"/>
        <v>OK</v>
      </c>
    </row>
    <row r="1455" spans="1:9" x14ac:dyDescent="0.2">
      <c r="A1455" t="str">
        <f>ObesityDataSet_raw_and_data_sin!A1455</f>
        <v>Male</v>
      </c>
      <c r="B1455">
        <f>ObesityDataSet_raw_and_data_sin!C1455</f>
        <v>1.87199</v>
      </c>
      <c r="C1455">
        <f>ObesityDataSet_raw_and_data_sin!D1455</f>
        <v>115.627554</v>
      </c>
      <c r="D1455" t="str">
        <f>ObesityDataSet_raw_and_data_sin!Q1455</f>
        <v>Obesity_Type_I</v>
      </c>
      <c r="E1455" t="b">
        <f t="shared" si="89"/>
        <v>0</v>
      </c>
      <c r="F1455">
        <f>C1455/(B1455*B1455)</f>
        <v>32.995467776081043</v>
      </c>
      <c r="G1455" t="str">
        <f t="shared" si="90"/>
        <v>Obese</v>
      </c>
      <c r="H1455" t="str">
        <f t="shared" si="91"/>
        <v>OK</v>
      </c>
      <c r="I1455" t="str">
        <f t="shared" si="88"/>
        <v>OK</v>
      </c>
    </row>
    <row r="1456" spans="1:9" x14ac:dyDescent="0.2">
      <c r="A1456" t="str">
        <f>ObesityDataSet_raw_and_data_sin!A1456</f>
        <v>Male</v>
      </c>
      <c r="B1456">
        <f>ObesityDataSet_raw_and_data_sin!C1456</f>
        <v>1.859056</v>
      </c>
      <c r="C1456">
        <f>ObesityDataSet_raw_and_data_sin!D1456</f>
        <v>111.23518799999999</v>
      </c>
      <c r="D1456" t="str">
        <f>ObesityDataSet_raw_and_data_sin!Q1456</f>
        <v>Obesity_Type_I</v>
      </c>
      <c r="E1456" t="b">
        <f t="shared" si="89"/>
        <v>0</v>
      </c>
      <c r="F1456">
        <f>C1456/(B1456*B1456)</f>
        <v>32.185276827225621</v>
      </c>
      <c r="G1456" t="str">
        <f t="shared" si="90"/>
        <v>Obese</v>
      </c>
      <c r="H1456" t="str">
        <f t="shared" si="91"/>
        <v>OK</v>
      </c>
      <c r="I1456" t="str">
        <f t="shared" si="88"/>
        <v>OK</v>
      </c>
    </row>
    <row r="1457" spans="1:9" x14ac:dyDescent="0.2">
      <c r="A1457" t="str">
        <f>ObesityDataSet_raw_and_data_sin!A1457</f>
        <v>Female</v>
      </c>
      <c r="B1457">
        <f>ObesityDataSet_raw_and_data_sin!C1457</f>
        <v>1.692242</v>
      </c>
      <c r="C1457">
        <f>ObesityDataSet_raw_and_data_sin!D1457</f>
        <v>90.019501000000005</v>
      </c>
      <c r="D1457" t="str">
        <f>ObesityDataSet_raw_and_data_sin!Q1457</f>
        <v>Obesity_Type_I</v>
      </c>
      <c r="E1457" t="b">
        <f t="shared" si="89"/>
        <v>0</v>
      </c>
      <c r="F1457">
        <f>C1457/(B1457*B1457)</f>
        <v>31.43486950977427</v>
      </c>
      <c r="G1457" t="str">
        <f t="shared" si="90"/>
        <v>Obese</v>
      </c>
      <c r="H1457" t="str">
        <f t="shared" si="91"/>
        <v>OK</v>
      </c>
      <c r="I1457" t="str">
        <f t="shared" si="88"/>
        <v>OK</v>
      </c>
    </row>
    <row r="1458" spans="1:9" x14ac:dyDescent="0.2">
      <c r="A1458" t="str">
        <f>ObesityDataSet_raw_and_data_sin!A1458</f>
        <v>Female</v>
      </c>
      <c r="B1458">
        <f>ObesityDataSet_raw_and_data_sin!C1458</f>
        <v>1.6830000000000001</v>
      </c>
      <c r="C1458">
        <f>ObesityDataSet_raw_and_data_sin!D1458</f>
        <v>90.924207999999993</v>
      </c>
      <c r="D1458" t="str">
        <f>ObesityDataSet_raw_and_data_sin!Q1458</f>
        <v>Obesity_Type_I</v>
      </c>
      <c r="E1458" t="b">
        <f t="shared" si="89"/>
        <v>0</v>
      </c>
      <c r="F1458">
        <f>C1458/(B1458*B1458)</f>
        <v>32.100462879114438</v>
      </c>
      <c r="G1458" t="str">
        <f t="shared" si="90"/>
        <v>Obese</v>
      </c>
      <c r="H1458" t="str">
        <f t="shared" si="91"/>
        <v>OK</v>
      </c>
      <c r="I1458" t="str">
        <f t="shared" si="88"/>
        <v>OK</v>
      </c>
    </row>
    <row r="1459" spans="1:9" x14ac:dyDescent="0.2">
      <c r="A1459" t="str">
        <f>ObesityDataSet_raw_and_data_sin!A1459</f>
        <v>Female</v>
      </c>
      <c r="B1459">
        <f>ObesityDataSet_raw_and_data_sin!C1459</f>
        <v>1.738397</v>
      </c>
      <c r="C1459">
        <f>ObesityDataSet_raw_and_data_sin!D1459</f>
        <v>93.890681999999998</v>
      </c>
      <c r="D1459" t="str">
        <f>ObesityDataSet_raw_and_data_sin!Q1459</f>
        <v>Obesity_Type_I</v>
      </c>
      <c r="E1459" t="b">
        <f t="shared" si="89"/>
        <v>0</v>
      </c>
      <c r="F1459">
        <f>C1459/(B1459*B1459)</f>
        <v>31.068806195186767</v>
      </c>
      <c r="G1459" t="str">
        <f t="shared" si="90"/>
        <v>Obese</v>
      </c>
      <c r="H1459" t="str">
        <f t="shared" si="91"/>
        <v>OK</v>
      </c>
      <c r="I1459" t="str">
        <f t="shared" si="88"/>
        <v>OK</v>
      </c>
    </row>
    <row r="1460" spans="1:9" x14ac:dyDescent="0.2">
      <c r="A1460" t="str">
        <f>ObesityDataSet_raw_and_data_sin!A1460</f>
        <v>Female</v>
      </c>
      <c r="B1460">
        <f>ObesityDataSet_raw_and_data_sin!C1460</f>
        <v>1.6949689999999999</v>
      </c>
      <c r="C1460">
        <f>ObesityDataSet_raw_and_data_sin!D1460</f>
        <v>92.508122</v>
      </c>
      <c r="D1460" t="str">
        <f>ObesityDataSet_raw_and_data_sin!Q1460</f>
        <v>Obesity_Type_I</v>
      </c>
      <c r="E1460" t="b">
        <f t="shared" si="89"/>
        <v>0</v>
      </c>
      <c r="F1460">
        <f>C1460/(B1460*B1460)</f>
        <v>32.20003510959544</v>
      </c>
      <c r="G1460" t="str">
        <f t="shared" si="90"/>
        <v>Obese</v>
      </c>
      <c r="H1460" t="str">
        <f t="shared" si="91"/>
        <v>OK</v>
      </c>
      <c r="I1460" t="str">
        <f t="shared" si="88"/>
        <v>OK</v>
      </c>
    </row>
    <row r="1461" spans="1:9" x14ac:dyDescent="0.2">
      <c r="A1461" t="str">
        <f>ObesityDataSet_raw_and_data_sin!A1461</f>
        <v>Male</v>
      </c>
      <c r="B1461">
        <f>ObesityDataSet_raw_and_data_sin!C1461</f>
        <v>1.7857179999999999</v>
      </c>
      <c r="C1461">
        <f>ObesityDataSet_raw_and_data_sin!D1461</f>
        <v>105.05568599999999</v>
      </c>
      <c r="D1461" t="str">
        <f>ObesityDataSet_raw_and_data_sin!Q1461</f>
        <v>Obesity_Type_I</v>
      </c>
      <c r="E1461" t="b">
        <f t="shared" si="89"/>
        <v>0</v>
      </c>
      <c r="F1461">
        <f>C1461/(B1461*B1461)</f>
        <v>32.945326076900983</v>
      </c>
      <c r="G1461" t="str">
        <f t="shared" si="90"/>
        <v>Obese</v>
      </c>
      <c r="H1461" t="str">
        <f t="shared" si="91"/>
        <v>OK</v>
      </c>
      <c r="I1461" t="str">
        <f t="shared" si="88"/>
        <v>OK</v>
      </c>
    </row>
    <row r="1462" spans="1:9" x14ac:dyDescent="0.2">
      <c r="A1462" t="str">
        <f>ObesityDataSet_raw_and_data_sin!A1462</f>
        <v>Male</v>
      </c>
      <c r="B1462">
        <f>ObesityDataSet_raw_and_data_sin!C1462</f>
        <v>1.7424999999999999</v>
      </c>
      <c r="C1462">
        <f>ObesityDataSet_raw_and_data_sin!D1462</f>
        <v>105.028665</v>
      </c>
      <c r="D1462" t="str">
        <f>ObesityDataSet_raw_and_data_sin!Q1462</f>
        <v>Obesity_Type_I</v>
      </c>
      <c r="E1462" t="b">
        <f t="shared" si="89"/>
        <v>0</v>
      </c>
      <c r="F1462">
        <f>C1462/(B1462*B1462)</f>
        <v>34.590932650486096</v>
      </c>
      <c r="G1462" t="str">
        <f t="shared" si="90"/>
        <v>Obese</v>
      </c>
      <c r="H1462" t="str">
        <f t="shared" si="91"/>
        <v>OK</v>
      </c>
      <c r="I1462" t="str">
        <f t="shared" si="88"/>
        <v>OK</v>
      </c>
    </row>
    <row r="1463" spans="1:9" x14ac:dyDescent="0.2">
      <c r="A1463" t="str">
        <f>ObesityDataSet_raw_and_data_sin!A1463</f>
        <v>Male</v>
      </c>
      <c r="B1463">
        <f>ObesityDataSet_raw_and_data_sin!C1463</f>
        <v>1.803132</v>
      </c>
      <c r="C1463">
        <f>ObesityDataSet_raw_and_data_sin!D1463</f>
        <v>106.32956900000001</v>
      </c>
      <c r="D1463" t="str">
        <f>ObesityDataSet_raw_and_data_sin!Q1463</f>
        <v>Obesity_Type_I</v>
      </c>
      <c r="E1463" t="b">
        <f t="shared" si="89"/>
        <v>0</v>
      </c>
      <c r="F1463">
        <f>C1463/(B1463*B1463)</f>
        <v>32.703859763693075</v>
      </c>
      <c r="G1463" t="str">
        <f t="shared" si="90"/>
        <v>Obese</v>
      </c>
      <c r="H1463" t="str">
        <f t="shared" si="91"/>
        <v>OK</v>
      </c>
      <c r="I1463" t="str">
        <f t="shared" si="88"/>
        <v>OK</v>
      </c>
    </row>
    <row r="1464" spans="1:9" x14ac:dyDescent="0.2">
      <c r="A1464" t="str">
        <f>ObesityDataSet_raw_and_data_sin!A1464</f>
        <v>Male</v>
      </c>
      <c r="B1464">
        <f>ObesityDataSet_raw_and_data_sin!C1464</f>
        <v>1.7746440000000001</v>
      </c>
      <c r="C1464">
        <f>ObesityDataSet_raw_and_data_sin!D1464</f>
        <v>105.966894</v>
      </c>
      <c r="D1464" t="str">
        <f>ObesityDataSet_raw_and_data_sin!Q1464</f>
        <v>Obesity_Type_I</v>
      </c>
      <c r="E1464" t="b">
        <f t="shared" si="89"/>
        <v>0</v>
      </c>
      <c r="F1464">
        <f>C1464/(B1464*B1464)</f>
        <v>33.647105875216972</v>
      </c>
      <c r="G1464" t="str">
        <f t="shared" si="90"/>
        <v>Obese</v>
      </c>
      <c r="H1464" t="str">
        <f t="shared" si="91"/>
        <v>OK</v>
      </c>
      <c r="I1464" t="str">
        <f t="shared" si="88"/>
        <v>OK</v>
      </c>
    </row>
    <row r="1465" spans="1:9" x14ac:dyDescent="0.2">
      <c r="A1465" t="str">
        <f>ObesityDataSet_raw_and_data_sin!A1465</f>
        <v>Male</v>
      </c>
      <c r="B1465">
        <f>ObesityDataSet_raw_and_data_sin!C1465</f>
        <v>1.7822690000000001</v>
      </c>
      <c r="C1465">
        <f>ObesityDataSet_raw_and_data_sin!D1465</f>
        <v>104.97002999999999</v>
      </c>
      <c r="D1465" t="str">
        <f>ObesityDataSet_raw_and_data_sin!Q1465</f>
        <v>Obesity_Type_I</v>
      </c>
      <c r="E1465" t="b">
        <f t="shared" si="89"/>
        <v>0</v>
      </c>
      <c r="F1465">
        <f>C1465/(B1465*B1465)</f>
        <v>33.045993633153721</v>
      </c>
      <c r="G1465" t="str">
        <f t="shared" si="90"/>
        <v>Obese</v>
      </c>
      <c r="H1465" t="str">
        <f t="shared" si="91"/>
        <v>OK</v>
      </c>
      <c r="I1465" t="str">
        <f t="shared" si="88"/>
        <v>OK</v>
      </c>
    </row>
    <row r="1466" spans="1:9" x14ac:dyDescent="0.2">
      <c r="A1466" t="str">
        <f>ObesityDataSet_raw_and_data_sin!A1466</f>
        <v>Male</v>
      </c>
      <c r="B1466">
        <f>ObesityDataSet_raw_and_data_sin!C1466</f>
        <v>1.780791</v>
      </c>
      <c r="C1466">
        <f>ObesityDataSet_raw_and_data_sin!D1466</f>
        <v>102.921218</v>
      </c>
      <c r="D1466" t="str">
        <f>ObesityDataSet_raw_and_data_sin!Q1466</f>
        <v>Obesity_Type_I</v>
      </c>
      <c r="E1466" t="b">
        <f t="shared" si="89"/>
        <v>0</v>
      </c>
      <c r="F1466">
        <f>C1466/(B1466*B1466)</f>
        <v>32.454805661877643</v>
      </c>
      <c r="G1466" t="str">
        <f t="shared" si="90"/>
        <v>Obese</v>
      </c>
      <c r="H1466" t="str">
        <f t="shared" si="91"/>
        <v>OK</v>
      </c>
      <c r="I1466" t="str">
        <f t="shared" si="88"/>
        <v>OK</v>
      </c>
    </row>
    <row r="1467" spans="1:9" x14ac:dyDescent="0.2">
      <c r="A1467" t="str">
        <f>ObesityDataSet_raw_and_data_sin!A1467</f>
        <v>Male</v>
      </c>
      <c r="B1467">
        <f>ObesityDataSet_raw_and_data_sin!C1467</f>
        <v>1.790151</v>
      </c>
      <c r="C1467">
        <f>ObesityDataSet_raw_and_data_sin!D1467</f>
        <v>106.32068599999999</v>
      </c>
      <c r="D1467" t="str">
        <f>ObesityDataSet_raw_and_data_sin!Q1467</f>
        <v>Obesity_Type_I</v>
      </c>
      <c r="E1467" t="b">
        <f t="shared" si="89"/>
        <v>0</v>
      </c>
      <c r="F1467">
        <f>C1467/(B1467*B1467)</f>
        <v>33.17710132832709</v>
      </c>
      <c r="G1467" t="str">
        <f t="shared" si="90"/>
        <v>Obese</v>
      </c>
      <c r="H1467" t="str">
        <f t="shared" si="91"/>
        <v>OK</v>
      </c>
      <c r="I1467" t="str">
        <f t="shared" si="88"/>
        <v>OK</v>
      </c>
    </row>
    <row r="1468" spans="1:9" x14ac:dyDescent="0.2">
      <c r="A1468" t="str">
        <f>ObesityDataSet_raw_and_data_sin!A1468</f>
        <v>Male</v>
      </c>
      <c r="B1468">
        <f>ObesityDataSet_raw_and_data_sin!C1468</f>
        <v>1.818641</v>
      </c>
      <c r="C1468">
        <f>ObesityDataSet_raw_and_data_sin!D1468</f>
        <v>105.49697500000001</v>
      </c>
      <c r="D1468" t="str">
        <f>ObesityDataSet_raw_and_data_sin!Q1468</f>
        <v>Obesity_Type_I</v>
      </c>
      <c r="E1468" t="b">
        <f t="shared" si="89"/>
        <v>0</v>
      </c>
      <c r="F1468">
        <f>C1468/(B1468*B1468)</f>
        <v>31.896721868863196</v>
      </c>
      <c r="G1468" t="str">
        <f t="shared" si="90"/>
        <v>Obese</v>
      </c>
      <c r="H1468" t="str">
        <f t="shared" si="91"/>
        <v>OK</v>
      </c>
      <c r="I1468" t="str">
        <f t="shared" si="88"/>
        <v>OK</v>
      </c>
    </row>
    <row r="1469" spans="1:9" x14ac:dyDescent="0.2">
      <c r="A1469" t="str">
        <f>ObesityDataSet_raw_and_data_sin!A1469</f>
        <v>Male</v>
      </c>
      <c r="B1469">
        <f>ObesityDataSet_raw_and_data_sin!C1469</f>
        <v>1.806827</v>
      </c>
      <c r="C1469">
        <f>ObesityDataSet_raw_and_data_sin!D1469</f>
        <v>108.82939500000001</v>
      </c>
      <c r="D1469" t="str">
        <f>ObesityDataSet_raw_and_data_sin!Q1469</f>
        <v>Obesity_Type_I</v>
      </c>
      <c r="E1469" t="b">
        <f t="shared" si="89"/>
        <v>0</v>
      </c>
      <c r="F1469">
        <f>C1469/(B1469*B1469)</f>
        <v>33.335968063358209</v>
      </c>
      <c r="G1469" t="str">
        <f t="shared" si="90"/>
        <v>Obese</v>
      </c>
      <c r="H1469" t="str">
        <f t="shared" si="91"/>
        <v>OK</v>
      </c>
      <c r="I1469" t="str">
        <f t="shared" si="88"/>
        <v>OK</v>
      </c>
    </row>
    <row r="1470" spans="1:9" x14ac:dyDescent="0.2">
      <c r="A1470" t="str">
        <f>ObesityDataSet_raw_and_data_sin!A1470</f>
        <v>Male</v>
      </c>
      <c r="B1470">
        <f>ObesityDataSet_raw_and_data_sin!C1470</f>
        <v>1.8111889999999999</v>
      </c>
      <c r="C1470">
        <f>ObesityDataSet_raw_and_data_sin!D1470</f>
        <v>108.80096399999999</v>
      </c>
      <c r="D1470" t="str">
        <f>ObesityDataSet_raw_and_data_sin!Q1470</f>
        <v>Obesity_Type_I</v>
      </c>
      <c r="E1470" t="b">
        <f t="shared" si="89"/>
        <v>0</v>
      </c>
      <c r="F1470">
        <f>C1470/(B1470*B1470)</f>
        <v>33.166924299926542</v>
      </c>
      <c r="G1470" t="str">
        <f t="shared" si="90"/>
        <v>Obese</v>
      </c>
      <c r="H1470" t="str">
        <f t="shared" si="91"/>
        <v>OK</v>
      </c>
      <c r="I1470" t="str">
        <f t="shared" si="88"/>
        <v>OK</v>
      </c>
    </row>
    <row r="1471" spans="1:9" x14ac:dyDescent="0.2">
      <c r="A1471" t="str">
        <f>ObesityDataSet_raw_and_data_sin!A1471</f>
        <v>Male</v>
      </c>
      <c r="B1471">
        <f>ObesityDataSet_raw_and_data_sin!C1471</f>
        <v>1.8117380000000001</v>
      </c>
      <c r="C1471">
        <f>ObesityDataSet_raw_and_data_sin!D1471</f>
        <v>108.897324</v>
      </c>
      <c r="D1471" t="str">
        <f>ObesityDataSet_raw_and_data_sin!Q1471</f>
        <v>Obesity_Type_I</v>
      </c>
      <c r="E1471" t="b">
        <f t="shared" si="89"/>
        <v>0</v>
      </c>
      <c r="F1471">
        <f>C1471/(B1471*B1471)</f>
        <v>33.176183217629649</v>
      </c>
      <c r="G1471" t="str">
        <f t="shared" si="90"/>
        <v>Obese</v>
      </c>
      <c r="H1471" t="str">
        <f t="shared" si="91"/>
        <v>OK</v>
      </c>
      <c r="I1471" t="str">
        <f t="shared" si="88"/>
        <v>OK</v>
      </c>
    </row>
    <row r="1472" spans="1:9" x14ac:dyDescent="0.2">
      <c r="A1472" t="str">
        <f>ObesityDataSet_raw_and_data_sin!A1472</f>
        <v>Male</v>
      </c>
      <c r="B1472">
        <f>ObesityDataSet_raw_and_data_sin!C1472</f>
        <v>1.799779</v>
      </c>
      <c r="C1472">
        <f>ObesityDataSet_raw_and_data_sin!D1472</f>
        <v>108.934574</v>
      </c>
      <c r="D1472" t="str">
        <f>ObesityDataSet_raw_and_data_sin!Q1472</f>
        <v>Obesity_Type_I</v>
      </c>
      <c r="E1472" t="b">
        <f t="shared" si="89"/>
        <v>0</v>
      </c>
      <c r="F1472">
        <f>C1472/(B1472*B1472)</f>
        <v>33.630039634879239</v>
      </c>
      <c r="G1472" t="str">
        <f t="shared" si="90"/>
        <v>Obese</v>
      </c>
      <c r="H1472" t="str">
        <f t="shared" si="91"/>
        <v>OK</v>
      </c>
      <c r="I1472" t="str">
        <f t="shared" si="88"/>
        <v>OK</v>
      </c>
    </row>
    <row r="1473" spans="1:9" x14ac:dyDescent="0.2">
      <c r="A1473" t="str">
        <f>ObesityDataSet_raw_and_data_sin!A1473</f>
        <v>Female</v>
      </c>
      <c r="B1473">
        <f>ObesityDataSet_raw_and_data_sin!C1473</f>
        <v>1.6326050000000001</v>
      </c>
      <c r="C1473">
        <f>ObesityDataSet_raw_and_data_sin!D1473</f>
        <v>82</v>
      </c>
      <c r="D1473" t="str">
        <f>ObesityDataSet_raw_and_data_sin!Q1473</f>
        <v>Obesity_Type_I</v>
      </c>
      <c r="E1473" t="b">
        <f t="shared" si="89"/>
        <v>0</v>
      </c>
      <c r="F1473">
        <f>C1473/(B1473*B1473)</f>
        <v>30.764623740563131</v>
      </c>
      <c r="G1473" t="str">
        <f t="shared" si="90"/>
        <v>Obese</v>
      </c>
      <c r="H1473" t="str">
        <f t="shared" si="91"/>
        <v>OK</v>
      </c>
      <c r="I1473" t="str">
        <f t="shared" si="88"/>
        <v>OK</v>
      </c>
    </row>
    <row r="1474" spans="1:9" x14ac:dyDescent="0.2">
      <c r="A1474" t="str">
        <f>ObesityDataSet_raw_and_data_sin!A1474</f>
        <v>Female</v>
      </c>
      <c r="B1474">
        <f>ObesityDataSet_raw_and_data_sin!C1474</f>
        <v>1.6233770000000001</v>
      </c>
      <c r="C1474">
        <f>ObesityDataSet_raw_and_data_sin!D1474</f>
        <v>82.851318000000006</v>
      </c>
      <c r="D1474" t="str">
        <f>ObesityDataSet_raw_and_data_sin!Q1474</f>
        <v>Obesity_Type_I</v>
      </c>
      <c r="E1474" t="b">
        <f t="shared" si="89"/>
        <v>0</v>
      </c>
      <c r="F1474">
        <f>C1474/(B1474*B1474)</f>
        <v>31.438415135581682</v>
      </c>
      <c r="G1474" t="str">
        <f t="shared" si="90"/>
        <v>Obese</v>
      </c>
      <c r="H1474" t="str">
        <f t="shared" si="91"/>
        <v>OK</v>
      </c>
      <c r="I1474" t="str">
        <f t="shared" ref="I1474:I1537" si="92">IF(AND(LEFT(D1474,10)="Overweight",G1474&lt;&gt;"Overweight"),"ERROR","OK")</f>
        <v>OK</v>
      </c>
    </row>
    <row r="1475" spans="1:9" x14ac:dyDescent="0.2">
      <c r="A1475" t="str">
        <f>ObesityDataSet_raw_and_data_sin!A1475</f>
        <v>Female</v>
      </c>
      <c r="B1475">
        <f>ObesityDataSet_raw_and_data_sin!C1475</f>
        <v>1.6186860000000001</v>
      </c>
      <c r="C1475">
        <f>ObesityDataSet_raw_and_data_sin!D1475</f>
        <v>81.281577999999996</v>
      </c>
      <c r="D1475" t="str">
        <f>ObesityDataSet_raw_and_data_sin!Q1475</f>
        <v>Obesity_Type_I</v>
      </c>
      <c r="E1475" t="b">
        <f t="shared" ref="E1475:E1538" si="93">IF(AND(A1475="Female", B1475&lt;1.5), TRUE, IF(AND(A1475="Male",B1475&lt;1.6),TRUE, FALSE))</f>
        <v>0</v>
      </c>
      <c r="F1475">
        <f>C1475/(B1475*B1475)</f>
        <v>31.021793698183959</v>
      </c>
      <c r="G1475" t="str">
        <f t="shared" ref="G1475:G1538" si="94">IF(E1475=TRUE,IF(F1475&lt;23,"Normal",IF(F1475&lt;25,"Overweight","Obese")),IF(F1475&lt;25,"Normal",IF(F1475&lt;30,"Overweight","Obese")))</f>
        <v>Obese</v>
      </c>
      <c r="H1475" t="str">
        <f t="shared" ref="H1475:H1538" si="95">IF(AND(D1475="Normal_Weight",G1475&lt;&gt;"Normal"),"ERROR","OK")</f>
        <v>OK</v>
      </c>
      <c r="I1475" t="str">
        <f t="shared" si="92"/>
        <v>OK</v>
      </c>
    </row>
    <row r="1476" spans="1:9" x14ac:dyDescent="0.2">
      <c r="A1476" t="str">
        <f>ObesityDataSet_raw_and_data_sin!A1476</f>
        <v>Female</v>
      </c>
      <c r="B1476">
        <f>ObesityDataSet_raw_and_data_sin!C1476</f>
        <v>1.616085</v>
      </c>
      <c r="C1476">
        <f>ObesityDataSet_raw_and_data_sin!D1476</f>
        <v>82.582954000000001</v>
      </c>
      <c r="D1476" t="str">
        <f>ObesityDataSet_raw_and_data_sin!Q1476</f>
        <v>Obesity_Type_I</v>
      </c>
      <c r="E1476" t="b">
        <f t="shared" si="93"/>
        <v>0</v>
      </c>
      <c r="F1476">
        <f>C1476/(B1476*B1476)</f>
        <v>31.620010875985493</v>
      </c>
      <c r="G1476" t="str">
        <f t="shared" si="94"/>
        <v>Obese</v>
      </c>
      <c r="H1476" t="str">
        <f t="shared" si="95"/>
        <v>OK</v>
      </c>
      <c r="I1476" t="str">
        <f t="shared" si="92"/>
        <v>OK</v>
      </c>
    </row>
    <row r="1477" spans="1:9" x14ac:dyDescent="0.2">
      <c r="A1477" t="str">
        <f>ObesityDataSet_raw_and_data_sin!A1477</f>
        <v>Male</v>
      </c>
      <c r="B1477">
        <f>ObesityDataSet_raw_and_data_sin!C1477</f>
        <v>1.769328</v>
      </c>
      <c r="C1477">
        <f>ObesityDataSet_raw_and_data_sin!D1477</f>
        <v>105.000576</v>
      </c>
      <c r="D1477" t="str">
        <f>ObesityDataSet_raw_and_data_sin!Q1477</f>
        <v>Obesity_Type_I</v>
      </c>
      <c r="E1477" t="b">
        <f t="shared" si="93"/>
        <v>0</v>
      </c>
      <c r="F1477">
        <f>C1477/(B1477*B1477)</f>
        <v>33.540920769592773</v>
      </c>
      <c r="G1477" t="str">
        <f t="shared" si="94"/>
        <v>Obese</v>
      </c>
      <c r="H1477" t="str">
        <f t="shared" si="95"/>
        <v>OK</v>
      </c>
      <c r="I1477" t="str">
        <f t="shared" si="92"/>
        <v>OK</v>
      </c>
    </row>
    <row r="1478" spans="1:9" x14ac:dyDescent="0.2">
      <c r="A1478" t="str">
        <f>ObesityDataSet_raw_and_data_sin!A1478</f>
        <v>Male</v>
      </c>
      <c r="B1478">
        <f>ObesityDataSet_raw_and_data_sin!C1478</f>
        <v>1.807029</v>
      </c>
      <c r="C1478">
        <f>ObesityDataSet_raw_and_data_sin!D1478</f>
        <v>105.696358</v>
      </c>
      <c r="D1478" t="str">
        <f>ObesityDataSet_raw_and_data_sin!Q1478</f>
        <v>Obesity_Type_I</v>
      </c>
      <c r="E1478" t="b">
        <f t="shared" si="93"/>
        <v>0</v>
      </c>
      <c r="F1478">
        <f>C1478/(B1478*B1478)</f>
        <v>32.369036941284406</v>
      </c>
      <c r="G1478" t="str">
        <f t="shared" si="94"/>
        <v>Obese</v>
      </c>
      <c r="H1478" t="str">
        <f t="shared" si="95"/>
        <v>OK</v>
      </c>
      <c r="I1478" t="str">
        <f t="shared" si="92"/>
        <v>OK</v>
      </c>
    </row>
    <row r="1479" spans="1:9" x14ac:dyDescent="0.2">
      <c r="A1479" t="str">
        <f>ObesityDataSet_raw_and_data_sin!A1479</f>
        <v>Male</v>
      </c>
      <c r="B1479">
        <f>ObesityDataSet_raw_and_data_sin!C1479</f>
        <v>1.882533</v>
      </c>
      <c r="C1479">
        <f>ObesityDataSet_raw_and_data_sin!D1479</f>
        <v>117.46851599999999</v>
      </c>
      <c r="D1479" t="str">
        <f>ObesityDataSet_raw_and_data_sin!Q1479</f>
        <v>Obesity_Type_I</v>
      </c>
      <c r="E1479" t="b">
        <f t="shared" si="93"/>
        <v>0</v>
      </c>
      <c r="F1479">
        <f>C1479/(B1479*B1479)</f>
        <v>33.146393849889421</v>
      </c>
      <c r="G1479" t="str">
        <f t="shared" si="94"/>
        <v>Obese</v>
      </c>
      <c r="H1479" t="str">
        <f t="shared" si="95"/>
        <v>OK</v>
      </c>
      <c r="I1479" t="str">
        <f t="shared" si="92"/>
        <v>OK</v>
      </c>
    </row>
    <row r="1480" spans="1:9" x14ac:dyDescent="0.2">
      <c r="A1480" t="str">
        <f>ObesityDataSet_raw_and_data_sin!A1480</f>
        <v>Male</v>
      </c>
      <c r="B1480">
        <f>ObesityDataSet_raw_and_data_sin!C1480</f>
        <v>1.8791439999999999</v>
      </c>
      <c r="C1480">
        <f>ObesityDataSet_raw_and_data_sin!D1480</f>
        <v>112.932984</v>
      </c>
      <c r="D1480" t="str">
        <f>ObesityDataSet_raw_and_data_sin!Q1480</f>
        <v>Obesity_Type_I</v>
      </c>
      <c r="E1480" t="b">
        <f t="shared" si="93"/>
        <v>0</v>
      </c>
      <c r="F1480">
        <f>C1480/(B1480*B1480)</f>
        <v>31.981636312039448</v>
      </c>
      <c r="G1480" t="str">
        <f t="shared" si="94"/>
        <v>Obese</v>
      </c>
      <c r="H1480" t="str">
        <f t="shared" si="95"/>
        <v>OK</v>
      </c>
      <c r="I1480" t="str">
        <f t="shared" si="92"/>
        <v>OK</v>
      </c>
    </row>
    <row r="1481" spans="1:9" x14ac:dyDescent="0.2">
      <c r="A1481" t="str">
        <f>ObesityDataSet_raw_and_data_sin!A1481</f>
        <v>Male</v>
      </c>
      <c r="B1481">
        <f>ObesityDataSet_raw_and_data_sin!C1481</f>
        <v>1.931263</v>
      </c>
      <c r="C1481">
        <f>ObesityDataSet_raw_and_data_sin!D1481</f>
        <v>118.20313</v>
      </c>
      <c r="D1481" t="str">
        <f>ObesityDataSet_raw_and_data_sin!Q1481</f>
        <v>Obesity_Type_I</v>
      </c>
      <c r="E1481" t="b">
        <f t="shared" si="93"/>
        <v>0</v>
      </c>
      <c r="F1481">
        <f>C1481/(B1481*B1481)</f>
        <v>31.691743802722378</v>
      </c>
      <c r="G1481" t="str">
        <f t="shared" si="94"/>
        <v>Obese</v>
      </c>
      <c r="H1481" t="str">
        <f t="shared" si="95"/>
        <v>OK</v>
      </c>
      <c r="I1481" t="str">
        <f t="shared" si="92"/>
        <v>OK</v>
      </c>
    </row>
    <row r="1482" spans="1:9" x14ac:dyDescent="0.2">
      <c r="A1482" t="str">
        <f>ObesityDataSet_raw_and_data_sin!A1482</f>
        <v>Male</v>
      </c>
      <c r="B1482">
        <f>ObesityDataSet_raw_and_data_sin!C1482</f>
        <v>1.8613580000000001</v>
      </c>
      <c r="C1482">
        <f>ObesityDataSet_raw_and_data_sin!D1482</f>
        <v>115.39792</v>
      </c>
      <c r="D1482" t="str">
        <f>ObesityDataSet_raw_and_data_sin!Q1482</f>
        <v>Obesity_Type_I</v>
      </c>
      <c r="E1482" t="b">
        <f t="shared" si="93"/>
        <v>0</v>
      </c>
      <c r="F1482">
        <f>C1482/(B1482*B1482)</f>
        <v>33.30720273487335</v>
      </c>
      <c r="G1482" t="str">
        <f t="shared" si="94"/>
        <v>Obese</v>
      </c>
      <c r="H1482" t="str">
        <f t="shared" si="95"/>
        <v>OK</v>
      </c>
      <c r="I1482" t="str">
        <f t="shared" si="92"/>
        <v>OK</v>
      </c>
    </row>
    <row r="1483" spans="1:9" x14ac:dyDescent="0.2">
      <c r="A1483" t="str">
        <f>ObesityDataSet_raw_and_data_sin!A1483</f>
        <v>Female</v>
      </c>
      <c r="B1483">
        <f>ObesityDataSet_raw_and_data_sin!C1483</f>
        <v>1.5671310000000001</v>
      </c>
      <c r="C1483">
        <f>ObesityDataSet_raw_and_data_sin!D1483</f>
        <v>80</v>
      </c>
      <c r="D1483" t="str">
        <f>ObesityDataSet_raw_and_data_sin!Q1483</f>
        <v>Obesity_Type_I</v>
      </c>
      <c r="E1483" t="b">
        <f t="shared" si="93"/>
        <v>0</v>
      </c>
      <c r="F1483">
        <f>C1483/(B1483*B1483)</f>
        <v>32.574621918346949</v>
      </c>
      <c r="G1483" t="str">
        <f t="shared" si="94"/>
        <v>Obese</v>
      </c>
      <c r="H1483" t="str">
        <f t="shared" si="95"/>
        <v>OK</v>
      </c>
      <c r="I1483" t="str">
        <f t="shared" si="92"/>
        <v>OK</v>
      </c>
    </row>
    <row r="1484" spans="1:9" x14ac:dyDescent="0.2">
      <c r="A1484" t="str">
        <f>ObesityDataSet_raw_and_data_sin!A1484</f>
        <v>Female</v>
      </c>
      <c r="B1484">
        <f>ObesityDataSet_raw_and_data_sin!C1484</f>
        <v>1.565366</v>
      </c>
      <c r="C1484">
        <f>ObesityDataSet_raw_and_data_sin!D1484</f>
        <v>80</v>
      </c>
      <c r="D1484" t="str">
        <f>ObesityDataSet_raw_and_data_sin!Q1484</f>
        <v>Obesity_Type_I</v>
      </c>
      <c r="E1484" t="b">
        <f t="shared" si="93"/>
        <v>0</v>
      </c>
      <c r="F1484">
        <f>C1484/(B1484*B1484)</f>
        <v>32.648121177894765</v>
      </c>
      <c r="G1484" t="str">
        <f t="shared" si="94"/>
        <v>Obese</v>
      </c>
      <c r="H1484" t="str">
        <f t="shared" si="95"/>
        <v>OK</v>
      </c>
      <c r="I1484" t="str">
        <f t="shared" si="92"/>
        <v>OK</v>
      </c>
    </row>
    <row r="1485" spans="1:9" x14ac:dyDescent="0.2">
      <c r="A1485" t="str">
        <f>ObesityDataSet_raw_and_data_sin!A1485</f>
        <v>Female</v>
      </c>
      <c r="B1485">
        <f>ObesityDataSet_raw_and_data_sin!C1485</f>
        <v>1.5160070000000001</v>
      </c>
      <c r="C1485">
        <f>ObesityDataSet_raw_and_data_sin!D1485</f>
        <v>77.033049000000005</v>
      </c>
      <c r="D1485" t="str">
        <f>ObesityDataSet_raw_and_data_sin!Q1485</f>
        <v>Obesity_Type_I</v>
      </c>
      <c r="E1485" t="b">
        <f t="shared" si="93"/>
        <v>0</v>
      </c>
      <c r="F1485">
        <f>C1485/(B1485*B1485)</f>
        <v>33.517735891010865</v>
      </c>
      <c r="G1485" t="str">
        <f t="shared" si="94"/>
        <v>Obese</v>
      </c>
      <c r="H1485" t="str">
        <f t="shared" si="95"/>
        <v>OK</v>
      </c>
      <c r="I1485" t="str">
        <f t="shared" si="92"/>
        <v>OK</v>
      </c>
    </row>
    <row r="1486" spans="1:9" x14ac:dyDescent="0.2">
      <c r="A1486" t="str">
        <f>ObesityDataSet_raw_and_data_sin!A1486</f>
        <v>Female</v>
      </c>
      <c r="B1486">
        <f>ObesityDataSet_raw_and_data_sin!C1486</f>
        <v>1.549812</v>
      </c>
      <c r="C1486">
        <f>ObesityDataSet_raw_and_data_sin!D1486</f>
        <v>76.082516999999996</v>
      </c>
      <c r="D1486" t="str">
        <f>ObesityDataSet_raw_and_data_sin!Q1486</f>
        <v>Obesity_Type_I</v>
      </c>
      <c r="E1486" t="b">
        <f t="shared" si="93"/>
        <v>0</v>
      </c>
      <c r="F1486">
        <f>C1486/(B1486*B1486)</f>
        <v>31.675744642843007</v>
      </c>
      <c r="G1486" t="str">
        <f t="shared" si="94"/>
        <v>Obese</v>
      </c>
      <c r="H1486" t="str">
        <f t="shared" si="95"/>
        <v>OK</v>
      </c>
      <c r="I1486" t="str">
        <f t="shared" si="92"/>
        <v>OK</v>
      </c>
    </row>
    <row r="1487" spans="1:9" x14ac:dyDescent="0.2">
      <c r="A1487" t="str">
        <f>ObesityDataSet_raw_and_data_sin!A1487</f>
        <v>Male</v>
      </c>
      <c r="B1487">
        <f>ObesityDataSet_raw_and_data_sin!C1487</f>
        <v>1.714143</v>
      </c>
      <c r="C1487">
        <f>ObesityDataSet_raw_and_data_sin!D1487</f>
        <v>96.568814000000003</v>
      </c>
      <c r="D1487" t="str">
        <f>ObesityDataSet_raw_and_data_sin!Q1487</f>
        <v>Obesity_Type_I</v>
      </c>
      <c r="E1487" t="b">
        <f t="shared" si="93"/>
        <v>0</v>
      </c>
      <c r="F1487">
        <f>C1487/(B1487*B1487)</f>
        <v>32.865693340719048</v>
      </c>
      <c r="G1487" t="str">
        <f t="shared" si="94"/>
        <v>Obese</v>
      </c>
      <c r="H1487" t="str">
        <f t="shared" si="95"/>
        <v>OK</v>
      </c>
      <c r="I1487" t="str">
        <f t="shared" si="92"/>
        <v>OK</v>
      </c>
    </row>
    <row r="1488" spans="1:9" x14ac:dyDescent="0.2">
      <c r="A1488" t="str">
        <f>ObesityDataSet_raw_and_data_sin!A1488</f>
        <v>Male</v>
      </c>
      <c r="B1488">
        <f>ObesityDataSet_raw_and_data_sin!C1488</f>
        <v>1.7231909999999999</v>
      </c>
      <c r="C1488">
        <f>ObesityDataSet_raw_and_data_sin!D1488</f>
        <v>97.350365999999994</v>
      </c>
      <c r="D1488" t="str">
        <f>ObesityDataSet_raw_and_data_sin!Q1488</f>
        <v>Obesity_Type_I</v>
      </c>
      <c r="E1488" t="b">
        <f t="shared" si="93"/>
        <v>0</v>
      </c>
      <c r="F1488">
        <f>C1488/(B1488*B1488)</f>
        <v>32.784665220813217</v>
      </c>
      <c r="G1488" t="str">
        <f t="shared" si="94"/>
        <v>Obese</v>
      </c>
      <c r="H1488" t="str">
        <f t="shared" si="95"/>
        <v>OK</v>
      </c>
      <c r="I1488" t="str">
        <f t="shared" si="92"/>
        <v>OK</v>
      </c>
    </row>
    <row r="1489" spans="1:9" x14ac:dyDescent="0.2">
      <c r="A1489" t="str">
        <f>ObesityDataSet_raw_and_data_sin!A1489</f>
        <v>Female</v>
      </c>
      <c r="B1489">
        <f>ObesityDataSet_raw_and_data_sin!C1489</f>
        <v>1.562889</v>
      </c>
      <c r="C1489">
        <f>ObesityDataSet_raw_and_data_sin!D1489</f>
        <v>76.659490000000005</v>
      </c>
      <c r="D1489" t="str">
        <f>ObesityDataSet_raw_and_data_sin!Q1489</f>
        <v>Obesity_Type_I</v>
      </c>
      <c r="E1489" t="b">
        <f t="shared" si="93"/>
        <v>0</v>
      </c>
      <c r="F1489">
        <f>C1489/(B1489*B1489)</f>
        <v>31.384098388510029</v>
      </c>
      <c r="G1489" t="str">
        <f t="shared" si="94"/>
        <v>Obese</v>
      </c>
      <c r="H1489" t="str">
        <f t="shared" si="95"/>
        <v>OK</v>
      </c>
      <c r="I1489" t="str">
        <f t="shared" si="92"/>
        <v>OK</v>
      </c>
    </row>
    <row r="1490" spans="1:9" x14ac:dyDescent="0.2">
      <c r="A1490" t="str">
        <f>ObesityDataSet_raw_and_data_sin!A1490</f>
        <v>Female</v>
      </c>
      <c r="B1490">
        <f>ObesityDataSet_raw_and_data_sin!C1490</f>
        <v>1.5026090000000001</v>
      </c>
      <c r="C1490">
        <f>ObesityDataSet_raw_and_data_sin!D1490</f>
        <v>75.279605000000004</v>
      </c>
      <c r="D1490" t="str">
        <f>ObesityDataSet_raw_and_data_sin!Q1490</f>
        <v>Obesity_Type_I</v>
      </c>
      <c r="E1490" t="b">
        <f t="shared" si="93"/>
        <v>0</v>
      </c>
      <c r="F1490">
        <f>C1490/(B1490*B1490)</f>
        <v>33.341517329830481</v>
      </c>
      <c r="G1490" t="str">
        <f t="shared" si="94"/>
        <v>Obese</v>
      </c>
      <c r="H1490" t="str">
        <f t="shared" si="95"/>
        <v>OK</v>
      </c>
      <c r="I1490" t="str">
        <f t="shared" si="92"/>
        <v>OK</v>
      </c>
    </row>
    <row r="1491" spans="1:9" x14ac:dyDescent="0.2">
      <c r="A1491" t="str">
        <f>ObesityDataSet_raw_and_data_sin!A1491</f>
        <v>Female</v>
      </c>
      <c r="B1491">
        <f>ObesityDataSet_raw_and_data_sin!C1491</f>
        <v>1.544937</v>
      </c>
      <c r="C1491">
        <f>ObesityDataSet_raw_and_data_sin!D1491</f>
        <v>77.053948000000005</v>
      </c>
      <c r="D1491" t="str">
        <f>ObesityDataSet_raw_and_data_sin!Q1491</f>
        <v>Obesity_Type_I</v>
      </c>
      <c r="E1491" t="b">
        <f t="shared" si="93"/>
        <v>0</v>
      </c>
      <c r="F1491">
        <f>C1491/(B1491*B1491)</f>
        <v>32.282959916915814</v>
      </c>
      <c r="G1491" t="str">
        <f t="shared" si="94"/>
        <v>Obese</v>
      </c>
      <c r="H1491" t="str">
        <f t="shared" si="95"/>
        <v>OK</v>
      </c>
      <c r="I1491" t="str">
        <f t="shared" si="92"/>
        <v>OK</v>
      </c>
    </row>
    <row r="1492" spans="1:9" x14ac:dyDescent="0.2">
      <c r="A1492" t="str">
        <f>ObesityDataSet_raw_and_data_sin!A1492</f>
        <v>Female</v>
      </c>
      <c r="B1492">
        <f>ObesityDataSet_raw_and_data_sin!C1492</f>
        <v>1.5923160000000001</v>
      </c>
      <c r="C1492">
        <f>ObesityDataSet_raw_and_data_sin!D1492</f>
        <v>77.00103</v>
      </c>
      <c r="D1492" t="str">
        <f>ObesityDataSet_raw_and_data_sin!Q1492</f>
        <v>Obesity_Type_I</v>
      </c>
      <c r="E1492" t="b">
        <f t="shared" si="93"/>
        <v>0</v>
      </c>
      <c r="F1492">
        <f>C1492/(B1492*B1492)</f>
        <v>30.369526199958511</v>
      </c>
      <c r="G1492" t="str">
        <f t="shared" si="94"/>
        <v>Obese</v>
      </c>
      <c r="H1492" t="str">
        <f t="shared" si="95"/>
        <v>OK</v>
      </c>
      <c r="I1492" t="str">
        <f t="shared" si="92"/>
        <v>OK</v>
      </c>
    </row>
    <row r="1493" spans="1:9" x14ac:dyDescent="0.2">
      <c r="A1493" t="str">
        <f>ObesityDataSet_raw_and_data_sin!A1493</f>
        <v>Male</v>
      </c>
      <c r="B1493">
        <f>ObesityDataSet_raw_and_data_sin!C1493</f>
        <v>1.787733</v>
      </c>
      <c r="C1493">
        <f>ObesityDataSet_raw_and_data_sin!D1493</f>
        <v>108.019211</v>
      </c>
      <c r="D1493" t="str">
        <f>ObesityDataSet_raw_and_data_sin!Q1493</f>
        <v>Obesity_Type_I</v>
      </c>
      <c r="E1493" t="b">
        <f t="shared" si="93"/>
        <v>0</v>
      </c>
      <c r="F1493">
        <f>C1493/(B1493*B1493)</f>
        <v>33.798364625312708</v>
      </c>
      <c r="G1493" t="str">
        <f t="shared" si="94"/>
        <v>Obese</v>
      </c>
      <c r="H1493" t="str">
        <f t="shared" si="95"/>
        <v>OK</v>
      </c>
      <c r="I1493" t="str">
        <f t="shared" si="92"/>
        <v>OK</v>
      </c>
    </row>
    <row r="1494" spans="1:9" x14ac:dyDescent="0.2">
      <c r="A1494" t="str">
        <f>ObesityDataSet_raw_and_data_sin!A1494</f>
        <v>Male</v>
      </c>
      <c r="B1494">
        <f>ObesityDataSet_raw_and_data_sin!C1494</f>
        <v>1.7827219999999999</v>
      </c>
      <c r="C1494">
        <f>ObesityDataSet_raw_and_data_sin!D1494</f>
        <v>108.044313</v>
      </c>
      <c r="D1494" t="str">
        <f>ObesityDataSet_raw_and_data_sin!Q1494</f>
        <v>Obesity_Type_I</v>
      </c>
      <c r="E1494" t="b">
        <f t="shared" si="93"/>
        <v>0</v>
      </c>
      <c r="F1494">
        <f>C1494/(B1494*B1494)</f>
        <v>33.996535727786302</v>
      </c>
      <c r="G1494" t="str">
        <f t="shared" si="94"/>
        <v>Obese</v>
      </c>
      <c r="H1494" t="str">
        <f t="shared" si="95"/>
        <v>OK</v>
      </c>
      <c r="I1494" t="str">
        <f t="shared" si="92"/>
        <v>OK</v>
      </c>
    </row>
    <row r="1495" spans="1:9" x14ac:dyDescent="0.2">
      <c r="A1495" t="str">
        <f>ObesityDataSet_raw_and_data_sin!A1495</f>
        <v>Male</v>
      </c>
      <c r="B1495">
        <f>ObesityDataSet_raw_and_data_sin!C1495</f>
        <v>1.797523</v>
      </c>
      <c r="C1495">
        <f>ObesityDataSet_raw_and_data_sin!D1495</f>
        <v>108.316462</v>
      </c>
      <c r="D1495" t="str">
        <f>ObesityDataSet_raw_and_data_sin!Q1495</f>
        <v>Obesity_Type_I</v>
      </c>
      <c r="E1495" t="b">
        <f t="shared" si="93"/>
        <v>0</v>
      </c>
      <c r="F1495">
        <f>C1495/(B1495*B1495)</f>
        <v>33.523206622062922</v>
      </c>
      <c r="G1495" t="str">
        <f t="shared" si="94"/>
        <v>Obese</v>
      </c>
      <c r="H1495" t="str">
        <f t="shared" si="95"/>
        <v>OK</v>
      </c>
      <c r="I1495" t="str">
        <f t="shared" si="92"/>
        <v>OK</v>
      </c>
    </row>
    <row r="1496" spans="1:9" x14ac:dyDescent="0.2">
      <c r="A1496" t="str">
        <f>ObesityDataSet_raw_and_data_sin!A1496</f>
        <v>Male</v>
      </c>
      <c r="B1496">
        <f>ObesityDataSet_raw_and_data_sin!C1496</f>
        <v>1.8035270000000001</v>
      </c>
      <c r="C1496">
        <f>ObesityDataSet_raw_and_data_sin!D1496</f>
        <v>108.25104399999999</v>
      </c>
      <c r="D1496" t="str">
        <f>ObesityDataSet_raw_and_data_sin!Q1496</f>
        <v>Obesity_Type_I</v>
      </c>
      <c r="E1496" t="b">
        <f t="shared" si="93"/>
        <v>0</v>
      </c>
      <c r="F1496">
        <f>C1496/(B1496*B1496)</f>
        <v>33.280266605358271</v>
      </c>
      <c r="G1496" t="str">
        <f t="shared" si="94"/>
        <v>Obese</v>
      </c>
      <c r="H1496" t="str">
        <f t="shared" si="95"/>
        <v>OK</v>
      </c>
      <c r="I1496" t="str">
        <f t="shared" si="92"/>
        <v>OK</v>
      </c>
    </row>
    <row r="1497" spans="1:9" x14ac:dyDescent="0.2">
      <c r="A1497" t="str">
        <f>ObesityDataSet_raw_and_data_sin!A1497</f>
        <v>Male</v>
      </c>
      <c r="B1497">
        <f>ObesityDataSet_raw_and_data_sin!C1497</f>
        <v>1.8012239999999999</v>
      </c>
      <c r="C1497">
        <f>ObesityDataSet_raw_and_data_sin!D1497</f>
        <v>108.15619</v>
      </c>
      <c r="D1497" t="str">
        <f>ObesityDataSet_raw_and_data_sin!Q1497</f>
        <v>Obesity_Type_I</v>
      </c>
      <c r="E1497" t="b">
        <f t="shared" si="93"/>
        <v>0</v>
      </c>
      <c r="F1497">
        <f>C1497/(B1497*B1497)</f>
        <v>33.336187493812112</v>
      </c>
      <c r="G1497" t="str">
        <f t="shared" si="94"/>
        <v>Obese</v>
      </c>
      <c r="H1497" t="str">
        <f t="shared" si="95"/>
        <v>OK</v>
      </c>
      <c r="I1497" t="str">
        <f t="shared" si="92"/>
        <v>OK</v>
      </c>
    </row>
    <row r="1498" spans="1:9" x14ac:dyDescent="0.2">
      <c r="A1498" t="str">
        <f>ObesityDataSet_raw_and_data_sin!A1498</f>
        <v>Male</v>
      </c>
      <c r="B1498">
        <f>ObesityDataSet_raw_and_data_sin!C1498</f>
        <v>1.8292390000000001</v>
      </c>
      <c r="C1498">
        <f>ObesityDataSet_raw_and_data_sin!D1498</f>
        <v>107.10818999999999</v>
      </c>
      <c r="D1498" t="str">
        <f>ObesityDataSet_raw_and_data_sin!Q1498</f>
        <v>Obesity_Type_I</v>
      </c>
      <c r="E1498" t="b">
        <f t="shared" si="93"/>
        <v>0</v>
      </c>
      <c r="F1498">
        <f>C1498/(B1498*B1498)</f>
        <v>32.009712692190334</v>
      </c>
      <c r="G1498" t="str">
        <f t="shared" si="94"/>
        <v>Obese</v>
      </c>
      <c r="H1498" t="str">
        <f t="shared" si="95"/>
        <v>OK</v>
      </c>
      <c r="I1498" t="str">
        <f t="shared" si="92"/>
        <v>OK</v>
      </c>
    </row>
    <row r="1499" spans="1:9" x14ac:dyDescent="0.2">
      <c r="A1499" t="str">
        <f>ObesityDataSet_raw_and_data_sin!A1499</f>
        <v>Female</v>
      </c>
      <c r="B1499">
        <f>ObesityDataSet_raw_and_data_sin!C1499</f>
        <v>1.6929129999999999</v>
      </c>
      <c r="C1499">
        <f>ObesityDataSet_raw_and_data_sin!D1499</f>
        <v>89.938890000000001</v>
      </c>
      <c r="D1499" t="str">
        <f>ObesityDataSet_raw_and_data_sin!Q1499</f>
        <v>Obesity_Type_I</v>
      </c>
      <c r="E1499" t="b">
        <f t="shared" si="93"/>
        <v>0</v>
      </c>
      <c r="F1499">
        <f>C1499/(B1499*B1499)</f>
        <v>31.381828405084899</v>
      </c>
      <c r="G1499" t="str">
        <f t="shared" si="94"/>
        <v>Obese</v>
      </c>
      <c r="H1499" t="str">
        <f t="shared" si="95"/>
        <v>OK</v>
      </c>
      <c r="I1499" t="str">
        <f t="shared" si="92"/>
        <v>OK</v>
      </c>
    </row>
    <row r="1500" spans="1:9" x14ac:dyDescent="0.2">
      <c r="A1500" t="str">
        <f>ObesityDataSet_raw_and_data_sin!A1500</f>
        <v>Female</v>
      </c>
      <c r="B1500">
        <f>ObesityDataSet_raw_and_data_sin!C1500</f>
        <v>1.668555</v>
      </c>
      <c r="C1500">
        <f>ObesityDataSet_raw_and_data_sin!D1500</f>
        <v>85.607466000000002</v>
      </c>
      <c r="D1500" t="str">
        <f>ObesityDataSet_raw_and_data_sin!Q1500</f>
        <v>Obesity_Type_I</v>
      </c>
      <c r="E1500" t="b">
        <f t="shared" si="93"/>
        <v>0</v>
      </c>
      <c r="F1500">
        <f>C1500/(B1500*B1500)</f>
        <v>30.748971119327617</v>
      </c>
      <c r="G1500" t="str">
        <f t="shared" si="94"/>
        <v>Obese</v>
      </c>
      <c r="H1500" t="str">
        <f t="shared" si="95"/>
        <v>OK</v>
      </c>
      <c r="I1500" t="str">
        <f t="shared" si="92"/>
        <v>OK</v>
      </c>
    </row>
    <row r="1501" spans="1:9" x14ac:dyDescent="0.2">
      <c r="A1501" t="str">
        <f>ObesityDataSet_raw_and_data_sin!A1501</f>
        <v>Male</v>
      </c>
      <c r="B1501">
        <f>ObesityDataSet_raw_and_data_sin!C1501</f>
        <v>1.652971</v>
      </c>
      <c r="C1501">
        <f>ObesityDataSet_raw_and_data_sin!D1501</f>
        <v>93.310283999999996</v>
      </c>
      <c r="D1501" t="str">
        <f>ObesityDataSet_raw_and_data_sin!Q1501</f>
        <v>Obesity_Type_I</v>
      </c>
      <c r="E1501" t="b">
        <f t="shared" si="93"/>
        <v>0</v>
      </c>
      <c r="F1501">
        <f>C1501/(B1501*B1501)</f>
        <v>34.150655385490872</v>
      </c>
      <c r="G1501" t="str">
        <f t="shared" si="94"/>
        <v>Obese</v>
      </c>
      <c r="H1501" t="str">
        <f t="shared" si="95"/>
        <v>OK</v>
      </c>
      <c r="I1501" t="str">
        <f t="shared" si="92"/>
        <v>OK</v>
      </c>
    </row>
    <row r="1502" spans="1:9" x14ac:dyDescent="0.2">
      <c r="A1502" t="str">
        <f>ObesityDataSet_raw_and_data_sin!A1502</f>
        <v>Male</v>
      </c>
      <c r="B1502">
        <f>ObesityDataSet_raw_and_data_sin!C1502</f>
        <v>1.6612769999999999</v>
      </c>
      <c r="C1502">
        <f>ObesityDataSet_raw_and_data_sin!D1502</f>
        <v>90.744964999999993</v>
      </c>
      <c r="D1502" t="str">
        <f>ObesityDataSet_raw_and_data_sin!Q1502</f>
        <v>Obesity_Type_I</v>
      </c>
      <c r="E1502" t="b">
        <f t="shared" si="93"/>
        <v>0</v>
      </c>
      <c r="F1502">
        <f>C1502/(B1502*B1502)</f>
        <v>32.880501484793768</v>
      </c>
      <c r="G1502" t="str">
        <f t="shared" si="94"/>
        <v>Obese</v>
      </c>
      <c r="H1502" t="str">
        <f t="shared" si="95"/>
        <v>OK</v>
      </c>
      <c r="I1502" t="str">
        <f t="shared" si="92"/>
        <v>OK</v>
      </c>
    </row>
    <row r="1503" spans="1:9" x14ac:dyDescent="0.2">
      <c r="A1503" t="str">
        <f>ObesityDataSet_raw_and_data_sin!A1503</f>
        <v>Male</v>
      </c>
      <c r="B1503">
        <f>ObesityDataSet_raw_and_data_sin!C1503</f>
        <v>1.6417839999999999</v>
      </c>
      <c r="C1503">
        <f>ObesityDataSet_raw_and_data_sin!D1503</f>
        <v>89.424947000000003</v>
      </c>
      <c r="D1503" t="str">
        <f>ObesityDataSet_raw_and_data_sin!Q1503</f>
        <v>Obesity_Type_I</v>
      </c>
      <c r="E1503" t="b">
        <f t="shared" si="93"/>
        <v>0</v>
      </c>
      <c r="F1503">
        <f>C1503/(B1503*B1503)</f>
        <v>33.176200999365349</v>
      </c>
      <c r="G1503" t="str">
        <f t="shared" si="94"/>
        <v>Obese</v>
      </c>
      <c r="H1503" t="str">
        <f t="shared" si="95"/>
        <v>OK</v>
      </c>
      <c r="I1503" t="str">
        <f t="shared" si="92"/>
        <v>OK</v>
      </c>
    </row>
    <row r="1504" spans="1:9" x14ac:dyDescent="0.2">
      <c r="A1504" t="str">
        <f>ObesityDataSet_raw_and_data_sin!A1504</f>
        <v>Male</v>
      </c>
      <c r="B1504">
        <f>ObesityDataSet_raw_and_data_sin!C1504</f>
        <v>1.673767</v>
      </c>
      <c r="C1504">
        <f>ObesityDataSet_raw_and_data_sin!D1504</f>
        <v>89.995034000000004</v>
      </c>
      <c r="D1504" t="str">
        <f>ObesityDataSet_raw_and_data_sin!Q1504</f>
        <v>Obesity_Type_I</v>
      </c>
      <c r="E1504" t="b">
        <f t="shared" si="93"/>
        <v>0</v>
      </c>
      <c r="F1504">
        <f>C1504/(B1504*B1504)</f>
        <v>32.123920560455488</v>
      </c>
      <c r="G1504" t="str">
        <f t="shared" si="94"/>
        <v>Obese</v>
      </c>
      <c r="H1504" t="str">
        <f t="shared" si="95"/>
        <v>OK</v>
      </c>
      <c r="I1504" t="str">
        <f t="shared" si="92"/>
        <v>OK</v>
      </c>
    </row>
    <row r="1505" spans="1:9" x14ac:dyDescent="0.2">
      <c r="A1505" t="str">
        <f>ObesityDataSet_raw_and_data_sin!A1505</f>
        <v>Female</v>
      </c>
      <c r="B1505">
        <f>ObesityDataSet_raw_and_data_sin!C1505</f>
        <v>1.617192</v>
      </c>
      <c r="C1505">
        <f>ObesityDataSet_raw_and_data_sin!D1505</f>
        <v>83.121810999999994</v>
      </c>
      <c r="D1505" t="str">
        <f>ObesityDataSet_raw_and_data_sin!Q1505</f>
        <v>Obesity_Type_I</v>
      </c>
      <c r="E1505" t="b">
        <f t="shared" si="93"/>
        <v>0</v>
      </c>
      <c r="F1505">
        <f>C1505/(B1505*B1505)</f>
        <v>31.782776082651626</v>
      </c>
      <c r="G1505" t="str">
        <f t="shared" si="94"/>
        <v>Obese</v>
      </c>
      <c r="H1505" t="str">
        <f t="shared" si="95"/>
        <v>OK</v>
      </c>
      <c r="I1505" t="str">
        <f t="shared" si="92"/>
        <v>OK</v>
      </c>
    </row>
    <row r="1506" spans="1:9" x14ac:dyDescent="0.2">
      <c r="A1506" t="str">
        <f>ObesityDataSet_raw_and_data_sin!A1506</f>
        <v>Female</v>
      </c>
      <c r="B1506">
        <f>ObesityDataSet_raw_and_data_sin!C1506</f>
        <v>1.6021289999999999</v>
      </c>
      <c r="C1506">
        <f>ObesityDataSet_raw_and_data_sin!D1506</f>
        <v>82.412665000000004</v>
      </c>
      <c r="D1506" t="str">
        <f>ObesityDataSet_raw_and_data_sin!Q1506</f>
        <v>Obesity_Type_I</v>
      </c>
      <c r="E1506" t="b">
        <f t="shared" si="93"/>
        <v>0</v>
      </c>
      <c r="F1506">
        <f>C1506/(B1506*B1506)</f>
        <v>32.10694580872476</v>
      </c>
      <c r="G1506" t="str">
        <f t="shared" si="94"/>
        <v>Obese</v>
      </c>
      <c r="H1506" t="str">
        <f t="shared" si="95"/>
        <v>OK</v>
      </c>
      <c r="I1506" t="str">
        <f t="shared" si="92"/>
        <v>OK</v>
      </c>
    </row>
    <row r="1507" spans="1:9" x14ac:dyDescent="0.2">
      <c r="A1507" t="str">
        <f>ObesityDataSet_raw_and_data_sin!A1507</f>
        <v>Male</v>
      </c>
      <c r="B1507">
        <f>ObesityDataSet_raw_and_data_sin!C1507</f>
        <v>1.7014130000000001</v>
      </c>
      <c r="C1507">
        <f>ObesityDataSet_raw_and_data_sin!D1507</f>
        <v>96.710735</v>
      </c>
      <c r="D1507" t="str">
        <f>ObesityDataSet_raw_and_data_sin!Q1507</f>
        <v>Obesity_Type_I</v>
      </c>
      <c r="E1507" t="b">
        <f t="shared" si="93"/>
        <v>0</v>
      </c>
      <c r="F1507">
        <f>C1507/(B1507*B1507)</f>
        <v>33.408362575230107</v>
      </c>
      <c r="G1507" t="str">
        <f t="shared" si="94"/>
        <v>Obese</v>
      </c>
      <c r="H1507" t="str">
        <f t="shared" si="95"/>
        <v>OK</v>
      </c>
      <c r="I1507" t="str">
        <f t="shared" si="92"/>
        <v>OK</v>
      </c>
    </row>
    <row r="1508" spans="1:9" x14ac:dyDescent="0.2">
      <c r="A1508" t="str">
        <f>ObesityDataSet_raw_and_data_sin!A1508</f>
        <v>Male</v>
      </c>
      <c r="B1508">
        <f>ObesityDataSet_raw_and_data_sin!C1508</f>
        <v>1.7097309999999999</v>
      </c>
      <c r="C1508">
        <f>ObesityDataSet_raw_and_data_sin!D1508</f>
        <v>95.032177000000004</v>
      </c>
      <c r="D1508" t="str">
        <f>ObesityDataSet_raw_and_data_sin!Q1508</f>
        <v>Obesity_Type_I</v>
      </c>
      <c r="E1508" t="b">
        <f t="shared" si="93"/>
        <v>0</v>
      </c>
      <c r="F1508">
        <f>C1508/(B1508*B1508)</f>
        <v>32.509860493488866</v>
      </c>
      <c r="G1508" t="str">
        <f t="shared" si="94"/>
        <v>Obese</v>
      </c>
      <c r="H1508" t="str">
        <f t="shared" si="95"/>
        <v>OK</v>
      </c>
      <c r="I1508" t="str">
        <f t="shared" si="92"/>
        <v>OK</v>
      </c>
    </row>
    <row r="1509" spans="1:9" x14ac:dyDescent="0.2">
      <c r="A1509" t="str">
        <f>ObesityDataSet_raw_and_data_sin!A1509</f>
        <v>Male</v>
      </c>
      <c r="B1509">
        <f>ObesityDataSet_raw_and_data_sin!C1509</f>
        <v>1.6988289999999999</v>
      </c>
      <c r="C1509">
        <f>ObesityDataSet_raw_and_data_sin!D1509</f>
        <v>98.572753000000006</v>
      </c>
      <c r="D1509" t="str">
        <f>ObesityDataSet_raw_and_data_sin!Q1509</f>
        <v>Obesity_Type_I</v>
      </c>
      <c r="E1509" t="b">
        <f t="shared" si="93"/>
        <v>0</v>
      </c>
      <c r="F1509">
        <f>C1509/(B1509*B1509)</f>
        <v>34.155256714184603</v>
      </c>
      <c r="G1509" t="str">
        <f t="shared" si="94"/>
        <v>Obese</v>
      </c>
      <c r="H1509" t="str">
        <f t="shared" si="95"/>
        <v>OK</v>
      </c>
      <c r="I1509" t="str">
        <f t="shared" si="92"/>
        <v>OK</v>
      </c>
    </row>
    <row r="1510" spans="1:9" x14ac:dyDescent="0.2">
      <c r="A1510" t="str">
        <f>ObesityDataSet_raw_and_data_sin!A1510</f>
        <v>Male</v>
      </c>
      <c r="B1510">
        <f>ObesityDataSet_raw_and_data_sin!C1510</f>
        <v>1.7053039999999999</v>
      </c>
      <c r="C1510">
        <f>ObesityDataSet_raw_and_data_sin!D1510</f>
        <v>99.873716000000002</v>
      </c>
      <c r="D1510" t="str">
        <f>ObesityDataSet_raw_and_data_sin!Q1510</f>
        <v>Obesity_Type_I</v>
      </c>
      <c r="E1510" t="b">
        <f t="shared" si="93"/>
        <v>0</v>
      </c>
      <c r="F1510">
        <f>C1510/(B1510*B1510)</f>
        <v>34.34373998554203</v>
      </c>
      <c r="G1510" t="str">
        <f t="shared" si="94"/>
        <v>Obese</v>
      </c>
      <c r="H1510" t="str">
        <f t="shared" si="95"/>
        <v>OK</v>
      </c>
      <c r="I1510" t="str">
        <f t="shared" si="92"/>
        <v>OK</v>
      </c>
    </row>
    <row r="1511" spans="1:9" x14ac:dyDescent="0.2">
      <c r="A1511" t="str">
        <f>ObesityDataSet_raw_and_data_sin!A1511</f>
        <v>Female</v>
      </c>
      <c r="B1511">
        <f>ObesityDataSet_raw_and_data_sin!C1511</f>
        <v>1.6129100000000001</v>
      </c>
      <c r="C1511">
        <f>ObesityDataSet_raw_and_data_sin!D1511</f>
        <v>82.193404999999998</v>
      </c>
      <c r="D1511" t="str">
        <f>ObesityDataSet_raw_and_data_sin!Q1511</f>
        <v>Obesity_Type_I</v>
      </c>
      <c r="E1511" t="b">
        <f t="shared" si="93"/>
        <v>0</v>
      </c>
      <c r="F1511">
        <f>C1511/(B1511*B1511)</f>
        <v>31.594879484454992</v>
      </c>
      <c r="G1511" t="str">
        <f t="shared" si="94"/>
        <v>Obese</v>
      </c>
      <c r="H1511" t="str">
        <f t="shared" si="95"/>
        <v>OK</v>
      </c>
      <c r="I1511" t="str">
        <f t="shared" si="92"/>
        <v>OK</v>
      </c>
    </row>
    <row r="1512" spans="1:9" x14ac:dyDescent="0.2">
      <c r="A1512" t="str">
        <f>ObesityDataSet_raw_and_data_sin!A1512</f>
        <v>Female</v>
      </c>
      <c r="B1512">
        <f>ObesityDataSet_raw_and_data_sin!C1512</f>
        <v>1.605469</v>
      </c>
      <c r="C1512">
        <f>ObesityDataSet_raw_and_data_sin!D1512</f>
        <v>82.039000000000001</v>
      </c>
      <c r="D1512" t="str">
        <f>ObesityDataSet_raw_and_data_sin!Q1512</f>
        <v>Obesity_Type_I</v>
      </c>
      <c r="E1512" t="b">
        <f t="shared" si="93"/>
        <v>0</v>
      </c>
      <c r="F1512">
        <f>C1512/(B1512*B1512)</f>
        <v>31.828524751598909</v>
      </c>
      <c r="G1512" t="str">
        <f t="shared" si="94"/>
        <v>Obese</v>
      </c>
      <c r="H1512" t="str">
        <f t="shared" si="95"/>
        <v>OK</v>
      </c>
      <c r="I1512" t="str">
        <f t="shared" si="92"/>
        <v>OK</v>
      </c>
    </row>
    <row r="1513" spans="1:9" x14ac:dyDescent="0.2">
      <c r="A1513" t="str">
        <f>ObesityDataSet_raw_and_data_sin!A1513</f>
        <v>Male</v>
      </c>
      <c r="B1513">
        <f>ObesityDataSet_raw_and_data_sin!C1513</f>
        <v>1.80416</v>
      </c>
      <c r="C1513">
        <f>ObesityDataSet_raw_and_data_sin!D1513</f>
        <v>104.40682</v>
      </c>
      <c r="D1513" t="str">
        <f>ObesityDataSet_raw_and_data_sin!Q1513</f>
        <v>Obesity_Type_I</v>
      </c>
      <c r="E1513" t="b">
        <f t="shared" si="93"/>
        <v>0</v>
      </c>
      <c r="F1513">
        <f>C1513/(B1513*B1513)</f>
        <v>32.075893925918372</v>
      </c>
      <c r="G1513" t="str">
        <f t="shared" si="94"/>
        <v>Obese</v>
      </c>
      <c r="H1513" t="str">
        <f t="shared" si="95"/>
        <v>OK</v>
      </c>
      <c r="I1513" t="str">
        <f t="shared" si="92"/>
        <v>OK</v>
      </c>
    </row>
    <row r="1514" spans="1:9" x14ac:dyDescent="0.2">
      <c r="A1514" t="str">
        <f>ObesityDataSet_raw_and_data_sin!A1514</f>
        <v>Male</v>
      </c>
      <c r="B1514">
        <f>ObesityDataSet_raw_and_data_sin!C1514</f>
        <v>1.7850619999999999</v>
      </c>
      <c r="C1514">
        <f>ObesityDataSet_raw_and_data_sin!D1514</f>
        <v>104.187314</v>
      </c>
      <c r="D1514" t="str">
        <f>ObesityDataSet_raw_and_data_sin!Q1514</f>
        <v>Obesity_Type_I</v>
      </c>
      <c r="E1514" t="b">
        <f t="shared" si="93"/>
        <v>0</v>
      </c>
      <c r="F1514">
        <f>C1514/(B1514*B1514)</f>
        <v>32.697024445832234</v>
      </c>
      <c r="G1514" t="str">
        <f t="shared" si="94"/>
        <v>Obese</v>
      </c>
      <c r="H1514" t="str">
        <f t="shared" si="95"/>
        <v>OK</v>
      </c>
      <c r="I1514" t="str">
        <f t="shared" si="92"/>
        <v>OK</v>
      </c>
    </row>
    <row r="1515" spans="1:9" x14ac:dyDescent="0.2">
      <c r="A1515" t="str">
        <f>ObesityDataSet_raw_and_data_sin!A1515</f>
        <v>Male</v>
      </c>
      <c r="B1515">
        <f>ObesityDataSet_raw_and_data_sin!C1515</f>
        <v>1.7559260000000001</v>
      </c>
      <c r="C1515">
        <f>ObesityDataSet_raw_and_data_sin!D1515</f>
        <v>112.289883</v>
      </c>
      <c r="D1515" t="str">
        <f>ObesityDataSet_raw_and_data_sin!Q1515</f>
        <v>Obesity_Type_II</v>
      </c>
      <c r="E1515" t="b">
        <f t="shared" si="93"/>
        <v>0</v>
      </c>
      <c r="F1515">
        <f>C1515/(B1515*B1515)</f>
        <v>36.41901624169865</v>
      </c>
      <c r="G1515" t="str">
        <f t="shared" si="94"/>
        <v>Obese</v>
      </c>
      <c r="H1515" t="str">
        <f t="shared" si="95"/>
        <v>OK</v>
      </c>
      <c r="I1515" t="str">
        <f t="shared" si="92"/>
        <v>OK</v>
      </c>
    </row>
    <row r="1516" spans="1:9" x14ac:dyDescent="0.2">
      <c r="A1516" t="str">
        <f>ObesityDataSet_raw_and_data_sin!A1516</f>
        <v>Male</v>
      </c>
      <c r="B1516">
        <f>ObesityDataSet_raw_and_data_sin!C1516</f>
        <v>1.7878019999999999</v>
      </c>
      <c r="C1516">
        <f>ObesityDataSet_raw_and_data_sin!D1516</f>
        <v>115.127662</v>
      </c>
      <c r="D1516" t="str">
        <f>ObesityDataSet_raw_and_data_sin!Q1516</f>
        <v>Obesity_Type_II</v>
      </c>
      <c r="E1516" t="b">
        <f t="shared" si="93"/>
        <v>0</v>
      </c>
      <c r="F1516">
        <f>C1516/(B1516*B1516)</f>
        <v>36.01976271990862</v>
      </c>
      <c r="G1516" t="str">
        <f t="shared" si="94"/>
        <v>Obese</v>
      </c>
      <c r="H1516" t="str">
        <f t="shared" si="95"/>
        <v>OK</v>
      </c>
      <c r="I1516" t="str">
        <f t="shared" si="92"/>
        <v>OK</v>
      </c>
    </row>
    <row r="1517" spans="1:9" x14ac:dyDescent="0.2">
      <c r="A1517" t="str">
        <f>ObesityDataSet_raw_and_data_sin!A1517</f>
        <v>Male</v>
      </c>
      <c r="B1517">
        <f>ObesityDataSet_raw_and_data_sin!C1517</f>
        <v>1.704877</v>
      </c>
      <c r="C1517">
        <f>ObesityDataSet_raw_and_data_sin!D1517</f>
        <v>107.94747</v>
      </c>
      <c r="D1517" t="str">
        <f>ObesityDataSet_raw_and_data_sin!Q1517</f>
        <v>Obesity_Type_II</v>
      </c>
      <c r="E1517" t="b">
        <f t="shared" si="93"/>
        <v>0</v>
      </c>
      <c r="F1517">
        <f>C1517/(B1517*B1517)</f>
        <v>37.138671497876828</v>
      </c>
      <c r="G1517" t="str">
        <f t="shared" si="94"/>
        <v>Obese</v>
      </c>
      <c r="H1517" t="str">
        <f t="shared" si="95"/>
        <v>OK</v>
      </c>
      <c r="I1517" t="str">
        <f t="shared" si="92"/>
        <v>OK</v>
      </c>
    </row>
    <row r="1518" spans="1:9" x14ac:dyDescent="0.2">
      <c r="A1518" t="str">
        <f>ObesityDataSet_raw_and_data_sin!A1518</f>
        <v>Male</v>
      </c>
      <c r="B1518">
        <f>ObesityDataSet_raw_and_data_sin!C1518</f>
        <v>1.6953469999999999</v>
      </c>
      <c r="C1518">
        <f>ObesityDataSet_raw_and_data_sin!D1518</f>
        <v>102.810704</v>
      </c>
      <c r="D1518" t="str">
        <f>ObesityDataSet_raw_and_data_sin!Q1518</f>
        <v>Obesity_Type_II</v>
      </c>
      <c r="E1518" t="b">
        <f t="shared" si="93"/>
        <v>0</v>
      </c>
      <c r="F1518">
        <f>C1518/(B1518*B1518)</f>
        <v>35.770180265329003</v>
      </c>
      <c r="G1518" t="str">
        <f t="shared" si="94"/>
        <v>Obese</v>
      </c>
      <c r="H1518" t="str">
        <f t="shared" si="95"/>
        <v>OK</v>
      </c>
      <c r="I1518" t="str">
        <f t="shared" si="92"/>
        <v>OK</v>
      </c>
    </row>
    <row r="1519" spans="1:9" x14ac:dyDescent="0.2">
      <c r="A1519" t="str">
        <f>ObesityDataSet_raw_and_data_sin!A1519</f>
        <v>Male</v>
      </c>
      <c r="B1519">
        <f>ObesityDataSet_raw_and_data_sin!C1519</f>
        <v>1.9086080000000001</v>
      </c>
      <c r="C1519">
        <f>ObesityDataSet_raw_and_data_sin!D1519</f>
        <v>128.82812200000001</v>
      </c>
      <c r="D1519" t="str">
        <f>ObesityDataSet_raw_and_data_sin!Q1519</f>
        <v>Obesity_Type_II</v>
      </c>
      <c r="E1519" t="b">
        <f t="shared" si="93"/>
        <v>0</v>
      </c>
      <c r="F1519">
        <f>C1519/(B1519*B1519)</f>
        <v>35.365287757926197</v>
      </c>
      <c r="G1519" t="str">
        <f t="shared" si="94"/>
        <v>Obese</v>
      </c>
      <c r="H1519" t="str">
        <f t="shared" si="95"/>
        <v>OK</v>
      </c>
      <c r="I1519" t="str">
        <f t="shared" si="92"/>
        <v>OK</v>
      </c>
    </row>
    <row r="1520" spans="1:9" x14ac:dyDescent="0.2">
      <c r="A1520" t="str">
        <f>ObesityDataSet_raw_and_data_sin!A1520</f>
        <v>Male</v>
      </c>
      <c r="B1520">
        <f>ObesityDataSet_raw_and_data_sin!C1520</f>
        <v>1.819296</v>
      </c>
      <c r="C1520">
        <f>ObesityDataSet_raw_and_data_sin!D1520</f>
        <v>122.137917</v>
      </c>
      <c r="D1520" t="str">
        <f>ObesityDataSet_raw_and_data_sin!Q1520</f>
        <v>Obesity_Type_II</v>
      </c>
      <c r="E1520" t="b">
        <f t="shared" si="93"/>
        <v>0</v>
      </c>
      <c r="F1520">
        <f>C1520/(B1520*B1520)</f>
        <v>36.901479581739302</v>
      </c>
      <c r="G1520" t="str">
        <f t="shared" si="94"/>
        <v>Obese</v>
      </c>
      <c r="H1520" t="str">
        <f t="shared" si="95"/>
        <v>OK</v>
      </c>
      <c r="I1520" t="str">
        <f t="shared" si="92"/>
        <v>OK</v>
      </c>
    </row>
    <row r="1521" spans="1:9" x14ac:dyDescent="0.2">
      <c r="A1521" t="str">
        <f>ObesityDataSet_raw_and_data_sin!A1521</f>
        <v>Male</v>
      </c>
      <c r="B1521">
        <f>ObesityDataSet_raw_and_data_sin!C1521</f>
        <v>1.7732589999999999</v>
      </c>
      <c r="C1521">
        <f>ObesityDataSet_raw_and_data_sin!D1521</f>
        <v>118.15434500000001</v>
      </c>
      <c r="D1521" t="str">
        <f>ObesityDataSet_raw_and_data_sin!Q1521</f>
        <v>Obesity_Type_II</v>
      </c>
      <c r="E1521" t="b">
        <f t="shared" si="93"/>
        <v>0</v>
      </c>
      <c r="F1521">
        <f>C1521/(B1521*B1521)</f>
        <v>37.575550461851201</v>
      </c>
      <c r="G1521" t="str">
        <f t="shared" si="94"/>
        <v>Obese</v>
      </c>
      <c r="H1521" t="str">
        <f t="shared" si="95"/>
        <v>OK</v>
      </c>
      <c r="I1521" t="str">
        <f t="shared" si="92"/>
        <v>OK</v>
      </c>
    </row>
    <row r="1522" spans="1:9" x14ac:dyDescent="0.2">
      <c r="A1522" t="str">
        <f>ObesityDataSet_raw_and_data_sin!A1522</f>
        <v>Male</v>
      </c>
      <c r="B1522">
        <f>ObesityDataSet_raw_and_data_sin!C1522</f>
        <v>1.7746470000000001</v>
      </c>
      <c r="C1522">
        <f>ObesityDataSet_raw_and_data_sin!D1522</f>
        <v>120.151967</v>
      </c>
      <c r="D1522" t="str">
        <f>ObesityDataSet_raw_and_data_sin!Q1522</f>
        <v>Obesity_Type_II</v>
      </c>
      <c r="E1522" t="b">
        <f t="shared" si="93"/>
        <v>0</v>
      </c>
      <c r="F1522">
        <f>C1522/(B1522*B1522)</f>
        <v>38.151087889488529</v>
      </c>
      <c r="G1522" t="str">
        <f t="shared" si="94"/>
        <v>Obese</v>
      </c>
      <c r="H1522" t="str">
        <f t="shared" si="95"/>
        <v>OK</v>
      </c>
      <c r="I1522" t="str">
        <f t="shared" si="92"/>
        <v>OK</v>
      </c>
    </row>
    <row r="1523" spans="1:9" x14ac:dyDescent="0.2">
      <c r="A1523" t="str">
        <f>ObesityDataSet_raw_and_data_sin!A1523</f>
        <v>Male</v>
      </c>
      <c r="B1523">
        <f>ObesityDataSet_raw_and_data_sin!C1523</f>
        <v>1.7736639999999999</v>
      </c>
      <c r="C1523">
        <f>ObesityDataSet_raw_and_data_sin!D1523</f>
        <v>116.160329</v>
      </c>
      <c r="D1523" t="str">
        <f>ObesityDataSet_raw_and_data_sin!Q1523</f>
        <v>Obesity_Type_II</v>
      </c>
      <c r="E1523" t="b">
        <f t="shared" si="93"/>
        <v>0</v>
      </c>
      <c r="F1523">
        <f>C1523/(B1523*B1523)</f>
        <v>36.924543167423948</v>
      </c>
      <c r="G1523" t="str">
        <f t="shared" si="94"/>
        <v>Obese</v>
      </c>
      <c r="H1523" t="str">
        <f t="shared" si="95"/>
        <v>OK</v>
      </c>
      <c r="I1523" t="str">
        <f t="shared" si="92"/>
        <v>OK</v>
      </c>
    </row>
    <row r="1524" spans="1:9" x14ac:dyDescent="0.2">
      <c r="A1524" t="str">
        <f>ObesityDataSet_raw_and_data_sin!A1524</f>
        <v>Male</v>
      </c>
      <c r="B1524">
        <f>ObesityDataSet_raw_and_data_sin!C1524</f>
        <v>1.7934760000000001</v>
      </c>
      <c r="C1524">
        <f>ObesityDataSet_raw_and_data_sin!D1524</f>
        <v>112.725005</v>
      </c>
      <c r="D1524" t="str">
        <f>ObesityDataSet_raw_and_data_sin!Q1524</f>
        <v>Obesity_Type_II</v>
      </c>
      <c r="E1524" t="b">
        <f t="shared" si="93"/>
        <v>0</v>
      </c>
      <c r="F1524">
        <f>C1524/(B1524*B1524)</f>
        <v>35.045246935692681</v>
      </c>
      <c r="G1524" t="str">
        <f t="shared" si="94"/>
        <v>Obese</v>
      </c>
      <c r="H1524" t="str">
        <f t="shared" si="95"/>
        <v>OK</v>
      </c>
      <c r="I1524" t="str">
        <f t="shared" si="92"/>
        <v>OK</v>
      </c>
    </row>
    <row r="1525" spans="1:9" x14ac:dyDescent="0.2">
      <c r="A1525" t="str">
        <f>ObesityDataSet_raw_and_data_sin!A1525</f>
        <v>Male</v>
      </c>
      <c r="B1525">
        <f>ObesityDataSet_raw_and_data_sin!C1525</f>
        <v>1.82559</v>
      </c>
      <c r="C1525">
        <f>ObesityDataSet_raw_and_data_sin!D1525</f>
        <v>120.86038600000001</v>
      </c>
      <c r="D1525" t="str">
        <f>ObesityDataSet_raw_and_data_sin!Q1525</f>
        <v>Obesity_Type_II</v>
      </c>
      <c r="E1525" t="b">
        <f t="shared" si="93"/>
        <v>0</v>
      </c>
      <c r="F1525">
        <f>C1525/(B1525*B1525)</f>
        <v>36.26414818039963</v>
      </c>
      <c r="G1525" t="str">
        <f t="shared" si="94"/>
        <v>Obese</v>
      </c>
      <c r="H1525" t="str">
        <f t="shared" si="95"/>
        <v>OK</v>
      </c>
      <c r="I1525" t="str">
        <f t="shared" si="92"/>
        <v>OK</v>
      </c>
    </row>
    <row r="1526" spans="1:9" x14ac:dyDescent="0.2">
      <c r="A1526" t="str">
        <f>ObesityDataSet_raw_and_data_sin!A1526</f>
        <v>Male</v>
      </c>
      <c r="B1526">
        <f>ObesityDataSet_raw_and_data_sin!C1526</f>
        <v>1.885543</v>
      </c>
      <c r="C1526">
        <f>ObesityDataSet_raw_and_data_sin!D1526</f>
        <v>121.253083</v>
      </c>
      <c r="D1526" t="str">
        <f>ObesityDataSet_raw_and_data_sin!Q1526</f>
        <v>Obesity_Type_II</v>
      </c>
      <c r="E1526" t="b">
        <f t="shared" si="93"/>
        <v>0</v>
      </c>
      <c r="F1526">
        <f>C1526/(B1526*B1526)</f>
        <v>34.105145595770423</v>
      </c>
      <c r="G1526" t="str">
        <f t="shared" si="94"/>
        <v>Obese</v>
      </c>
      <c r="H1526" t="str">
        <f t="shared" si="95"/>
        <v>OK</v>
      </c>
      <c r="I1526" t="str">
        <f t="shared" si="92"/>
        <v>OK</v>
      </c>
    </row>
    <row r="1527" spans="1:9" x14ac:dyDescent="0.2">
      <c r="A1527" t="str">
        <f>ObesityDataSet_raw_and_data_sin!A1527</f>
        <v>Male</v>
      </c>
      <c r="B1527">
        <f>ObesityDataSet_raw_and_data_sin!C1527</f>
        <v>1.75</v>
      </c>
      <c r="C1527">
        <f>ObesityDataSet_raw_and_data_sin!D1527</f>
        <v>120</v>
      </c>
      <c r="D1527" t="str">
        <f>ObesityDataSet_raw_and_data_sin!Q1527</f>
        <v>Obesity_Type_II</v>
      </c>
      <c r="E1527" t="b">
        <f t="shared" si="93"/>
        <v>0</v>
      </c>
      <c r="F1527">
        <f>C1527/(B1527*B1527)</f>
        <v>39.183673469387756</v>
      </c>
      <c r="G1527" t="str">
        <f t="shared" si="94"/>
        <v>Obese</v>
      </c>
      <c r="H1527" t="str">
        <f t="shared" si="95"/>
        <v>OK</v>
      </c>
      <c r="I1527" t="str">
        <f t="shared" si="92"/>
        <v>OK</v>
      </c>
    </row>
    <row r="1528" spans="1:9" x14ac:dyDescent="0.2">
      <c r="A1528" t="str">
        <f>ObesityDataSet_raw_and_data_sin!A1528</f>
        <v>Male</v>
      </c>
      <c r="B1528">
        <f>ObesityDataSet_raw_and_data_sin!C1528</f>
        <v>1.8740699999999999</v>
      </c>
      <c r="C1528">
        <f>ObesityDataSet_raw_and_data_sin!D1528</f>
        <v>128.86744400000001</v>
      </c>
      <c r="D1528" t="str">
        <f>ObesityDataSet_raw_and_data_sin!Q1528</f>
        <v>Obesity_Type_II</v>
      </c>
      <c r="E1528" t="b">
        <f t="shared" si="93"/>
        <v>0</v>
      </c>
      <c r="F1528">
        <f>C1528/(B1528*B1528)</f>
        <v>36.692017970558858</v>
      </c>
      <c r="G1528" t="str">
        <f t="shared" si="94"/>
        <v>Obese</v>
      </c>
      <c r="H1528" t="str">
        <f t="shared" si="95"/>
        <v>OK</v>
      </c>
      <c r="I1528" t="str">
        <f t="shared" si="92"/>
        <v>OK</v>
      </c>
    </row>
    <row r="1529" spans="1:9" x14ac:dyDescent="0.2">
      <c r="A1529" t="str">
        <f>ObesityDataSet_raw_and_data_sin!A1529</f>
        <v>Male</v>
      </c>
      <c r="B1529">
        <f>ObesityDataSet_raw_and_data_sin!C1529</f>
        <v>1.7559670000000001</v>
      </c>
      <c r="C1529">
        <f>ObesityDataSet_raw_and_data_sin!D1529</f>
        <v>112.256165</v>
      </c>
      <c r="D1529" t="str">
        <f>ObesityDataSet_raw_and_data_sin!Q1529</f>
        <v>Obesity_Type_II</v>
      </c>
      <c r="E1529" t="b">
        <f t="shared" si="93"/>
        <v>0</v>
      </c>
      <c r="F1529">
        <f>C1529/(B1529*B1529)</f>
        <v>36.406380309555587</v>
      </c>
      <c r="G1529" t="str">
        <f t="shared" si="94"/>
        <v>Obese</v>
      </c>
      <c r="H1529" t="str">
        <f t="shared" si="95"/>
        <v>OK</v>
      </c>
      <c r="I1529" t="str">
        <f t="shared" si="92"/>
        <v>OK</v>
      </c>
    </row>
    <row r="1530" spans="1:9" x14ac:dyDescent="0.2">
      <c r="A1530" t="str">
        <f>ObesityDataSet_raw_and_data_sin!A1530</f>
        <v>Male</v>
      </c>
      <c r="B1530">
        <f>ObesityDataSet_raw_and_data_sin!C1530</f>
        <v>1.757069</v>
      </c>
      <c r="C1530">
        <f>ObesityDataSet_raw_and_data_sin!D1530</f>
        <v>117.298233</v>
      </c>
      <c r="D1530" t="str">
        <f>ObesityDataSet_raw_and_data_sin!Q1530</f>
        <v>Obesity_Type_II</v>
      </c>
      <c r="E1530" t="b">
        <f t="shared" si="93"/>
        <v>0</v>
      </c>
      <c r="F1530">
        <f>C1530/(B1530*B1530)</f>
        <v>37.99389662780581</v>
      </c>
      <c r="G1530" t="str">
        <f t="shared" si="94"/>
        <v>Obese</v>
      </c>
      <c r="H1530" t="str">
        <f t="shared" si="95"/>
        <v>OK</v>
      </c>
      <c r="I1530" t="str">
        <f t="shared" si="92"/>
        <v>OK</v>
      </c>
    </row>
    <row r="1531" spans="1:9" x14ac:dyDescent="0.2">
      <c r="A1531" t="str">
        <f>ObesityDataSet_raw_and_data_sin!A1531</f>
        <v>Male</v>
      </c>
      <c r="B1531">
        <f>ObesityDataSet_raw_and_data_sin!C1531</f>
        <v>1.75</v>
      </c>
      <c r="C1531">
        <f>ObesityDataSet_raw_and_data_sin!D1531</f>
        <v>116.594351</v>
      </c>
      <c r="D1531" t="str">
        <f>ObesityDataSet_raw_and_data_sin!Q1531</f>
        <v>Obesity_Type_II</v>
      </c>
      <c r="E1531" t="b">
        <f t="shared" si="93"/>
        <v>0</v>
      </c>
      <c r="F1531">
        <f>C1531/(B1531*B1531)</f>
        <v>38.071624816326533</v>
      </c>
      <c r="G1531" t="str">
        <f t="shared" si="94"/>
        <v>Obese</v>
      </c>
      <c r="H1531" t="str">
        <f t="shared" si="95"/>
        <v>OK</v>
      </c>
      <c r="I1531" t="str">
        <f t="shared" si="92"/>
        <v>OK</v>
      </c>
    </row>
    <row r="1532" spans="1:9" x14ac:dyDescent="0.2">
      <c r="A1532" t="str">
        <f>ObesityDataSet_raw_and_data_sin!A1532</f>
        <v>Male</v>
      </c>
      <c r="B1532">
        <f>ObesityDataSet_raw_and_data_sin!C1532</f>
        <v>1.7040280000000001</v>
      </c>
      <c r="C1532">
        <f>ObesityDataSet_raw_and_data_sin!D1532</f>
        <v>101.63431300000001</v>
      </c>
      <c r="D1532" t="str">
        <f>ObesityDataSet_raw_and_data_sin!Q1532</f>
        <v>Obesity_Type_II</v>
      </c>
      <c r="E1532" t="b">
        <f t="shared" si="93"/>
        <v>0</v>
      </c>
      <c r="F1532">
        <f>C1532/(B1532*B1532)</f>
        <v>35.001519824774022</v>
      </c>
      <c r="G1532" t="str">
        <f t="shared" si="94"/>
        <v>Obese</v>
      </c>
      <c r="H1532" t="str">
        <f t="shared" si="95"/>
        <v>OK</v>
      </c>
      <c r="I1532" t="str">
        <f t="shared" si="92"/>
        <v>OK</v>
      </c>
    </row>
    <row r="1533" spans="1:9" x14ac:dyDescent="0.2">
      <c r="A1533" t="str">
        <f>ObesityDataSet_raw_and_data_sin!A1533</f>
        <v>Male</v>
      </c>
      <c r="B1533">
        <f>ObesityDataSet_raw_and_data_sin!C1533</f>
        <v>1.849003</v>
      </c>
      <c r="C1533">
        <f>ObesityDataSet_raw_and_data_sin!D1533</f>
        <v>121.414744</v>
      </c>
      <c r="D1533" t="str">
        <f>ObesityDataSet_raw_and_data_sin!Q1533</f>
        <v>Obesity_Type_II</v>
      </c>
      <c r="E1533" t="b">
        <f t="shared" si="93"/>
        <v>0</v>
      </c>
      <c r="F1533">
        <f>C1533/(B1533*B1533)</f>
        <v>35.513722504013231</v>
      </c>
      <c r="G1533" t="str">
        <f t="shared" si="94"/>
        <v>Obese</v>
      </c>
      <c r="H1533" t="str">
        <f t="shared" si="95"/>
        <v>OK</v>
      </c>
      <c r="I1533" t="str">
        <f t="shared" si="92"/>
        <v>OK</v>
      </c>
    </row>
    <row r="1534" spans="1:9" x14ac:dyDescent="0.2">
      <c r="A1534" t="str">
        <f>ObesityDataSet_raw_and_data_sin!A1534</f>
        <v>Male</v>
      </c>
      <c r="B1534">
        <f>ObesityDataSet_raw_and_data_sin!C1534</f>
        <v>1.8419890000000001</v>
      </c>
      <c r="C1534">
        <f>ObesityDataSet_raw_and_data_sin!D1534</f>
        <v>122.02495399999999</v>
      </c>
      <c r="D1534" t="str">
        <f>ObesityDataSet_raw_and_data_sin!Q1534</f>
        <v>Obesity_Type_II</v>
      </c>
      <c r="E1534" t="b">
        <f t="shared" si="93"/>
        <v>0</v>
      </c>
      <c r="F1534">
        <f>C1534/(B1534*B1534)</f>
        <v>35.964546462305258</v>
      </c>
      <c r="G1534" t="str">
        <f t="shared" si="94"/>
        <v>Obese</v>
      </c>
      <c r="H1534" t="str">
        <f t="shared" si="95"/>
        <v>OK</v>
      </c>
      <c r="I1534" t="str">
        <f t="shared" si="92"/>
        <v>OK</v>
      </c>
    </row>
    <row r="1535" spans="1:9" x14ac:dyDescent="0.2">
      <c r="A1535" t="str">
        <f>ObesityDataSet_raw_and_data_sin!A1535</f>
        <v>Male</v>
      </c>
      <c r="B1535">
        <f>ObesityDataSet_raw_and_data_sin!C1535</f>
        <v>1.613491</v>
      </c>
      <c r="C1535">
        <f>ObesityDataSet_raw_and_data_sin!D1535</f>
        <v>98.490765999999994</v>
      </c>
      <c r="D1535" t="str">
        <f>ObesityDataSet_raw_and_data_sin!Q1535</f>
        <v>Obesity_Type_II</v>
      </c>
      <c r="E1535" t="b">
        <f t="shared" si="93"/>
        <v>0</v>
      </c>
      <c r="F1535">
        <f>C1535/(B1535*B1535)</f>
        <v>37.832271753256407</v>
      </c>
      <c r="G1535" t="str">
        <f t="shared" si="94"/>
        <v>Obese</v>
      </c>
      <c r="H1535" t="str">
        <f t="shared" si="95"/>
        <v>OK</v>
      </c>
      <c r="I1535" t="str">
        <f t="shared" si="92"/>
        <v>OK</v>
      </c>
    </row>
    <row r="1536" spans="1:9" x14ac:dyDescent="0.2">
      <c r="A1536" t="str">
        <f>ObesityDataSet_raw_and_data_sin!A1536</f>
        <v>Male</v>
      </c>
      <c r="B1536">
        <f>ObesityDataSet_raw_and_data_sin!C1536</f>
        <v>1.647821</v>
      </c>
      <c r="C1536">
        <f>ObesityDataSet_raw_and_data_sin!D1536</f>
        <v>106.509947</v>
      </c>
      <c r="D1536" t="str">
        <f>ObesityDataSet_raw_and_data_sin!Q1536</f>
        <v>Obesity_Type_II</v>
      </c>
      <c r="E1536" t="b">
        <f t="shared" si="93"/>
        <v>0</v>
      </c>
      <c r="F1536">
        <f>C1536/(B1536*B1536)</f>
        <v>39.225645768983163</v>
      </c>
      <c r="G1536" t="str">
        <f t="shared" si="94"/>
        <v>Obese</v>
      </c>
      <c r="H1536" t="str">
        <f t="shared" si="95"/>
        <v>OK</v>
      </c>
      <c r="I1536" t="str">
        <f t="shared" si="92"/>
        <v>OK</v>
      </c>
    </row>
    <row r="1537" spans="1:9" x14ac:dyDescent="0.2">
      <c r="A1537" t="str">
        <f>ObesityDataSet_raw_and_data_sin!A1537</f>
        <v>Male</v>
      </c>
      <c r="B1537">
        <f>ObesityDataSet_raw_and_data_sin!C1537</f>
        <v>1.75834</v>
      </c>
      <c r="C1537">
        <f>ObesityDataSet_raw_and_data_sin!D1537</f>
        <v>112.010504</v>
      </c>
      <c r="D1537" t="str">
        <f>ObesityDataSet_raw_and_data_sin!Q1537</f>
        <v>Obesity_Type_II</v>
      </c>
      <c r="E1537" t="b">
        <f t="shared" si="93"/>
        <v>0</v>
      </c>
      <c r="F1537">
        <f>C1537/(B1537*B1537)</f>
        <v>36.228724124784911</v>
      </c>
      <c r="G1537" t="str">
        <f t="shared" si="94"/>
        <v>Obese</v>
      </c>
      <c r="H1537" t="str">
        <f t="shared" si="95"/>
        <v>OK</v>
      </c>
      <c r="I1537" t="str">
        <f t="shared" si="92"/>
        <v>OK</v>
      </c>
    </row>
    <row r="1538" spans="1:9" x14ac:dyDescent="0.2">
      <c r="A1538" t="str">
        <f>ObesityDataSet_raw_and_data_sin!A1538</f>
        <v>Male</v>
      </c>
      <c r="B1538">
        <f>ObesityDataSet_raw_and_data_sin!C1538</f>
        <v>1.7583979999999999</v>
      </c>
      <c r="C1538">
        <f>ObesityDataSet_raw_and_data_sin!D1538</f>
        <v>112.089022</v>
      </c>
      <c r="D1538" t="str">
        <f>ObesityDataSet_raw_and_data_sin!Q1538</f>
        <v>Obesity_Type_II</v>
      </c>
      <c r="E1538" t="b">
        <f t="shared" si="93"/>
        <v>0</v>
      </c>
      <c r="F1538">
        <f>C1538/(B1538*B1538)</f>
        <v>36.251728405852582</v>
      </c>
      <c r="G1538" t="str">
        <f t="shared" si="94"/>
        <v>Obese</v>
      </c>
      <c r="H1538" t="str">
        <f t="shared" si="95"/>
        <v>OK</v>
      </c>
      <c r="I1538" t="str">
        <f t="shared" ref="I1538:I1601" si="96">IF(AND(LEFT(D1538,10)="Overweight",G1538&lt;&gt;"Overweight"),"ERROR","OK")</f>
        <v>OK</v>
      </c>
    </row>
    <row r="1539" spans="1:9" x14ac:dyDescent="0.2">
      <c r="A1539" t="str">
        <f>ObesityDataSet_raw_and_data_sin!A1539</f>
        <v>Male</v>
      </c>
      <c r="B1539">
        <f>ObesityDataSet_raw_and_data_sin!C1539</f>
        <v>1.670774</v>
      </c>
      <c r="C1539">
        <f>ObesityDataSet_raw_and_data_sin!D1539</f>
        <v>101.626189</v>
      </c>
      <c r="D1539" t="str">
        <f>ObesityDataSet_raw_and_data_sin!Q1539</f>
        <v>Obesity_Type_II</v>
      </c>
      <c r="E1539" t="b">
        <f t="shared" ref="E1539:E1602" si="97">IF(AND(A1539="Female", B1539&lt;1.5), TRUE, IF(AND(A1539="Male",B1539&lt;1.6),TRUE, FALSE))</f>
        <v>0</v>
      </c>
      <c r="F1539">
        <f>C1539/(B1539*B1539)</f>
        <v>36.405770177971078</v>
      </c>
      <c r="G1539" t="str">
        <f t="shared" ref="G1539:G1602" si="98">IF(E1539=TRUE,IF(F1539&lt;23,"Normal",IF(F1539&lt;25,"Overweight","Obese")),IF(F1539&lt;25,"Normal",IF(F1539&lt;30,"Overweight","Obese")))</f>
        <v>Obese</v>
      </c>
      <c r="H1539" t="str">
        <f t="shared" ref="H1539:H1602" si="99">IF(AND(D1539="Normal_Weight",G1539&lt;&gt;"Normal"),"ERROR","OK")</f>
        <v>OK</v>
      </c>
      <c r="I1539" t="str">
        <f t="shared" si="96"/>
        <v>OK</v>
      </c>
    </row>
    <row r="1540" spans="1:9" x14ac:dyDescent="0.2">
      <c r="A1540" t="str">
        <f>ObesityDataSet_raw_and_data_sin!A1540</f>
        <v>Male</v>
      </c>
      <c r="B1540">
        <f>ObesityDataSet_raw_and_data_sin!C1540</f>
        <v>1.6655850000000001</v>
      </c>
      <c r="C1540">
        <f>ObesityDataSet_raw_and_data_sin!D1540</f>
        <v>98.661760000000001</v>
      </c>
      <c r="D1540" t="str">
        <f>ObesityDataSet_raw_and_data_sin!Q1540</f>
        <v>Obesity_Type_II</v>
      </c>
      <c r="E1540" t="b">
        <f t="shared" si="97"/>
        <v>0</v>
      </c>
      <c r="F1540">
        <f>C1540/(B1540*B1540)</f>
        <v>35.564381187027841</v>
      </c>
      <c r="G1540" t="str">
        <f t="shared" si="98"/>
        <v>Obese</v>
      </c>
      <c r="H1540" t="str">
        <f t="shared" si="99"/>
        <v>OK</v>
      </c>
      <c r="I1540" t="str">
        <f t="shared" si="96"/>
        <v>OK</v>
      </c>
    </row>
    <row r="1541" spans="1:9" x14ac:dyDescent="0.2">
      <c r="A1541" t="str">
        <f>ObesityDataSet_raw_and_data_sin!A1541</f>
        <v>Male</v>
      </c>
      <c r="B1541">
        <f>ObesityDataSet_raw_and_data_sin!C1541</f>
        <v>1.9141859999999999</v>
      </c>
      <c r="C1541">
        <f>ObesityDataSet_raw_and_data_sin!D1541</f>
        <v>129.852531</v>
      </c>
      <c r="D1541" t="str">
        <f>ObesityDataSet_raw_and_data_sin!Q1541</f>
        <v>Obesity_Type_II</v>
      </c>
      <c r="E1541" t="b">
        <f t="shared" si="97"/>
        <v>0</v>
      </c>
      <c r="F1541">
        <f>C1541/(B1541*B1541)</f>
        <v>35.439056242457362</v>
      </c>
      <c r="G1541" t="str">
        <f t="shared" si="98"/>
        <v>Obese</v>
      </c>
      <c r="H1541" t="str">
        <f t="shared" si="99"/>
        <v>OK</v>
      </c>
      <c r="I1541" t="str">
        <f t="shared" si="96"/>
        <v>OK</v>
      </c>
    </row>
    <row r="1542" spans="1:9" x14ac:dyDescent="0.2">
      <c r="A1542" t="str">
        <f>ObesityDataSet_raw_and_data_sin!A1542</f>
        <v>Male</v>
      </c>
      <c r="B1542">
        <f>ObesityDataSet_raw_and_data_sin!C1542</f>
        <v>1.8995880000000001</v>
      </c>
      <c r="C1542">
        <f>ObesityDataSet_raw_and_data_sin!D1542</f>
        <v>124.269251</v>
      </c>
      <c r="D1542" t="str">
        <f>ObesityDataSet_raw_and_data_sin!Q1542</f>
        <v>Obesity_Type_II</v>
      </c>
      <c r="E1542" t="b">
        <f t="shared" si="97"/>
        <v>0</v>
      </c>
      <c r="F1542">
        <f>C1542/(B1542*B1542)</f>
        <v>34.438549071104887</v>
      </c>
      <c r="G1542" t="str">
        <f t="shared" si="98"/>
        <v>Obese</v>
      </c>
      <c r="H1542" t="str">
        <f t="shared" si="99"/>
        <v>OK</v>
      </c>
      <c r="I1542" t="str">
        <f t="shared" si="96"/>
        <v>OK</v>
      </c>
    </row>
    <row r="1543" spans="1:9" x14ac:dyDescent="0.2">
      <c r="A1543" t="str">
        <f>ObesityDataSet_raw_and_data_sin!A1543</f>
        <v>Male</v>
      </c>
      <c r="B1543">
        <f>ObesityDataSet_raw_and_data_sin!C1543</f>
        <v>1.75</v>
      </c>
      <c r="C1543">
        <f>ObesityDataSet_raw_and_data_sin!D1543</f>
        <v>118.102897</v>
      </c>
      <c r="D1543" t="str">
        <f>ObesityDataSet_raw_and_data_sin!Q1543</f>
        <v>Obesity_Type_II</v>
      </c>
      <c r="E1543" t="b">
        <f t="shared" si="97"/>
        <v>0</v>
      </c>
      <c r="F1543">
        <f>C1543/(B1543*B1543)</f>
        <v>38.56421126530612</v>
      </c>
      <c r="G1543" t="str">
        <f t="shared" si="98"/>
        <v>Obese</v>
      </c>
      <c r="H1543" t="str">
        <f t="shared" si="99"/>
        <v>OK</v>
      </c>
      <c r="I1543" t="str">
        <f t="shared" si="96"/>
        <v>OK</v>
      </c>
    </row>
    <row r="1544" spans="1:9" x14ac:dyDescent="0.2">
      <c r="A1544" t="str">
        <f>ObesityDataSet_raw_and_data_sin!A1544</f>
        <v>Male</v>
      </c>
      <c r="B1544">
        <f>ObesityDataSet_raw_and_data_sin!C1544</f>
        <v>1.75</v>
      </c>
      <c r="C1544">
        <f>ObesityDataSet_raw_and_data_sin!D1544</f>
        <v>119.434645</v>
      </c>
      <c r="D1544" t="str">
        <f>ObesityDataSet_raw_and_data_sin!Q1544</f>
        <v>Obesity_Type_II</v>
      </c>
      <c r="E1544" t="b">
        <f t="shared" si="97"/>
        <v>0</v>
      </c>
      <c r="F1544">
        <f>C1544/(B1544*B1544)</f>
        <v>38.99906775510204</v>
      </c>
      <c r="G1544" t="str">
        <f t="shared" si="98"/>
        <v>Obese</v>
      </c>
      <c r="H1544" t="str">
        <f t="shared" si="99"/>
        <v>OK</v>
      </c>
      <c r="I1544" t="str">
        <f t="shared" si="96"/>
        <v>OK</v>
      </c>
    </row>
    <row r="1545" spans="1:9" x14ac:dyDescent="0.2">
      <c r="A1545" t="str">
        <f>ObesityDataSet_raw_and_data_sin!A1545</f>
        <v>Male</v>
      </c>
      <c r="B1545">
        <f>ObesityDataSet_raw_and_data_sin!C1545</f>
        <v>1.7736639999999999</v>
      </c>
      <c r="C1545">
        <f>ObesityDataSet_raw_and_data_sin!D1545</f>
        <v>116.160329</v>
      </c>
      <c r="D1545" t="str">
        <f>ObesityDataSet_raw_and_data_sin!Q1545</f>
        <v>Obesity_Type_II</v>
      </c>
      <c r="E1545" t="b">
        <f t="shared" si="97"/>
        <v>0</v>
      </c>
      <c r="F1545">
        <f>C1545/(B1545*B1545)</f>
        <v>36.924543167423948</v>
      </c>
      <c r="G1545" t="str">
        <f t="shared" si="98"/>
        <v>Obese</v>
      </c>
      <c r="H1545" t="str">
        <f t="shared" si="99"/>
        <v>OK</v>
      </c>
      <c r="I1545" t="str">
        <f t="shared" si="96"/>
        <v>OK</v>
      </c>
    </row>
    <row r="1546" spans="1:9" x14ac:dyDescent="0.2">
      <c r="A1546" t="str">
        <f>ObesityDataSet_raw_and_data_sin!A1546</f>
        <v>Male</v>
      </c>
      <c r="B1546">
        <f>ObesityDataSet_raw_and_data_sin!C1546</f>
        <v>1.7929980000000001</v>
      </c>
      <c r="C1546">
        <f>ObesityDataSet_raw_and_data_sin!D1546</f>
        <v>116.102615</v>
      </c>
      <c r="D1546" t="str">
        <f>ObesityDataSet_raw_and_data_sin!Q1546</f>
        <v>Obesity_Type_II</v>
      </c>
      <c r="E1546" t="b">
        <f t="shared" si="97"/>
        <v>0</v>
      </c>
      <c r="F1546">
        <f>C1546/(B1546*B1546)</f>
        <v>36.114565260613354</v>
      </c>
      <c r="G1546" t="str">
        <f t="shared" si="98"/>
        <v>Obese</v>
      </c>
      <c r="H1546" t="str">
        <f t="shared" si="99"/>
        <v>OK</v>
      </c>
      <c r="I1546" t="str">
        <f t="shared" si="96"/>
        <v>OK</v>
      </c>
    </row>
    <row r="1547" spans="1:9" x14ac:dyDescent="0.2">
      <c r="A1547" t="str">
        <f>ObesityDataSet_raw_and_data_sin!A1547</f>
        <v>Male</v>
      </c>
      <c r="B1547">
        <f>ObesityDataSet_raw_and_data_sin!C1547</f>
        <v>1.82559</v>
      </c>
      <c r="C1547">
        <f>ObesityDataSet_raw_and_data_sin!D1547</f>
        <v>120.86038600000001</v>
      </c>
      <c r="D1547" t="str">
        <f>ObesityDataSet_raw_and_data_sin!Q1547</f>
        <v>Obesity_Type_II</v>
      </c>
      <c r="E1547" t="b">
        <f t="shared" si="97"/>
        <v>0</v>
      </c>
      <c r="F1547">
        <f>C1547/(B1547*B1547)</f>
        <v>36.26414818039963</v>
      </c>
      <c r="G1547" t="str">
        <f t="shared" si="98"/>
        <v>Obese</v>
      </c>
      <c r="H1547" t="str">
        <f t="shared" si="99"/>
        <v>OK</v>
      </c>
      <c r="I1547" t="str">
        <f t="shared" si="96"/>
        <v>OK</v>
      </c>
    </row>
    <row r="1548" spans="1:9" x14ac:dyDescent="0.2">
      <c r="A1548" t="str">
        <f>ObesityDataSet_raw_and_data_sin!A1548</f>
        <v>Male</v>
      </c>
      <c r="B1548">
        <f>ObesityDataSet_raw_and_data_sin!C1548</f>
        <v>1.8272790000000001</v>
      </c>
      <c r="C1548">
        <f>ObesityDataSet_raw_and_data_sin!D1548</f>
        <v>120.99607399999999</v>
      </c>
      <c r="D1548" t="str">
        <f>ObesityDataSet_raw_and_data_sin!Q1548</f>
        <v>Obesity_Type_II</v>
      </c>
      <c r="E1548" t="b">
        <f t="shared" si="97"/>
        <v>0</v>
      </c>
      <c r="F1548">
        <f>C1548/(B1548*B1548)</f>
        <v>36.237777375511953</v>
      </c>
      <c r="G1548" t="str">
        <f t="shared" si="98"/>
        <v>Obese</v>
      </c>
      <c r="H1548" t="str">
        <f t="shared" si="99"/>
        <v>OK</v>
      </c>
      <c r="I1548" t="str">
        <f t="shared" si="96"/>
        <v>OK</v>
      </c>
    </row>
    <row r="1549" spans="1:9" x14ac:dyDescent="0.2">
      <c r="A1549" t="str">
        <f>ObesityDataSet_raw_and_data_sin!A1549</f>
        <v>Male</v>
      </c>
      <c r="B1549">
        <f>ObesityDataSet_raw_and_data_sin!C1549</f>
        <v>1.7754160000000001</v>
      </c>
      <c r="C1549">
        <f>ObesityDataSet_raw_and_data_sin!D1549</f>
        <v>121.204668</v>
      </c>
      <c r="D1549" t="str">
        <f>ObesityDataSet_raw_and_data_sin!Q1549</f>
        <v>Obesity_Type_II</v>
      </c>
      <c r="E1549" t="b">
        <f t="shared" si="97"/>
        <v>0</v>
      </c>
      <c r="F1549">
        <f>C1549/(B1549*B1549)</f>
        <v>38.452013620133819</v>
      </c>
      <c r="G1549" t="str">
        <f t="shared" si="98"/>
        <v>Obese</v>
      </c>
      <c r="H1549" t="str">
        <f t="shared" si="99"/>
        <v>OK</v>
      </c>
      <c r="I1549" t="str">
        <f t="shared" si="96"/>
        <v>OK</v>
      </c>
    </row>
    <row r="1550" spans="1:9" x14ac:dyDescent="0.2">
      <c r="A1550" t="str">
        <f>ObesityDataSet_raw_and_data_sin!A1550</f>
        <v>Male</v>
      </c>
      <c r="B1550">
        <f>ObesityDataSet_raw_and_data_sin!C1550</f>
        <v>1.766975</v>
      </c>
      <c r="C1550">
        <f>ObesityDataSet_raw_and_data_sin!D1550</f>
        <v>118.363376</v>
      </c>
      <c r="D1550" t="str">
        <f>ObesityDataSet_raw_and_data_sin!Q1550</f>
        <v>Obesity_Type_II</v>
      </c>
      <c r="E1550" t="b">
        <f t="shared" si="97"/>
        <v>0</v>
      </c>
      <c r="F1550">
        <f>C1550/(B1550*B1550)</f>
        <v>37.910240002129939</v>
      </c>
      <c r="G1550" t="str">
        <f t="shared" si="98"/>
        <v>Obese</v>
      </c>
      <c r="H1550" t="str">
        <f t="shared" si="99"/>
        <v>OK</v>
      </c>
      <c r="I1550" t="str">
        <f t="shared" si="96"/>
        <v>OK</v>
      </c>
    </row>
    <row r="1551" spans="1:9" x14ac:dyDescent="0.2">
      <c r="A1551" t="str">
        <f>ObesityDataSet_raw_and_data_sin!A1551</f>
        <v>Male</v>
      </c>
      <c r="B1551">
        <f>ObesityDataSet_raw_and_data_sin!C1551</f>
        <v>1.7542180000000001</v>
      </c>
      <c r="C1551">
        <f>ObesityDataSet_raw_and_data_sin!D1551</f>
        <v>117.384745</v>
      </c>
      <c r="D1551" t="str">
        <f>ObesityDataSet_raw_and_data_sin!Q1551</f>
        <v>Obesity_Type_II</v>
      </c>
      <c r="E1551" t="b">
        <f t="shared" si="97"/>
        <v>0</v>
      </c>
      <c r="F1551">
        <f>C1551/(B1551*B1551)</f>
        <v>38.14560742176085</v>
      </c>
      <c r="G1551" t="str">
        <f t="shared" si="98"/>
        <v>Obese</v>
      </c>
      <c r="H1551" t="str">
        <f t="shared" si="99"/>
        <v>OK</v>
      </c>
      <c r="I1551" t="str">
        <f t="shared" si="96"/>
        <v>OK</v>
      </c>
    </row>
    <row r="1552" spans="1:9" x14ac:dyDescent="0.2">
      <c r="A1552" t="str">
        <f>ObesityDataSet_raw_and_data_sin!A1552</f>
        <v>Male</v>
      </c>
      <c r="B1552">
        <f>ObesityDataSet_raw_and_data_sin!C1552</f>
        <v>1.754996</v>
      </c>
      <c r="C1552">
        <f>ObesityDataSet_raw_and_data_sin!D1552</f>
        <v>119.087557</v>
      </c>
      <c r="D1552" t="str">
        <f>ObesityDataSet_raw_and_data_sin!Q1552</f>
        <v>Obesity_Type_II</v>
      </c>
      <c r="E1552" t="b">
        <f t="shared" si="97"/>
        <v>0</v>
      </c>
      <c r="F1552">
        <f>C1552/(B1552*B1552)</f>
        <v>38.664653647654994</v>
      </c>
      <c r="G1552" t="str">
        <f t="shared" si="98"/>
        <v>Obese</v>
      </c>
      <c r="H1552" t="str">
        <f t="shared" si="99"/>
        <v>OK</v>
      </c>
      <c r="I1552" t="str">
        <f t="shared" si="96"/>
        <v>OK</v>
      </c>
    </row>
    <row r="1553" spans="1:9" x14ac:dyDescent="0.2">
      <c r="A1553" t="str">
        <f>ObesityDataSet_raw_and_data_sin!A1553</f>
        <v>Male</v>
      </c>
      <c r="B1553">
        <f>ObesityDataSet_raw_and_data_sin!C1553</f>
        <v>1.748103</v>
      </c>
      <c r="C1553">
        <f>ObesityDataSet_raw_and_data_sin!D1553</f>
        <v>108.30811199999999</v>
      </c>
      <c r="D1553" t="str">
        <f>ObesityDataSet_raw_and_data_sin!Q1553</f>
        <v>Obesity_Type_II</v>
      </c>
      <c r="E1553" t="b">
        <f t="shared" si="97"/>
        <v>0</v>
      </c>
      <c r="F1553">
        <f>C1553/(B1553*B1553)</f>
        <v>35.442712275490528</v>
      </c>
      <c r="G1553" t="str">
        <f t="shared" si="98"/>
        <v>Obese</v>
      </c>
      <c r="H1553" t="str">
        <f t="shared" si="99"/>
        <v>OK</v>
      </c>
      <c r="I1553" t="str">
        <f t="shared" si="96"/>
        <v>OK</v>
      </c>
    </row>
    <row r="1554" spans="1:9" x14ac:dyDescent="0.2">
      <c r="A1554" t="str">
        <f>ObesityDataSet_raw_and_data_sin!A1554</f>
        <v>Male</v>
      </c>
      <c r="B1554">
        <f>ObesityDataSet_raw_and_data_sin!C1554</f>
        <v>1.73325</v>
      </c>
      <c r="C1554">
        <f>ObesityDataSet_raw_and_data_sin!D1554</f>
        <v>103.669116</v>
      </c>
      <c r="D1554" t="str">
        <f>ObesityDataSet_raw_and_data_sin!Q1554</f>
        <v>Obesity_Type_II</v>
      </c>
      <c r="E1554" t="b">
        <f t="shared" si="97"/>
        <v>0</v>
      </c>
      <c r="F1554">
        <f>C1554/(B1554*B1554)</f>
        <v>34.508571158588268</v>
      </c>
      <c r="G1554" t="str">
        <f t="shared" si="98"/>
        <v>Obese</v>
      </c>
      <c r="H1554" t="str">
        <f t="shared" si="99"/>
        <v>OK</v>
      </c>
      <c r="I1554" t="str">
        <f t="shared" si="96"/>
        <v>OK</v>
      </c>
    </row>
    <row r="1555" spans="1:9" x14ac:dyDescent="0.2">
      <c r="A1555" t="str">
        <f>ObesityDataSet_raw_and_data_sin!A1555</f>
        <v>Male</v>
      </c>
      <c r="B1555">
        <f>ObesityDataSet_raw_and_data_sin!C1555</f>
        <v>1.84995</v>
      </c>
      <c r="C1555">
        <f>ObesityDataSet_raw_and_data_sin!D1555</f>
        <v>121.786485</v>
      </c>
      <c r="D1555" t="str">
        <f>ObesityDataSet_raw_and_data_sin!Q1555</f>
        <v>Obesity_Type_II</v>
      </c>
      <c r="E1555" t="b">
        <f t="shared" si="97"/>
        <v>0</v>
      </c>
      <c r="F1555">
        <f>C1555/(B1555*B1555)</f>
        <v>35.585995126408591</v>
      </c>
      <c r="G1555" t="str">
        <f t="shared" si="98"/>
        <v>Obese</v>
      </c>
      <c r="H1555" t="str">
        <f t="shared" si="99"/>
        <v>OK</v>
      </c>
      <c r="I1555" t="str">
        <f t="shared" si="96"/>
        <v>OK</v>
      </c>
    </row>
    <row r="1556" spans="1:9" x14ac:dyDescent="0.2">
      <c r="A1556" t="str">
        <f>ObesityDataSet_raw_and_data_sin!A1556</f>
        <v>Male</v>
      </c>
      <c r="B1556">
        <f>ObesityDataSet_raw_and_data_sin!C1556</f>
        <v>1.8496010000000001</v>
      </c>
      <c r="C1556">
        <f>ObesityDataSet_raw_and_data_sin!D1556</f>
        <v>122.33342500000001</v>
      </c>
      <c r="D1556" t="str">
        <f>ObesityDataSet_raw_and_data_sin!Q1556</f>
        <v>Obesity_Type_II</v>
      </c>
      <c r="E1556" t="b">
        <f t="shared" si="97"/>
        <v>0</v>
      </c>
      <c r="F1556">
        <f>C1556/(B1556*B1556)</f>
        <v>35.759301903428316</v>
      </c>
      <c r="G1556" t="str">
        <f t="shared" si="98"/>
        <v>Obese</v>
      </c>
      <c r="H1556" t="str">
        <f t="shared" si="99"/>
        <v>OK</v>
      </c>
      <c r="I1556" t="str">
        <f t="shared" si="96"/>
        <v>OK</v>
      </c>
    </row>
    <row r="1557" spans="1:9" x14ac:dyDescent="0.2">
      <c r="A1557" t="str">
        <f>ObesityDataSet_raw_and_data_sin!A1557</f>
        <v>Male</v>
      </c>
      <c r="B1557">
        <f>ObesityDataSet_raw_and_data_sin!C1557</f>
        <v>1.606066</v>
      </c>
      <c r="C1557">
        <f>ObesityDataSet_raw_and_data_sin!D1557</f>
        <v>99.961731</v>
      </c>
      <c r="D1557" t="str">
        <f>ObesityDataSet_raw_and_data_sin!Q1557</f>
        <v>Obesity_Type_II</v>
      </c>
      <c r="E1557" t="b">
        <f t="shared" si="97"/>
        <v>0</v>
      </c>
      <c r="F1557">
        <f>C1557/(B1557*B1557)</f>
        <v>38.753148402765426</v>
      </c>
      <c r="G1557" t="str">
        <f t="shared" si="98"/>
        <v>Obese</v>
      </c>
      <c r="H1557" t="str">
        <f t="shared" si="99"/>
        <v>OK</v>
      </c>
      <c r="I1557" t="str">
        <f t="shared" si="96"/>
        <v>OK</v>
      </c>
    </row>
    <row r="1558" spans="1:9" x14ac:dyDescent="0.2">
      <c r="A1558" t="str">
        <f>ObesityDataSet_raw_and_data_sin!A1558</f>
        <v>Male</v>
      </c>
      <c r="B1558">
        <f>ObesityDataSet_raw_and_data_sin!C1558</f>
        <v>1.611434</v>
      </c>
      <c r="C1558">
        <f>ObesityDataSet_raw_and_data_sin!D1558</f>
        <v>103.175516</v>
      </c>
      <c r="D1558" t="str">
        <f>ObesityDataSet_raw_and_data_sin!Q1558</f>
        <v>Obesity_Type_II</v>
      </c>
      <c r="E1558" t="b">
        <f t="shared" si="97"/>
        <v>0</v>
      </c>
      <c r="F1558">
        <f>C1558/(B1558*B1558)</f>
        <v>39.733022590798207</v>
      </c>
      <c r="G1558" t="str">
        <f t="shared" si="98"/>
        <v>Obese</v>
      </c>
      <c r="H1558" t="str">
        <f t="shared" si="99"/>
        <v>OK</v>
      </c>
      <c r="I1558" t="str">
        <f t="shared" si="96"/>
        <v>OK</v>
      </c>
    </row>
    <row r="1559" spans="1:9" x14ac:dyDescent="0.2">
      <c r="A1559" t="str">
        <f>ObesityDataSet_raw_and_data_sin!A1559</f>
        <v>Male</v>
      </c>
      <c r="B1559">
        <f>ObesityDataSet_raw_and_data_sin!C1559</f>
        <v>1.7628870000000001</v>
      </c>
      <c r="C1559">
        <f>ObesityDataSet_raw_and_data_sin!D1559</f>
        <v>113.90197999999999</v>
      </c>
      <c r="D1559" t="str">
        <f>ObesityDataSet_raw_and_data_sin!Q1559</f>
        <v>Obesity_Type_II</v>
      </c>
      <c r="E1559" t="b">
        <f t="shared" si="97"/>
        <v>0</v>
      </c>
      <c r="F1559">
        <f>C1559/(B1559*B1559)</f>
        <v>36.650704181555071</v>
      </c>
      <c r="G1559" t="str">
        <f t="shared" si="98"/>
        <v>Obese</v>
      </c>
      <c r="H1559" t="str">
        <f t="shared" si="99"/>
        <v>OK</v>
      </c>
      <c r="I1559" t="str">
        <f t="shared" si="96"/>
        <v>OK</v>
      </c>
    </row>
    <row r="1560" spans="1:9" x14ac:dyDescent="0.2">
      <c r="A1560" t="str">
        <f>ObesityDataSet_raw_and_data_sin!A1560</f>
        <v>Male</v>
      </c>
      <c r="B1560">
        <f>ObesityDataSet_raw_and_data_sin!C1560</f>
        <v>1.755938</v>
      </c>
      <c r="C1560">
        <f>ObesityDataSet_raw_and_data_sin!D1560</f>
        <v>112.287678</v>
      </c>
      <c r="D1560" t="str">
        <f>ObesityDataSet_raw_and_data_sin!Q1560</f>
        <v>Obesity_Type_II</v>
      </c>
      <c r="E1560" t="b">
        <f t="shared" si="97"/>
        <v>0</v>
      </c>
      <c r="F1560">
        <f>C1560/(B1560*B1560)</f>
        <v>36.417803332984896</v>
      </c>
      <c r="G1560" t="str">
        <f t="shared" si="98"/>
        <v>Obese</v>
      </c>
      <c r="H1560" t="str">
        <f t="shared" si="99"/>
        <v>OK</v>
      </c>
      <c r="I1560" t="str">
        <f t="shared" si="96"/>
        <v>OK</v>
      </c>
    </row>
    <row r="1561" spans="1:9" x14ac:dyDescent="0.2">
      <c r="A1561" t="str">
        <f>ObesityDataSet_raw_and_data_sin!A1561</f>
        <v>Male</v>
      </c>
      <c r="B1561">
        <f>ObesityDataSet_raw_and_data_sin!C1561</f>
        <v>1.7870520000000001</v>
      </c>
      <c r="C1561">
        <f>ObesityDataSet_raw_and_data_sin!D1561</f>
        <v>115.428276</v>
      </c>
      <c r="D1561" t="str">
        <f>ObesityDataSet_raw_and_data_sin!Q1561</f>
        <v>Obesity_Type_II</v>
      </c>
      <c r="E1561" t="b">
        <f t="shared" si="97"/>
        <v>0</v>
      </c>
      <c r="F1561">
        <f>C1561/(B1561*B1561)</f>
        <v>36.144134482160062</v>
      </c>
      <c r="G1561" t="str">
        <f t="shared" si="98"/>
        <v>Obese</v>
      </c>
      <c r="H1561" t="str">
        <f t="shared" si="99"/>
        <v>OK</v>
      </c>
      <c r="I1561" t="str">
        <f t="shared" si="96"/>
        <v>OK</v>
      </c>
    </row>
    <row r="1562" spans="1:9" x14ac:dyDescent="0.2">
      <c r="A1562" t="str">
        <f>ObesityDataSet_raw_and_data_sin!A1562</f>
        <v>Male</v>
      </c>
      <c r="B1562">
        <f>ObesityDataSet_raw_and_data_sin!C1562</f>
        <v>1.765258</v>
      </c>
      <c r="C1562">
        <f>ObesityDataSet_raw_and_data_sin!D1562</f>
        <v>114.330023</v>
      </c>
      <c r="D1562" t="str">
        <f>ObesityDataSet_raw_and_data_sin!Q1562</f>
        <v>Obesity_Type_II</v>
      </c>
      <c r="E1562" t="b">
        <f t="shared" si="97"/>
        <v>0</v>
      </c>
      <c r="F1562">
        <f>C1562/(B1562*B1562)</f>
        <v>36.689679172252042</v>
      </c>
      <c r="G1562" t="str">
        <f t="shared" si="98"/>
        <v>Obese</v>
      </c>
      <c r="H1562" t="str">
        <f t="shared" si="99"/>
        <v>OK</v>
      </c>
      <c r="I1562" t="str">
        <f t="shared" si="96"/>
        <v>OK</v>
      </c>
    </row>
    <row r="1563" spans="1:9" x14ac:dyDescent="0.2">
      <c r="A1563" t="str">
        <f>ObesityDataSet_raw_and_data_sin!A1563</f>
        <v>Male</v>
      </c>
      <c r="B1563">
        <f>ObesityDataSet_raw_and_data_sin!C1563</f>
        <v>1.7262789999999999</v>
      </c>
      <c r="C1563">
        <f>ObesityDataSet_raw_and_data_sin!D1563</f>
        <v>110.71471099999999</v>
      </c>
      <c r="D1563" t="str">
        <f>ObesityDataSet_raw_and_data_sin!Q1563</f>
        <v>Obesity_Type_II</v>
      </c>
      <c r="E1563" t="b">
        <f t="shared" si="97"/>
        <v>0</v>
      </c>
      <c r="F1563">
        <f>C1563/(B1563*B1563)</f>
        <v>37.152099048239563</v>
      </c>
      <c r="G1563" t="str">
        <f t="shared" si="98"/>
        <v>Obese</v>
      </c>
      <c r="H1563" t="str">
        <f t="shared" si="99"/>
        <v>OK</v>
      </c>
      <c r="I1563" t="str">
        <f t="shared" si="96"/>
        <v>OK</v>
      </c>
    </row>
    <row r="1564" spans="1:9" x14ac:dyDescent="0.2">
      <c r="A1564" t="str">
        <f>ObesityDataSet_raw_and_data_sin!A1564</f>
        <v>Male</v>
      </c>
      <c r="B1564">
        <f>ObesityDataSet_raw_and_data_sin!C1564</f>
        <v>1.735851</v>
      </c>
      <c r="C1564">
        <f>ObesityDataSet_raw_and_data_sin!D1564</f>
        <v>109.88933400000001</v>
      </c>
      <c r="D1564" t="str">
        <f>ObesityDataSet_raw_and_data_sin!Q1564</f>
        <v>Obesity_Type_II</v>
      </c>
      <c r="E1564" t="b">
        <f t="shared" si="97"/>
        <v>0</v>
      </c>
      <c r="F1564">
        <f>C1564/(B1564*B1564)</f>
        <v>36.469570892521922</v>
      </c>
      <c r="G1564" t="str">
        <f t="shared" si="98"/>
        <v>Obese</v>
      </c>
      <c r="H1564" t="str">
        <f t="shared" si="99"/>
        <v>OK</v>
      </c>
      <c r="I1564" t="str">
        <f t="shared" si="96"/>
        <v>OK</v>
      </c>
    </row>
    <row r="1565" spans="1:9" x14ac:dyDescent="0.2">
      <c r="A1565" t="str">
        <f>ObesityDataSet_raw_and_data_sin!A1565</f>
        <v>Male</v>
      </c>
      <c r="B1565">
        <f>ObesityDataSet_raw_and_data_sin!C1565</f>
        <v>1.6997930000000001</v>
      </c>
      <c r="C1565">
        <f>ObesityDataSet_raw_and_data_sin!D1565</f>
        <v>103.841672</v>
      </c>
      <c r="D1565" t="str">
        <f>ObesityDataSet_raw_and_data_sin!Q1565</f>
        <v>Obesity_Type_II</v>
      </c>
      <c r="E1565" t="b">
        <f t="shared" si="97"/>
        <v>0</v>
      </c>
      <c r="F1565">
        <f>C1565/(B1565*B1565)</f>
        <v>35.940126339418406</v>
      </c>
      <c r="G1565" t="str">
        <f t="shared" si="98"/>
        <v>Obese</v>
      </c>
      <c r="H1565" t="str">
        <f t="shared" si="99"/>
        <v>OK</v>
      </c>
      <c r="I1565" t="str">
        <f t="shared" si="96"/>
        <v>OK</v>
      </c>
    </row>
    <row r="1566" spans="1:9" x14ac:dyDescent="0.2">
      <c r="A1566" t="str">
        <f>ObesityDataSet_raw_and_data_sin!A1566</f>
        <v>Male</v>
      </c>
      <c r="B1566">
        <f>ObesityDataSet_raw_and_data_sin!C1566</f>
        <v>1.7032020000000001</v>
      </c>
      <c r="C1566">
        <f>ObesityDataSet_raw_and_data_sin!D1566</f>
        <v>103.03440000000001</v>
      </c>
      <c r="D1566" t="str">
        <f>ObesityDataSet_raw_and_data_sin!Q1566</f>
        <v>Obesity_Type_II</v>
      </c>
      <c r="E1566" t="b">
        <f t="shared" si="97"/>
        <v>0</v>
      </c>
      <c r="F1566">
        <f>C1566/(B1566*B1566)</f>
        <v>35.51811668063408</v>
      </c>
      <c r="G1566" t="str">
        <f t="shared" si="98"/>
        <v>Obese</v>
      </c>
      <c r="H1566" t="str">
        <f t="shared" si="99"/>
        <v>OK</v>
      </c>
      <c r="I1566" t="str">
        <f t="shared" si="96"/>
        <v>OK</v>
      </c>
    </row>
    <row r="1567" spans="1:9" x14ac:dyDescent="0.2">
      <c r="A1567" t="str">
        <f>ObesityDataSet_raw_and_data_sin!A1567</f>
        <v>Male</v>
      </c>
      <c r="B1567">
        <f>ObesityDataSet_raw_and_data_sin!C1567</f>
        <v>1.9068210000000001</v>
      </c>
      <c r="C1567">
        <f>ObesityDataSet_raw_and_data_sin!D1567</f>
        <v>128.85667699999999</v>
      </c>
      <c r="D1567" t="str">
        <f>ObesityDataSet_raw_and_data_sin!Q1567</f>
        <v>Obesity_Type_II</v>
      </c>
      <c r="E1567" t="b">
        <f t="shared" si="97"/>
        <v>0</v>
      </c>
      <c r="F1567">
        <f>C1567/(B1567*B1567)</f>
        <v>35.439458302218327</v>
      </c>
      <c r="G1567" t="str">
        <f t="shared" si="98"/>
        <v>Obese</v>
      </c>
      <c r="H1567" t="str">
        <f t="shared" si="99"/>
        <v>OK</v>
      </c>
      <c r="I1567" t="str">
        <f t="shared" si="96"/>
        <v>OK</v>
      </c>
    </row>
    <row r="1568" spans="1:9" x14ac:dyDescent="0.2">
      <c r="A1568" t="str">
        <f>ObesityDataSet_raw_and_data_sin!A1568</f>
        <v>Male</v>
      </c>
      <c r="B1568">
        <f>ObesityDataSet_raw_and_data_sin!C1568</f>
        <v>1.910987</v>
      </c>
      <c r="C1568">
        <f>ObesityDataSet_raw_and_data_sin!D1568</f>
        <v>129.935666</v>
      </c>
      <c r="D1568" t="str">
        <f>ObesityDataSet_raw_and_data_sin!Q1568</f>
        <v>Obesity_Type_II</v>
      </c>
      <c r="E1568" t="b">
        <f t="shared" si="97"/>
        <v>0</v>
      </c>
      <c r="F1568">
        <f>C1568/(B1568*B1568)</f>
        <v>35.580570842093721</v>
      </c>
      <c r="G1568" t="str">
        <f t="shared" si="98"/>
        <v>Obese</v>
      </c>
      <c r="H1568" t="str">
        <f t="shared" si="99"/>
        <v>OK</v>
      </c>
      <c r="I1568" t="str">
        <f t="shared" si="96"/>
        <v>OK</v>
      </c>
    </row>
    <row r="1569" spans="1:9" x14ac:dyDescent="0.2">
      <c r="A1569" t="str">
        <f>ObesityDataSet_raw_and_data_sin!A1569</f>
        <v>Male</v>
      </c>
      <c r="B1569">
        <f>ObesityDataSet_raw_and_data_sin!C1569</f>
        <v>1.784049</v>
      </c>
      <c r="C1569">
        <f>ObesityDataSet_raw_and_data_sin!D1569</f>
        <v>120.644178</v>
      </c>
      <c r="D1569" t="str">
        <f>ObesityDataSet_raw_and_data_sin!Q1569</f>
        <v>Obesity_Type_II</v>
      </c>
      <c r="E1569" t="b">
        <f t="shared" si="97"/>
        <v>0</v>
      </c>
      <c r="F1569">
        <f>C1569/(B1569*B1569)</f>
        <v>37.90467802939483</v>
      </c>
      <c r="G1569" t="str">
        <f t="shared" si="98"/>
        <v>Obese</v>
      </c>
      <c r="H1569" t="str">
        <f t="shared" si="99"/>
        <v>OK</v>
      </c>
      <c r="I1569" t="str">
        <f t="shared" si="96"/>
        <v>OK</v>
      </c>
    </row>
    <row r="1570" spans="1:9" x14ac:dyDescent="0.2">
      <c r="A1570" t="str">
        <f>ObesityDataSet_raw_and_data_sin!A1570</f>
        <v>Male</v>
      </c>
      <c r="B1570">
        <f>ObesityDataSet_raw_and_data_sin!C1570</f>
        <v>1.783914</v>
      </c>
      <c r="C1570">
        <f>ObesityDataSet_raw_and_data_sin!D1570</f>
        <v>120.549592</v>
      </c>
      <c r="D1570" t="str">
        <f>ObesityDataSet_raw_and_data_sin!Q1570</f>
        <v>Obesity_Type_II</v>
      </c>
      <c r="E1570" t="b">
        <f t="shared" si="97"/>
        <v>0</v>
      </c>
      <c r="F1570">
        <f>C1570/(B1570*B1570)</f>
        <v>37.880693148981791</v>
      </c>
      <c r="G1570" t="str">
        <f t="shared" si="98"/>
        <v>Obese</v>
      </c>
      <c r="H1570" t="str">
        <f t="shared" si="99"/>
        <v>OK</v>
      </c>
      <c r="I1570" t="str">
        <f t="shared" si="96"/>
        <v>OK</v>
      </c>
    </row>
    <row r="1571" spans="1:9" x14ac:dyDescent="0.2">
      <c r="A1571" t="str">
        <f>ObesityDataSet_raw_and_data_sin!A1571</f>
        <v>Male</v>
      </c>
      <c r="B1571">
        <f>ObesityDataSet_raw_and_data_sin!C1571</f>
        <v>1.863883</v>
      </c>
      <c r="C1571">
        <f>ObesityDataSet_raw_and_data_sin!D1571</f>
        <v>120.202596</v>
      </c>
      <c r="D1571" t="str">
        <f>ObesityDataSet_raw_and_data_sin!Q1571</f>
        <v>Obesity_Type_II</v>
      </c>
      <c r="E1571" t="b">
        <f t="shared" si="97"/>
        <v>0</v>
      </c>
      <c r="F1571">
        <f>C1571/(B1571*B1571)</f>
        <v>34.600036158260501</v>
      </c>
      <c r="G1571" t="str">
        <f t="shared" si="98"/>
        <v>Obese</v>
      </c>
      <c r="H1571" t="str">
        <f t="shared" si="99"/>
        <v>OK</v>
      </c>
      <c r="I1571" t="str">
        <f t="shared" si="96"/>
        <v>OK</v>
      </c>
    </row>
    <row r="1572" spans="1:9" x14ac:dyDescent="0.2">
      <c r="A1572" t="str">
        <f>ObesityDataSet_raw_and_data_sin!A1572</f>
        <v>Male</v>
      </c>
      <c r="B1572">
        <f>ObesityDataSet_raw_and_data_sin!C1572</f>
        <v>1.8122590000000001</v>
      </c>
      <c r="C1572">
        <f>ObesityDataSet_raw_and_data_sin!D1572</f>
        <v>118.277657</v>
      </c>
      <c r="D1572" t="str">
        <f>ObesityDataSet_raw_and_data_sin!Q1572</f>
        <v>Obesity_Type_II</v>
      </c>
      <c r="E1572" t="b">
        <f t="shared" si="97"/>
        <v>0</v>
      </c>
      <c r="F1572">
        <f>C1572/(B1572*B1572)</f>
        <v>36.01323893625478</v>
      </c>
      <c r="G1572" t="str">
        <f t="shared" si="98"/>
        <v>Obese</v>
      </c>
      <c r="H1572" t="str">
        <f t="shared" si="99"/>
        <v>OK</v>
      </c>
      <c r="I1572" t="str">
        <f t="shared" si="96"/>
        <v>OK</v>
      </c>
    </row>
    <row r="1573" spans="1:9" x14ac:dyDescent="0.2">
      <c r="A1573" t="str">
        <f>ObesityDataSet_raw_and_data_sin!A1573</f>
        <v>Male</v>
      </c>
      <c r="B1573">
        <f>ObesityDataSet_raw_and_data_sin!C1573</f>
        <v>1.7501500000000001</v>
      </c>
      <c r="C1573">
        <f>ObesityDataSet_raw_and_data_sin!D1573</f>
        <v>118.206565</v>
      </c>
      <c r="D1573" t="str">
        <f>ObesityDataSet_raw_and_data_sin!Q1573</f>
        <v>Obesity_Type_II</v>
      </c>
      <c r="E1573" t="b">
        <f t="shared" si="97"/>
        <v>0</v>
      </c>
      <c r="F1573">
        <f>C1573/(B1573*B1573)</f>
        <v>38.591446080816333</v>
      </c>
      <c r="G1573" t="str">
        <f t="shared" si="98"/>
        <v>Obese</v>
      </c>
      <c r="H1573" t="str">
        <f t="shared" si="99"/>
        <v>OK</v>
      </c>
      <c r="I1573" t="str">
        <f t="shared" si="96"/>
        <v>OK</v>
      </c>
    </row>
    <row r="1574" spans="1:9" x14ac:dyDescent="0.2">
      <c r="A1574" t="str">
        <f>ObesityDataSet_raw_and_data_sin!A1574</f>
        <v>Male</v>
      </c>
      <c r="B1574">
        <f>ObesityDataSet_raw_and_data_sin!C1574</f>
        <v>1.815347</v>
      </c>
      <c r="C1574">
        <f>ObesityDataSet_raw_and_data_sin!D1574</f>
        <v>120.39975800000001</v>
      </c>
      <c r="D1574" t="str">
        <f>ObesityDataSet_raw_and_data_sin!Q1574</f>
        <v>Obesity_Type_II</v>
      </c>
      <c r="E1574" t="b">
        <f t="shared" si="97"/>
        <v>0</v>
      </c>
      <c r="F1574">
        <f>C1574/(B1574*B1574)</f>
        <v>36.53476433649179</v>
      </c>
      <c r="G1574" t="str">
        <f t="shared" si="98"/>
        <v>Obese</v>
      </c>
      <c r="H1574" t="str">
        <f t="shared" si="99"/>
        <v>OK</v>
      </c>
      <c r="I1574" t="str">
        <f t="shared" si="96"/>
        <v>OK</v>
      </c>
    </row>
    <row r="1575" spans="1:9" x14ac:dyDescent="0.2">
      <c r="A1575" t="str">
        <f>ObesityDataSet_raw_and_data_sin!A1575</f>
        <v>Male</v>
      </c>
      <c r="B1575">
        <f>ObesityDataSet_raw_and_data_sin!C1575</f>
        <v>1.767077</v>
      </c>
      <c r="C1575">
        <f>ObesityDataSet_raw_and_data_sin!D1575</f>
        <v>114.133149</v>
      </c>
      <c r="D1575" t="str">
        <f>ObesityDataSet_raw_and_data_sin!Q1575</f>
        <v>Obesity_Type_II</v>
      </c>
      <c r="E1575" t="b">
        <f t="shared" si="97"/>
        <v>0</v>
      </c>
      <c r="F1575">
        <f>C1575/(B1575*B1575)</f>
        <v>36.551133659279856</v>
      </c>
      <c r="G1575" t="str">
        <f t="shared" si="98"/>
        <v>Obese</v>
      </c>
      <c r="H1575" t="str">
        <f t="shared" si="99"/>
        <v>OK</v>
      </c>
      <c r="I1575" t="str">
        <f t="shared" si="96"/>
        <v>OK</v>
      </c>
    </row>
    <row r="1576" spans="1:9" x14ac:dyDescent="0.2">
      <c r="A1576" t="str">
        <f>ObesityDataSet_raw_and_data_sin!A1576</f>
        <v>Male</v>
      </c>
      <c r="B1576">
        <f>ObesityDataSet_raw_and_data_sin!C1576</f>
        <v>1.7624610000000001</v>
      </c>
      <c r="C1576">
        <f>ObesityDataSet_raw_and_data_sin!D1576</f>
        <v>115.531622</v>
      </c>
      <c r="D1576" t="str">
        <f>ObesityDataSet_raw_and_data_sin!Q1576</f>
        <v>Obesity_Type_II</v>
      </c>
      <c r="E1576" t="b">
        <f t="shared" si="97"/>
        <v>0</v>
      </c>
      <c r="F1576">
        <f>C1576/(B1576*B1576)</f>
        <v>37.193053889365821</v>
      </c>
      <c r="G1576" t="str">
        <f t="shared" si="98"/>
        <v>Obese</v>
      </c>
      <c r="H1576" t="str">
        <f t="shared" si="99"/>
        <v>OK</v>
      </c>
      <c r="I1576" t="str">
        <f t="shared" si="96"/>
        <v>OK</v>
      </c>
    </row>
    <row r="1577" spans="1:9" x14ac:dyDescent="0.2">
      <c r="A1577" t="str">
        <f>ObesityDataSet_raw_and_data_sin!A1577</f>
        <v>Male</v>
      </c>
      <c r="B1577">
        <f>ObesityDataSet_raw_and_data_sin!C1577</f>
        <v>1.7790490000000001</v>
      </c>
      <c r="C1577">
        <f>ObesityDataSet_raw_and_data_sin!D1577</f>
        <v>112.438508</v>
      </c>
      <c r="D1577" t="str">
        <f>ObesityDataSet_raw_and_data_sin!Q1577</f>
        <v>Obesity_Type_II</v>
      </c>
      <c r="E1577" t="b">
        <f t="shared" si="97"/>
        <v>0</v>
      </c>
      <c r="F1577">
        <f>C1577/(B1577*B1577)</f>
        <v>35.525422712059459</v>
      </c>
      <c r="G1577" t="str">
        <f t="shared" si="98"/>
        <v>Obese</v>
      </c>
      <c r="H1577" t="str">
        <f t="shared" si="99"/>
        <v>OK</v>
      </c>
      <c r="I1577" t="str">
        <f t="shared" si="96"/>
        <v>OK</v>
      </c>
    </row>
    <row r="1578" spans="1:9" x14ac:dyDescent="0.2">
      <c r="A1578" t="str">
        <f>ObesityDataSet_raw_and_data_sin!A1578</f>
        <v>Male</v>
      </c>
      <c r="B1578">
        <f>ObesityDataSet_raw_and_data_sin!C1578</f>
        <v>1.7807310000000001</v>
      </c>
      <c r="C1578">
        <f>ObesityDataSet_raw_and_data_sin!D1578</f>
        <v>112.957922</v>
      </c>
      <c r="D1578" t="str">
        <f>ObesityDataSet_raw_and_data_sin!Q1578</f>
        <v>Obesity_Type_II</v>
      </c>
      <c r="E1578" t="b">
        <f t="shared" si="97"/>
        <v>0</v>
      </c>
      <c r="F1578">
        <f>C1578/(B1578*B1578)</f>
        <v>35.622144085984047</v>
      </c>
      <c r="G1578" t="str">
        <f t="shared" si="98"/>
        <v>Obese</v>
      </c>
      <c r="H1578" t="str">
        <f t="shared" si="99"/>
        <v>OK</v>
      </c>
      <c r="I1578" t="str">
        <f t="shared" si="96"/>
        <v>OK</v>
      </c>
    </row>
    <row r="1579" spans="1:9" x14ac:dyDescent="0.2">
      <c r="A1579" t="str">
        <f>ObesityDataSet_raw_and_data_sin!A1579</f>
        <v>Male</v>
      </c>
      <c r="B1579">
        <f>ObesityDataSet_raw_and_data_sin!C1579</f>
        <v>1.872517</v>
      </c>
      <c r="C1579">
        <f>ObesityDataSet_raw_and_data_sin!D1579</f>
        <v>120.898397</v>
      </c>
      <c r="D1579" t="str">
        <f>ObesityDataSet_raw_and_data_sin!Q1579</f>
        <v>Obesity_Type_II</v>
      </c>
      <c r="E1579" t="b">
        <f t="shared" si="97"/>
        <v>0</v>
      </c>
      <c r="F1579">
        <f>C1579/(B1579*B1579)</f>
        <v>34.480138698363817</v>
      </c>
      <c r="G1579" t="str">
        <f t="shared" si="98"/>
        <v>Obese</v>
      </c>
      <c r="H1579" t="str">
        <f t="shared" si="99"/>
        <v>OK</v>
      </c>
      <c r="I1579" t="str">
        <f t="shared" si="96"/>
        <v>OK</v>
      </c>
    </row>
    <row r="1580" spans="1:9" x14ac:dyDescent="0.2">
      <c r="A1580" t="str">
        <f>ObesityDataSet_raw_and_data_sin!A1580</f>
        <v>Male</v>
      </c>
      <c r="B1580">
        <f>ObesityDataSet_raw_and_data_sin!C1580</f>
        <v>1.8012239999999999</v>
      </c>
      <c r="C1580">
        <f>ObesityDataSet_raw_and_data_sin!D1580</f>
        <v>119.050381</v>
      </c>
      <c r="D1580" t="str">
        <f>ObesityDataSet_raw_and_data_sin!Q1580</f>
        <v>Obesity_Type_II</v>
      </c>
      <c r="E1580" t="b">
        <f t="shared" si="97"/>
        <v>0</v>
      </c>
      <c r="F1580">
        <f>C1580/(B1580*B1580)</f>
        <v>36.694023913247747</v>
      </c>
      <c r="G1580" t="str">
        <f t="shared" si="98"/>
        <v>Obese</v>
      </c>
      <c r="H1580" t="str">
        <f t="shared" si="99"/>
        <v>OK</v>
      </c>
      <c r="I1580" t="str">
        <f t="shared" si="96"/>
        <v>OK</v>
      </c>
    </row>
    <row r="1581" spans="1:9" x14ac:dyDescent="0.2">
      <c r="A1581" t="str">
        <f>ObesityDataSet_raw_and_data_sin!A1581</f>
        <v>Male</v>
      </c>
      <c r="B1581">
        <f>ObesityDataSet_raw_and_data_sin!C1581</f>
        <v>1.876898</v>
      </c>
      <c r="C1581">
        <f>ObesityDataSet_raw_and_data_sin!D1581</f>
        <v>121.277832</v>
      </c>
      <c r="D1581" t="str">
        <f>ObesityDataSet_raw_and_data_sin!Q1581</f>
        <v>Obesity_Type_II</v>
      </c>
      <c r="E1581" t="b">
        <f t="shared" si="97"/>
        <v>0</v>
      </c>
      <c r="F1581">
        <f>C1581/(B1581*B1581)</f>
        <v>34.427071515950963</v>
      </c>
      <c r="G1581" t="str">
        <f t="shared" si="98"/>
        <v>Obese</v>
      </c>
      <c r="H1581" t="str">
        <f t="shared" si="99"/>
        <v>OK</v>
      </c>
      <c r="I1581" t="str">
        <f t="shared" si="96"/>
        <v>OK</v>
      </c>
    </row>
    <row r="1582" spans="1:9" x14ac:dyDescent="0.2">
      <c r="A1582" t="str">
        <f>ObesityDataSet_raw_and_data_sin!A1582</f>
        <v>Male</v>
      </c>
      <c r="B1582">
        <f>ObesityDataSet_raw_and_data_sin!C1582</f>
        <v>1.7755799999999999</v>
      </c>
      <c r="C1582">
        <f>ObesityDataSet_raw_and_data_sin!D1582</f>
        <v>120.58941900000001</v>
      </c>
      <c r="D1582" t="str">
        <f>ObesityDataSet_raw_and_data_sin!Q1582</f>
        <v>Obesity_Type_II</v>
      </c>
      <c r="E1582" t="b">
        <f t="shared" si="97"/>
        <v>0</v>
      </c>
      <c r="F1582">
        <f>C1582/(B1582*B1582)</f>
        <v>38.249759929247837</v>
      </c>
      <c r="G1582" t="str">
        <f t="shared" si="98"/>
        <v>Obese</v>
      </c>
      <c r="H1582" t="str">
        <f t="shared" si="99"/>
        <v>OK</v>
      </c>
      <c r="I1582" t="str">
        <f t="shared" si="96"/>
        <v>OK</v>
      </c>
    </row>
    <row r="1583" spans="1:9" x14ac:dyDescent="0.2">
      <c r="A1583" t="str">
        <f>ObesityDataSet_raw_and_data_sin!A1583</f>
        <v>Male</v>
      </c>
      <c r="B1583">
        <f>ObesityDataSet_raw_and_data_sin!C1583</f>
        <v>1.76569</v>
      </c>
      <c r="C1583">
        <f>ObesityDataSet_raw_and_data_sin!D1583</f>
        <v>120.08294100000001</v>
      </c>
      <c r="D1583" t="str">
        <f>ObesityDataSet_raw_and_data_sin!Q1583</f>
        <v>Obesity_Type_II</v>
      </c>
      <c r="E1583" t="b">
        <f t="shared" si="97"/>
        <v>0</v>
      </c>
      <c r="F1583">
        <f>C1583/(B1583*B1583)</f>
        <v>38.516995342712733</v>
      </c>
      <c r="G1583" t="str">
        <f t="shared" si="98"/>
        <v>Obese</v>
      </c>
      <c r="H1583" t="str">
        <f t="shared" si="99"/>
        <v>OK</v>
      </c>
      <c r="I1583" t="str">
        <f t="shared" si="96"/>
        <v>OK</v>
      </c>
    </row>
    <row r="1584" spans="1:9" x14ac:dyDescent="0.2">
      <c r="A1584" t="str">
        <f>ObesityDataSet_raw_and_data_sin!A1584</f>
        <v>Male</v>
      </c>
      <c r="B1584">
        <f>ObesityDataSet_raw_and_data_sin!C1584</f>
        <v>1.7597719999999999</v>
      </c>
      <c r="C1584">
        <f>ObesityDataSet_raw_and_data_sin!D1584</f>
        <v>118.382361</v>
      </c>
      <c r="D1584" t="str">
        <f>ObesityDataSet_raw_and_data_sin!Q1584</f>
        <v>Obesity_Type_II</v>
      </c>
      <c r="E1584" t="b">
        <f t="shared" si="97"/>
        <v>0</v>
      </c>
      <c r="F1584">
        <f>C1584/(B1584*B1584)</f>
        <v>38.227349804574061</v>
      </c>
      <c r="G1584" t="str">
        <f t="shared" si="98"/>
        <v>Obese</v>
      </c>
      <c r="H1584" t="str">
        <f t="shared" si="99"/>
        <v>OK</v>
      </c>
      <c r="I1584" t="str">
        <f t="shared" si="96"/>
        <v>OK</v>
      </c>
    </row>
    <row r="1585" spans="1:9" x14ac:dyDescent="0.2">
      <c r="A1585" t="str">
        <f>ObesityDataSet_raw_and_data_sin!A1585</f>
        <v>Male</v>
      </c>
      <c r="B1585">
        <f>ObesityDataSet_raw_and_data_sin!C1585</f>
        <v>1.823545</v>
      </c>
      <c r="C1585">
        <f>ObesityDataSet_raw_and_data_sin!D1585</f>
        <v>126.460936</v>
      </c>
      <c r="D1585" t="str">
        <f>ObesityDataSet_raw_and_data_sin!Q1585</f>
        <v>Obesity_Type_II</v>
      </c>
      <c r="E1585" t="b">
        <f t="shared" si="97"/>
        <v>0</v>
      </c>
      <c r="F1585">
        <f>C1585/(B1585*B1585)</f>
        <v>38.029745757134833</v>
      </c>
      <c r="G1585" t="str">
        <f t="shared" si="98"/>
        <v>Obese</v>
      </c>
      <c r="H1585" t="str">
        <f t="shared" si="99"/>
        <v>OK</v>
      </c>
      <c r="I1585" t="str">
        <f t="shared" si="96"/>
        <v>OK</v>
      </c>
    </row>
    <row r="1586" spans="1:9" x14ac:dyDescent="0.2">
      <c r="A1586" t="str">
        <f>ObesityDataSet_raw_and_data_sin!A1586</f>
        <v>Male</v>
      </c>
      <c r="B1586">
        <f>ObesityDataSet_raw_and_data_sin!C1586</f>
        <v>1.8689229999999999</v>
      </c>
      <c r="C1586">
        <f>ObesityDataSet_raw_and_data_sin!D1586</f>
        <v>125.06426399999999</v>
      </c>
      <c r="D1586" t="str">
        <f>ObesityDataSet_raw_and_data_sin!Q1586</f>
        <v>Obesity_Type_II</v>
      </c>
      <c r="E1586" t="b">
        <f t="shared" si="97"/>
        <v>0</v>
      </c>
      <c r="F1586">
        <f>C1586/(B1586*B1586)</f>
        <v>35.805555357306787</v>
      </c>
      <c r="G1586" t="str">
        <f t="shared" si="98"/>
        <v>Obese</v>
      </c>
      <c r="H1586" t="str">
        <f t="shared" si="99"/>
        <v>OK</v>
      </c>
      <c r="I1586" t="str">
        <f t="shared" si="96"/>
        <v>OK</v>
      </c>
    </row>
    <row r="1587" spans="1:9" x14ac:dyDescent="0.2">
      <c r="A1587" t="str">
        <f>ObesityDataSet_raw_and_data_sin!A1587</f>
        <v>Male</v>
      </c>
      <c r="B1587">
        <f>ObesityDataSet_raw_and_data_sin!C1587</f>
        <v>1.7715099999999999</v>
      </c>
      <c r="C1587">
        <f>ObesityDataSet_raw_and_data_sin!D1587</f>
        <v>113.20712399999999</v>
      </c>
      <c r="D1587" t="str">
        <f>ObesityDataSet_raw_and_data_sin!Q1587</f>
        <v>Obesity_Type_II</v>
      </c>
      <c r="E1587" t="b">
        <f t="shared" si="97"/>
        <v>0</v>
      </c>
      <c r="F1587">
        <f>C1587/(B1587*B1587)</f>
        <v>36.073355432670205</v>
      </c>
      <c r="G1587" t="str">
        <f t="shared" si="98"/>
        <v>Obese</v>
      </c>
      <c r="H1587" t="str">
        <f t="shared" si="99"/>
        <v>OK</v>
      </c>
      <c r="I1587" t="str">
        <f t="shared" si="96"/>
        <v>OK</v>
      </c>
    </row>
    <row r="1588" spans="1:9" x14ac:dyDescent="0.2">
      <c r="A1588" t="str">
        <f>ObesityDataSet_raw_and_data_sin!A1588</f>
        <v>Male</v>
      </c>
      <c r="B1588">
        <f>ObesityDataSet_raw_and_data_sin!C1588</f>
        <v>1.7721899999999999</v>
      </c>
      <c r="C1588">
        <f>ObesityDataSet_raw_and_data_sin!D1588</f>
        <v>114.097656</v>
      </c>
      <c r="D1588" t="str">
        <f>ObesityDataSet_raw_and_data_sin!Q1588</f>
        <v>Obesity_Type_II</v>
      </c>
      <c r="E1588" t="b">
        <f t="shared" si="97"/>
        <v>0</v>
      </c>
      <c r="F1588">
        <f>C1588/(B1588*B1588)</f>
        <v>36.329227168071242</v>
      </c>
      <c r="G1588" t="str">
        <f t="shared" si="98"/>
        <v>Obese</v>
      </c>
      <c r="H1588" t="str">
        <f t="shared" si="99"/>
        <v>OK</v>
      </c>
      <c r="I1588" t="str">
        <f t="shared" si="96"/>
        <v>OK</v>
      </c>
    </row>
    <row r="1589" spans="1:9" x14ac:dyDescent="0.2">
      <c r="A1589" t="str">
        <f>ObesityDataSet_raw_and_data_sin!A1589</f>
        <v>Male</v>
      </c>
      <c r="B1589">
        <f>ObesityDataSet_raw_and_data_sin!C1589</f>
        <v>1.8582650000000001</v>
      </c>
      <c r="C1589">
        <f>ObesityDataSet_raw_and_data_sin!D1589</f>
        <v>117.57456999999999</v>
      </c>
      <c r="D1589" t="str">
        <f>ObesityDataSet_raw_and_data_sin!Q1589</f>
        <v>Obesity_Type_II</v>
      </c>
      <c r="E1589" t="b">
        <f t="shared" si="97"/>
        <v>0</v>
      </c>
      <c r="F1589">
        <f>C1589/(B1589*B1589)</f>
        <v>34.048509479769301</v>
      </c>
      <c r="G1589" t="str">
        <f t="shared" si="98"/>
        <v>Obese</v>
      </c>
      <c r="H1589" t="str">
        <f t="shared" si="99"/>
        <v>OK</v>
      </c>
      <c r="I1589" t="str">
        <f t="shared" si="96"/>
        <v>OK</v>
      </c>
    </row>
    <row r="1590" spans="1:9" x14ac:dyDescent="0.2">
      <c r="A1590" t="str">
        <f>ObesityDataSet_raw_and_data_sin!A1590</f>
        <v>Male</v>
      </c>
      <c r="B1590">
        <f>ObesityDataSet_raw_and_data_sin!C1590</f>
        <v>1.8305959999999999</v>
      </c>
      <c r="C1590">
        <f>ObesityDataSet_raw_and_data_sin!D1590</f>
        <v>118.424156</v>
      </c>
      <c r="D1590" t="str">
        <f>ObesityDataSet_raw_and_data_sin!Q1590</f>
        <v>Obesity_Type_II</v>
      </c>
      <c r="E1590" t="b">
        <f t="shared" si="97"/>
        <v>0</v>
      </c>
      <c r="F1590">
        <f>C1590/(B1590*B1590)</f>
        <v>35.339083336070416</v>
      </c>
      <c r="G1590" t="str">
        <f t="shared" si="98"/>
        <v>Obese</v>
      </c>
      <c r="H1590" t="str">
        <f t="shared" si="99"/>
        <v>OK</v>
      </c>
      <c r="I1590" t="str">
        <f t="shared" si="96"/>
        <v>OK</v>
      </c>
    </row>
    <row r="1591" spans="1:9" x14ac:dyDescent="0.2">
      <c r="A1591" t="str">
        <f>ObesityDataSet_raw_and_data_sin!A1591</f>
        <v>Male</v>
      </c>
      <c r="B1591">
        <f>ObesityDataSet_raw_and_data_sin!C1591</f>
        <v>1.765836</v>
      </c>
      <c r="C1591">
        <f>ObesityDataSet_raw_and_data_sin!D1591</f>
        <v>118.53324600000001</v>
      </c>
      <c r="D1591" t="str">
        <f>ObesityDataSet_raw_and_data_sin!Q1591</f>
        <v>Obesity_Type_II</v>
      </c>
      <c r="E1591" t="b">
        <f t="shared" si="97"/>
        <v>0</v>
      </c>
      <c r="F1591">
        <f>C1591/(B1591*B1591)</f>
        <v>38.013638868148803</v>
      </c>
      <c r="G1591" t="str">
        <f t="shared" si="98"/>
        <v>Obese</v>
      </c>
      <c r="H1591" t="str">
        <f t="shared" si="99"/>
        <v>OK</v>
      </c>
      <c r="I1591" t="str">
        <f t="shared" si="96"/>
        <v>OK</v>
      </c>
    </row>
    <row r="1592" spans="1:9" x14ac:dyDescent="0.2">
      <c r="A1592" t="str">
        <f>ObesityDataSet_raw_and_data_sin!A1592</f>
        <v>Male</v>
      </c>
      <c r="B1592">
        <f>ObesityDataSet_raw_and_data_sin!C1592</f>
        <v>1.770278</v>
      </c>
      <c r="C1592">
        <f>ObesityDataSet_raw_and_data_sin!D1592</f>
        <v>117.29188000000001</v>
      </c>
      <c r="D1592" t="str">
        <f>ObesityDataSet_raw_and_data_sin!Q1592</f>
        <v>Obesity_Type_II</v>
      </c>
      <c r="E1592" t="b">
        <f t="shared" si="97"/>
        <v>0</v>
      </c>
      <c r="F1592">
        <f>C1592/(B1592*B1592)</f>
        <v>37.426998770934723</v>
      </c>
      <c r="G1592" t="str">
        <f t="shared" si="98"/>
        <v>Obese</v>
      </c>
      <c r="H1592" t="str">
        <f t="shared" si="99"/>
        <v>OK</v>
      </c>
      <c r="I1592" t="str">
        <f t="shared" si="96"/>
        <v>OK</v>
      </c>
    </row>
    <row r="1593" spans="1:9" x14ac:dyDescent="0.2">
      <c r="A1593" t="str">
        <f>ObesityDataSet_raw_and_data_sin!A1593</f>
        <v>Male</v>
      </c>
      <c r="B1593">
        <f>ObesityDataSet_raw_and_data_sin!C1593</f>
        <v>1.6734910000000001</v>
      </c>
      <c r="C1593">
        <f>ObesityDataSet_raw_and_data_sin!D1593</f>
        <v>103.706181</v>
      </c>
      <c r="D1593" t="str">
        <f>ObesityDataSet_raw_and_data_sin!Q1593</f>
        <v>Obesity_Type_II</v>
      </c>
      <c r="E1593" t="b">
        <f t="shared" si="97"/>
        <v>0</v>
      </c>
      <c r="F1593">
        <f>C1593/(B1593*B1593)</f>
        <v>37.030355332462584</v>
      </c>
      <c r="G1593" t="str">
        <f t="shared" si="98"/>
        <v>Obese</v>
      </c>
      <c r="H1593" t="str">
        <f t="shared" si="99"/>
        <v>OK</v>
      </c>
      <c r="I1593" t="str">
        <f t="shared" si="96"/>
        <v>OK</v>
      </c>
    </row>
    <row r="1594" spans="1:9" x14ac:dyDescent="0.2">
      <c r="A1594" t="str">
        <f>ObesityDataSet_raw_and_data_sin!A1594</f>
        <v>Male</v>
      </c>
      <c r="B1594">
        <f>ObesityDataSet_raw_and_data_sin!C1594</f>
        <v>1.703346</v>
      </c>
      <c r="C1594">
        <f>ObesityDataSet_raw_and_data_sin!D1594</f>
        <v>102.686239</v>
      </c>
      <c r="D1594" t="str">
        <f>ObesityDataSet_raw_and_data_sin!Q1594</f>
        <v>Obesity_Type_II</v>
      </c>
      <c r="E1594" t="b">
        <f t="shared" si="97"/>
        <v>0</v>
      </c>
      <c r="F1594">
        <f>C1594/(B1594*B1594)</f>
        <v>35.392113467231958</v>
      </c>
      <c r="G1594" t="str">
        <f t="shared" si="98"/>
        <v>Obese</v>
      </c>
      <c r="H1594" t="str">
        <f t="shared" si="99"/>
        <v>OK</v>
      </c>
      <c r="I1594" t="str">
        <f t="shared" si="96"/>
        <v>OK</v>
      </c>
    </row>
    <row r="1595" spans="1:9" x14ac:dyDescent="0.2">
      <c r="A1595" t="str">
        <f>ObesityDataSet_raw_and_data_sin!A1595</f>
        <v>Male</v>
      </c>
      <c r="B1595">
        <f>ObesityDataSet_raw_and_data_sin!C1595</f>
        <v>1.8429059999999999</v>
      </c>
      <c r="C1595">
        <f>ObesityDataSet_raw_and_data_sin!D1595</f>
        <v>121.142535</v>
      </c>
      <c r="D1595" t="str">
        <f>ObesityDataSet_raw_and_data_sin!Q1595</f>
        <v>Obesity_Type_II</v>
      </c>
      <c r="E1595" t="b">
        <f t="shared" si="97"/>
        <v>0</v>
      </c>
      <c r="F1595">
        <f>C1595/(B1595*B1595)</f>
        <v>35.668947072331171</v>
      </c>
      <c r="G1595" t="str">
        <f t="shared" si="98"/>
        <v>Obese</v>
      </c>
      <c r="H1595" t="str">
        <f t="shared" si="99"/>
        <v>OK</v>
      </c>
      <c r="I1595" t="str">
        <f t="shared" si="96"/>
        <v>OK</v>
      </c>
    </row>
    <row r="1596" spans="1:9" x14ac:dyDescent="0.2">
      <c r="A1596" t="str">
        <f>ObesityDataSet_raw_and_data_sin!A1596</f>
        <v>Male</v>
      </c>
      <c r="B1596">
        <f>ObesityDataSet_raw_and_data_sin!C1596</f>
        <v>1.779547</v>
      </c>
      <c r="C1596">
        <f>ObesityDataSet_raw_and_data_sin!D1596</f>
        <v>118.74003500000001</v>
      </c>
      <c r="D1596" t="str">
        <f>ObesityDataSet_raw_and_data_sin!Q1596</f>
        <v>Obesity_Type_II</v>
      </c>
      <c r="E1596" t="b">
        <f t="shared" si="97"/>
        <v>0</v>
      </c>
      <c r="F1596">
        <f>C1596/(B1596*B1596)</f>
        <v>37.495422113033449</v>
      </c>
      <c r="G1596" t="str">
        <f t="shared" si="98"/>
        <v>Obese</v>
      </c>
      <c r="H1596" t="str">
        <f t="shared" si="99"/>
        <v>OK</v>
      </c>
      <c r="I1596" t="str">
        <f t="shared" si="96"/>
        <v>OK</v>
      </c>
    </row>
    <row r="1597" spans="1:9" x14ac:dyDescent="0.2">
      <c r="A1597" t="str">
        <f>ObesityDataSet_raw_and_data_sin!A1597</f>
        <v>Male</v>
      </c>
      <c r="B1597">
        <f>ObesityDataSet_raw_and_data_sin!C1597</f>
        <v>1.8733679999999999</v>
      </c>
      <c r="C1597">
        <f>ObesityDataSet_raw_and_data_sin!D1597</f>
        <v>121.82962000000001</v>
      </c>
      <c r="D1597" t="str">
        <f>ObesityDataSet_raw_and_data_sin!Q1597</f>
        <v>Obesity_Type_II</v>
      </c>
      <c r="E1597" t="b">
        <f t="shared" si="97"/>
        <v>0</v>
      </c>
      <c r="F1597">
        <f>C1597/(B1597*B1597)</f>
        <v>34.714162692877188</v>
      </c>
      <c r="G1597" t="str">
        <f t="shared" si="98"/>
        <v>Obese</v>
      </c>
      <c r="H1597" t="str">
        <f t="shared" si="99"/>
        <v>OK</v>
      </c>
      <c r="I1597" t="str">
        <f t="shared" si="96"/>
        <v>OK</v>
      </c>
    </row>
    <row r="1598" spans="1:9" x14ac:dyDescent="0.2">
      <c r="A1598" t="str">
        <f>ObesityDataSet_raw_and_data_sin!A1598</f>
        <v>Male</v>
      </c>
      <c r="B1598">
        <f>ObesityDataSet_raw_and_data_sin!C1598</f>
        <v>1.7559020000000001</v>
      </c>
      <c r="C1598">
        <f>ObesityDataSet_raw_and_data_sin!D1598</f>
        <v>120.02116100000001</v>
      </c>
      <c r="D1598" t="str">
        <f>ObesityDataSet_raw_and_data_sin!Q1598</f>
        <v>Obesity_Type_II</v>
      </c>
      <c r="E1598" t="b">
        <f t="shared" si="97"/>
        <v>0</v>
      </c>
      <c r="F1598">
        <f>C1598/(B1598*B1598)</f>
        <v>38.927568402289467</v>
      </c>
      <c r="G1598" t="str">
        <f t="shared" si="98"/>
        <v>Obese</v>
      </c>
      <c r="H1598" t="str">
        <f t="shared" si="99"/>
        <v>OK</v>
      </c>
      <c r="I1598" t="str">
        <f t="shared" si="96"/>
        <v>OK</v>
      </c>
    </row>
    <row r="1599" spans="1:9" x14ac:dyDescent="0.2">
      <c r="A1599" t="str">
        <f>ObesityDataSet_raw_and_data_sin!A1599</f>
        <v>Male</v>
      </c>
      <c r="B1599">
        <f>ObesityDataSet_raw_and_data_sin!C1599</f>
        <v>1.6176550000000001</v>
      </c>
      <c r="C1599">
        <f>ObesityDataSet_raw_and_data_sin!D1599</f>
        <v>100.941357</v>
      </c>
      <c r="D1599" t="str">
        <f>ObesityDataSet_raw_and_data_sin!Q1599</f>
        <v>Obesity_Type_II</v>
      </c>
      <c r="E1599" t="b">
        <f t="shared" si="97"/>
        <v>0</v>
      </c>
      <c r="F1599">
        <f>C1599/(B1599*B1599)</f>
        <v>38.574235713847017</v>
      </c>
      <c r="G1599" t="str">
        <f t="shared" si="98"/>
        <v>Obese</v>
      </c>
      <c r="H1599" t="str">
        <f t="shared" si="99"/>
        <v>OK</v>
      </c>
      <c r="I1599" t="str">
        <f t="shared" si="96"/>
        <v>OK</v>
      </c>
    </row>
    <row r="1600" spans="1:9" x14ac:dyDescent="0.2">
      <c r="A1600" t="str">
        <f>ObesityDataSet_raw_and_data_sin!A1600</f>
        <v>Male</v>
      </c>
      <c r="B1600">
        <f>ObesityDataSet_raw_and_data_sin!C1600</f>
        <v>1.644517</v>
      </c>
      <c r="C1600">
        <f>ObesityDataSet_raw_and_data_sin!D1600</f>
        <v>100.004418</v>
      </c>
      <c r="D1600" t="str">
        <f>ObesityDataSet_raw_and_data_sin!Q1600</f>
        <v>Obesity_Type_II</v>
      </c>
      <c r="E1600" t="b">
        <f t="shared" si="97"/>
        <v>0</v>
      </c>
      <c r="F1600">
        <f>C1600/(B1600*B1600)</f>
        <v>36.977917747697781</v>
      </c>
      <c r="G1600" t="str">
        <f t="shared" si="98"/>
        <v>Obese</v>
      </c>
      <c r="H1600" t="str">
        <f t="shared" si="99"/>
        <v>OK</v>
      </c>
      <c r="I1600" t="str">
        <f t="shared" si="96"/>
        <v>OK</v>
      </c>
    </row>
    <row r="1601" spans="1:9" x14ac:dyDescent="0.2">
      <c r="A1601" t="str">
        <f>ObesityDataSet_raw_and_data_sin!A1601</f>
        <v>Male</v>
      </c>
      <c r="B1601">
        <f>ObesityDataSet_raw_and_data_sin!C1601</f>
        <v>1.701284</v>
      </c>
      <c r="C1601">
        <f>ObesityDataSet_raw_and_data_sin!D1601</f>
        <v>104.578255</v>
      </c>
      <c r="D1601" t="str">
        <f>ObesityDataSet_raw_and_data_sin!Q1601</f>
        <v>Obesity_Type_II</v>
      </c>
      <c r="E1601" t="b">
        <f t="shared" si="97"/>
        <v>0</v>
      </c>
      <c r="F1601">
        <f>C1601/(B1601*B1601)</f>
        <v>36.131646752346626</v>
      </c>
      <c r="G1601" t="str">
        <f t="shared" si="98"/>
        <v>Obese</v>
      </c>
      <c r="H1601" t="str">
        <f t="shared" si="99"/>
        <v>OK</v>
      </c>
      <c r="I1601" t="str">
        <f t="shared" si="96"/>
        <v>OK</v>
      </c>
    </row>
    <row r="1602" spans="1:9" x14ac:dyDescent="0.2">
      <c r="A1602" t="str">
        <f>ObesityDataSet_raw_and_data_sin!A1602</f>
        <v>Male</v>
      </c>
      <c r="B1602">
        <f>ObesityDataSet_raw_and_data_sin!C1602</f>
        <v>1.6589100000000001</v>
      </c>
      <c r="C1602">
        <f>ObesityDataSet_raw_and_data_sin!D1602</f>
        <v>104.548794</v>
      </c>
      <c r="D1602" t="str">
        <f>ObesityDataSet_raw_and_data_sin!Q1602</f>
        <v>Obesity_Type_II</v>
      </c>
      <c r="E1602" t="b">
        <f t="shared" si="97"/>
        <v>0</v>
      </c>
      <c r="F1602">
        <f>C1602/(B1602*B1602)</f>
        <v>37.990357224699267</v>
      </c>
      <c r="G1602" t="str">
        <f t="shared" si="98"/>
        <v>Obese</v>
      </c>
      <c r="H1602" t="str">
        <f t="shared" si="99"/>
        <v>OK</v>
      </c>
      <c r="I1602" t="str">
        <f t="shared" ref="I1602:I1665" si="100">IF(AND(LEFT(D1602,10)="Overweight",G1602&lt;&gt;"Overweight"),"ERROR","OK")</f>
        <v>OK</v>
      </c>
    </row>
    <row r="1603" spans="1:9" x14ac:dyDescent="0.2">
      <c r="A1603" t="str">
        <f>ObesityDataSet_raw_and_data_sin!A1603</f>
        <v>Male</v>
      </c>
      <c r="B1603">
        <f>ObesityDataSet_raw_and_data_sin!C1603</f>
        <v>1.7593240000000001</v>
      </c>
      <c r="C1603">
        <f>ObesityDataSet_raw_and_data_sin!D1603</f>
        <v>112.000381</v>
      </c>
      <c r="D1603" t="str">
        <f>ObesityDataSet_raw_and_data_sin!Q1603</f>
        <v>Obesity_Type_II</v>
      </c>
      <c r="E1603" t="b">
        <f t="shared" ref="E1603:E1666" si="101">IF(AND(A1603="Female", B1603&lt;1.5), TRUE, IF(AND(A1603="Male",B1603&lt;1.6),TRUE, FALSE))</f>
        <v>0</v>
      </c>
      <c r="F1603">
        <f>C1603/(B1603*B1603)</f>
        <v>36.184939065908246</v>
      </c>
      <c r="G1603" t="str">
        <f t="shared" ref="G1603:G1666" si="102">IF(E1603=TRUE,IF(F1603&lt;23,"Normal",IF(F1603&lt;25,"Overweight","Obese")),IF(F1603&lt;25,"Normal",IF(F1603&lt;30,"Overweight","Obese")))</f>
        <v>Obese</v>
      </c>
      <c r="H1603" t="str">
        <f t="shared" ref="H1603:H1666" si="103">IF(AND(D1603="Normal_Weight",G1603&lt;&gt;"Normal"),"ERROR","OK")</f>
        <v>OK</v>
      </c>
      <c r="I1603" t="str">
        <f t="shared" si="100"/>
        <v>OK</v>
      </c>
    </row>
    <row r="1604" spans="1:9" x14ac:dyDescent="0.2">
      <c r="A1604" t="str">
        <f>ObesityDataSet_raw_and_data_sin!A1604</f>
        <v>Male</v>
      </c>
      <c r="B1604">
        <f>ObesityDataSet_raw_and_data_sin!C1604</f>
        <v>1.7583819999999999</v>
      </c>
      <c r="C1604">
        <f>ObesityDataSet_raw_and_data_sin!D1604</f>
        <v>112.10074</v>
      </c>
      <c r="D1604" t="str">
        <f>ObesityDataSet_raw_and_data_sin!Q1604</f>
        <v>Obesity_Type_II</v>
      </c>
      <c r="E1604" t="b">
        <f t="shared" si="101"/>
        <v>0</v>
      </c>
      <c r="F1604">
        <f>C1604/(B1604*B1604)</f>
        <v>36.256178031441941</v>
      </c>
      <c r="G1604" t="str">
        <f t="shared" si="102"/>
        <v>Obese</v>
      </c>
      <c r="H1604" t="str">
        <f t="shared" si="103"/>
        <v>OK</v>
      </c>
      <c r="I1604" t="str">
        <f t="shared" si="100"/>
        <v>OK</v>
      </c>
    </row>
    <row r="1605" spans="1:9" x14ac:dyDescent="0.2">
      <c r="A1605" t="str">
        <f>ObesityDataSet_raw_and_data_sin!A1605</f>
        <v>Male</v>
      </c>
      <c r="B1605">
        <f>ObesityDataSet_raw_and_data_sin!C1605</f>
        <v>1.6222970000000001</v>
      </c>
      <c r="C1605">
        <f>ObesityDataSet_raw_and_data_sin!D1605</f>
        <v>99.982540999999998</v>
      </c>
      <c r="D1605" t="str">
        <f>ObesityDataSet_raw_and_data_sin!Q1605</f>
        <v>Obesity_Type_II</v>
      </c>
      <c r="E1605" t="b">
        <f t="shared" si="101"/>
        <v>0</v>
      </c>
      <c r="F1605">
        <f>C1605/(B1605*B1605)</f>
        <v>37.989487941322153</v>
      </c>
      <c r="G1605" t="str">
        <f t="shared" si="102"/>
        <v>Obese</v>
      </c>
      <c r="H1605" t="str">
        <f t="shared" si="103"/>
        <v>OK</v>
      </c>
      <c r="I1605" t="str">
        <f t="shared" si="100"/>
        <v>OK</v>
      </c>
    </row>
    <row r="1606" spans="1:9" x14ac:dyDescent="0.2">
      <c r="A1606" t="str">
        <f>ObesityDataSet_raw_and_data_sin!A1606</f>
        <v>Male</v>
      </c>
      <c r="B1606">
        <f>ObesityDataSet_raw_and_data_sin!C1606</f>
        <v>1.623278</v>
      </c>
      <c r="C1606">
        <f>ObesityDataSet_raw_and_data_sin!D1606</f>
        <v>97.582959000000002</v>
      </c>
      <c r="D1606" t="str">
        <f>ObesityDataSet_raw_and_data_sin!Q1606</f>
        <v>Obesity_Type_II</v>
      </c>
      <c r="E1606" t="b">
        <f t="shared" si="101"/>
        <v>0</v>
      </c>
      <c r="F1606">
        <f>C1606/(B1606*B1606)</f>
        <v>37.03293880381905</v>
      </c>
      <c r="G1606" t="str">
        <f t="shared" si="102"/>
        <v>Obese</v>
      </c>
      <c r="H1606" t="str">
        <f t="shared" si="103"/>
        <v>OK</v>
      </c>
      <c r="I1606" t="str">
        <f t="shared" si="100"/>
        <v>OK</v>
      </c>
    </row>
    <row r="1607" spans="1:9" x14ac:dyDescent="0.2">
      <c r="A1607" t="str">
        <f>ObesityDataSet_raw_and_data_sin!A1607</f>
        <v>Male</v>
      </c>
      <c r="B1607">
        <f>ObesityDataSet_raw_and_data_sin!C1607</f>
        <v>1.9188590000000001</v>
      </c>
      <c r="C1607">
        <f>ObesityDataSet_raw_and_data_sin!D1607</f>
        <v>129.991623</v>
      </c>
      <c r="D1607" t="str">
        <f>ObesityDataSet_raw_and_data_sin!Q1607</f>
        <v>Obesity_Type_II</v>
      </c>
      <c r="E1607" t="b">
        <f t="shared" si="101"/>
        <v>0</v>
      </c>
      <c r="F1607">
        <f>C1607/(B1607*B1607)</f>
        <v>35.304432859194939</v>
      </c>
      <c r="G1607" t="str">
        <f t="shared" si="102"/>
        <v>Obese</v>
      </c>
      <c r="H1607" t="str">
        <f t="shared" si="103"/>
        <v>OK</v>
      </c>
      <c r="I1607" t="str">
        <f t="shared" si="100"/>
        <v>OK</v>
      </c>
    </row>
    <row r="1608" spans="1:9" x14ac:dyDescent="0.2">
      <c r="A1608" t="str">
        <f>ObesityDataSet_raw_and_data_sin!A1608</f>
        <v>Male</v>
      </c>
      <c r="B1608">
        <f>ObesityDataSet_raw_and_data_sin!C1608</f>
        <v>1.913252</v>
      </c>
      <c r="C1608">
        <f>ObesityDataSet_raw_and_data_sin!D1608</f>
        <v>129.23221599999999</v>
      </c>
      <c r="D1608" t="str">
        <f>ObesityDataSet_raw_and_data_sin!Q1608</f>
        <v>Obesity_Type_II</v>
      </c>
      <c r="E1608" t="b">
        <f t="shared" si="101"/>
        <v>0</v>
      </c>
      <c r="F1608">
        <f>C1608/(B1608*B1608)</f>
        <v>35.304205259671896</v>
      </c>
      <c r="G1608" t="str">
        <f t="shared" si="102"/>
        <v>Obese</v>
      </c>
      <c r="H1608" t="str">
        <f t="shared" si="103"/>
        <v>OK</v>
      </c>
      <c r="I1608" t="str">
        <f t="shared" si="100"/>
        <v>OK</v>
      </c>
    </row>
    <row r="1609" spans="1:9" x14ac:dyDescent="0.2">
      <c r="A1609" t="str">
        <f>ObesityDataSet_raw_and_data_sin!A1609</f>
        <v>Male</v>
      </c>
      <c r="B1609">
        <f>ObesityDataSet_raw_and_data_sin!C1609</f>
        <v>1.75</v>
      </c>
      <c r="C1609">
        <f>ObesityDataSet_raw_and_data_sin!D1609</f>
        <v>118.07380999999999</v>
      </c>
      <c r="D1609" t="str">
        <f>ObesityDataSet_raw_and_data_sin!Q1609</f>
        <v>Obesity_Type_II</v>
      </c>
      <c r="E1609" t="b">
        <f t="shared" si="101"/>
        <v>0</v>
      </c>
      <c r="F1609">
        <f>C1609/(B1609*B1609)</f>
        <v>38.554713469387757</v>
      </c>
      <c r="G1609" t="str">
        <f t="shared" si="102"/>
        <v>Obese</v>
      </c>
      <c r="H1609" t="str">
        <f t="shared" si="103"/>
        <v>OK</v>
      </c>
      <c r="I1609" t="str">
        <f t="shared" si="100"/>
        <v>OK</v>
      </c>
    </row>
    <row r="1610" spans="1:9" x14ac:dyDescent="0.2">
      <c r="A1610" t="str">
        <f>ObesityDataSet_raw_and_data_sin!A1610</f>
        <v>Male</v>
      </c>
      <c r="B1610">
        <f>ObesityDataSet_raw_and_data_sin!C1610</f>
        <v>1.75</v>
      </c>
      <c r="C1610">
        <f>ObesityDataSet_raw_and_data_sin!D1610</f>
        <v>119.02910300000001</v>
      </c>
      <c r="D1610" t="str">
        <f>ObesityDataSet_raw_and_data_sin!Q1610</f>
        <v>Obesity_Type_II</v>
      </c>
      <c r="E1610" t="b">
        <f t="shared" si="101"/>
        <v>0</v>
      </c>
      <c r="F1610">
        <f>C1610/(B1610*B1610)</f>
        <v>38.866645877551022</v>
      </c>
      <c r="G1610" t="str">
        <f t="shared" si="102"/>
        <v>Obese</v>
      </c>
      <c r="H1610" t="str">
        <f t="shared" si="103"/>
        <v>OK</v>
      </c>
      <c r="I1610" t="str">
        <f t="shared" si="100"/>
        <v>OK</v>
      </c>
    </row>
    <row r="1611" spans="1:9" x14ac:dyDescent="0.2">
      <c r="A1611" t="str">
        <f>ObesityDataSet_raw_and_data_sin!A1611</f>
        <v>Male</v>
      </c>
      <c r="B1611">
        <f>ObesityDataSet_raw_and_data_sin!C1611</f>
        <v>1.784994</v>
      </c>
      <c r="C1611">
        <f>ObesityDataSet_raw_and_data_sin!D1611</f>
        <v>113.714521</v>
      </c>
      <c r="D1611" t="str">
        <f>ObesityDataSet_raw_and_data_sin!Q1611</f>
        <v>Obesity_Type_II</v>
      </c>
      <c r="E1611" t="b">
        <f t="shared" si="101"/>
        <v>0</v>
      </c>
      <c r="F1611">
        <f>C1611/(B1611*B1611)</f>
        <v>35.689659541062717</v>
      </c>
      <c r="G1611" t="str">
        <f t="shared" si="102"/>
        <v>Obese</v>
      </c>
      <c r="H1611" t="str">
        <f t="shared" si="103"/>
        <v>OK</v>
      </c>
      <c r="I1611" t="str">
        <f t="shared" si="100"/>
        <v>OK</v>
      </c>
    </row>
    <row r="1612" spans="1:9" x14ac:dyDescent="0.2">
      <c r="A1612" t="str">
        <f>ObesityDataSet_raw_and_data_sin!A1612</f>
        <v>Male</v>
      </c>
      <c r="B1612">
        <f>ObesityDataSet_raw_and_data_sin!C1612</f>
        <v>1.7925329999999999</v>
      </c>
      <c r="C1612">
        <f>ObesityDataSet_raw_and_data_sin!D1612</f>
        <v>116.157766</v>
      </c>
      <c r="D1612" t="str">
        <f>ObesityDataSet_raw_and_data_sin!Q1612</f>
        <v>Obesity_Type_II</v>
      </c>
      <c r="E1612" t="b">
        <f t="shared" si="101"/>
        <v>0</v>
      </c>
      <c r="F1612">
        <f>C1612/(B1612*B1612)</f>
        <v>36.15046863230004</v>
      </c>
      <c r="G1612" t="str">
        <f t="shared" si="102"/>
        <v>Obese</v>
      </c>
      <c r="H1612" t="str">
        <f t="shared" si="103"/>
        <v>OK</v>
      </c>
      <c r="I1612" t="str">
        <f t="shared" si="100"/>
        <v>OK</v>
      </c>
    </row>
    <row r="1613" spans="1:9" x14ac:dyDescent="0.2">
      <c r="A1613" t="str">
        <f>ObesityDataSet_raw_and_data_sin!A1613</f>
        <v>Male</v>
      </c>
      <c r="B1613">
        <f>ObesityDataSet_raw_and_data_sin!C1613</f>
        <v>1.8297570000000001</v>
      </c>
      <c r="C1613">
        <f>ObesityDataSet_raw_and_data_sin!D1613</f>
        <v>120.980508</v>
      </c>
      <c r="D1613" t="str">
        <f>ObesityDataSet_raw_and_data_sin!Q1613</f>
        <v>Obesity_Type_II</v>
      </c>
      <c r="E1613" t="b">
        <f t="shared" si="101"/>
        <v>0</v>
      </c>
      <c r="F1613">
        <f>C1613/(B1613*B1613)</f>
        <v>36.135042446867111</v>
      </c>
      <c r="G1613" t="str">
        <f t="shared" si="102"/>
        <v>Obese</v>
      </c>
      <c r="H1613" t="str">
        <f t="shared" si="103"/>
        <v>OK</v>
      </c>
      <c r="I1613" t="str">
        <f t="shared" si="100"/>
        <v>OK</v>
      </c>
    </row>
    <row r="1614" spans="1:9" x14ac:dyDescent="0.2">
      <c r="A1614" t="str">
        <f>ObesityDataSet_raw_and_data_sin!A1614</f>
        <v>Male</v>
      </c>
      <c r="B1614">
        <f>ObesityDataSet_raw_and_data_sin!C1614</f>
        <v>1.7964150000000001</v>
      </c>
      <c r="C1614">
        <f>ObesityDataSet_raw_and_data_sin!D1614</f>
        <v>120.988454</v>
      </c>
      <c r="D1614" t="str">
        <f>ObesityDataSet_raw_and_data_sin!Q1614</f>
        <v>Obesity_Type_II</v>
      </c>
      <c r="E1614" t="b">
        <f t="shared" si="101"/>
        <v>0</v>
      </c>
      <c r="F1614">
        <f>C1614/(B1614*B1614)</f>
        <v>37.491307087207801</v>
      </c>
      <c r="G1614" t="str">
        <f t="shared" si="102"/>
        <v>Obese</v>
      </c>
      <c r="H1614" t="str">
        <f t="shared" si="103"/>
        <v>OK</v>
      </c>
      <c r="I1614" t="str">
        <f t="shared" si="100"/>
        <v>OK</v>
      </c>
    </row>
    <row r="1615" spans="1:9" x14ac:dyDescent="0.2">
      <c r="A1615" t="str">
        <f>ObesityDataSet_raw_and_data_sin!A1615</f>
        <v>Male</v>
      </c>
      <c r="B1615">
        <f>ObesityDataSet_raw_and_data_sin!C1615</f>
        <v>1.75</v>
      </c>
      <c r="C1615">
        <f>ObesityDataSet_raw_and_data_sin!D1615</f>
        <v>120</v>
      </c>
      <c r="D1615" t="str">
        <f>ObesityDataSet_raw_and_data_sin!Q1615</f>
        <v>Obesity_Type_II</v>
      </c>
      <c r="E1615" t="b">
        <f t="shared" si="101"/>
        <v>0</v>
      </c>
      <c r="F1615">
        <f>C1615/(B1615*B1615)</f>
        <v>39.183673469387756</v>
      </c>
      <c r="G1615" t="str">
        <f t="shared" si="102"/>
        <v>Obese</v>
      </c>
      <c r="H1615" t="str">
        <f t="shared" si="103"/>
        <v>OK</v>
      </c>
      <c r="I1615" t="str">
        <f t="shared" si="100"/>
        <v>OK</v>
      </c>
    </row>
    <row r="1616" spans="1:9" x14ac:dyDescent="0.2">
      <c r="A1616" t="str">
        <f>ObesityDataSet_raw_and_data_sin!A1616</f>
        <v>Male</v>
      </c>
      <c r="B1616">
        <f>ObesityDataSet_raw_and_data_sin!C1616</f>
        <v>1.762389</v>
      </c>
      <c r="C1616">
        <f>ObesityDataSet_raw_and_data_sin!D1616</f>
        <v>118.548733</v>
      </c>
      <c r="D1616" t="str">
        <f>ObesityDataSet_raw_and_data_sin!Q1616</f>
        <v>Obesity_Type_II</v>
      </c>
      <c r="E1616" t="b">
        <f t="shared" si="101"/>
        <v>0</v>
      </c>
      <c r="F1616">
        <f>C1616/(B1616*B1616)</f>
        <v>38.167469726941221</v>
      </c>
      <c r="G1616" t="str">
        <f t="shared" si="102"/>
        <v>Obese</v>
      </c>
      <c r="H1616" t="str">
        <f t="shared" si="103"/>
        <v>OK</v>
      </c>
      <c r="I1616" t="str">
        <f t="shared" si="100"/>
        <v>OK</v>
      </c>
    </row>
    <row r="1617" spans="1:9" x14ac:dyDescent="0.2">
      <c r="A1617" t="str">
        <f>ObesityDataSet_raw_and_data_sin!A1617</f>
        <v>Male</v>
      </c>
      <c r="B1617">
        <f>ObesityDataSet_raw_and_data_sin!C1617</f>
        <v>1.825718</v>
      </c>
      <c r="C1617">
        <f>ObesityDataSet_raw_and_data_sin!D1617</f>
        <v>121.236915</v>
      </c>
      <c r="D1617" t="str">
        <f>ObesityDataSet_raw_and_data_sin!Q1617</f>
        <v>Obesity_Type_II</v>
      </c>
      <c r="E1617" t="b">
        <f t="shared" si="101"/>
        <v>0</v>
      </c>
      <c r="F1617">
        <f>C1617/(B1617*B1617)</f>
        <v>36.372025095344199</v>
      </c>
      <c r="G1617" t="str">
        <f t="shared" si="102"/>
        <v>Obese</v>
      </c>
      <c r="H1617" t="str">
        <f t="shared" si="103"/>
        <v>OK</v>
      </c>
      <c r="I1617" t="str">
        <f t="shared" si="100"/>
        <v>OK</v>
      </c>
    </row>
    <row r="1618" spans="1:9" x14ac:dyDescent="0.2">
      <c r="A1618" t="str">
        <f>ObesityDataSet_raw_and_data_sin!A1618</f>
        <v>Male</v>
      </c>
      <c r="B1618">
        <f>ObesityDataSet_raw_and_data_sin!C1618</f>
        <v>1.839699</v>
      </c>
      <c r="C1618">
        <f>ObesityDataSet_raw_and_data_sin!D1618</f>
        <v>120.431551</v>
      </c>
      <c r="D1618" t="str">
        <f>ObesityDataSet_raw_and_data_sin!Q1618</f>
        <v>Obesity_Type_II</v>
      </c>
      <c r="E1618" t="b">
        <f t="shared" si="101"/>
        <v>0</v>
      </c>
      <c r="F1618">
        <f>C1618/(B1618*B1618)</f>
        <v>35.583342016894761</v>
      </c>
      <c r="G1618" t="str">
        <f t="shared" si="102"/>
        <v>Obese</v>
      </c>
      <c r="H1618" t="str">
        <f t="shared" si="103"/>
        <v>OK</v>
      </c>
      <c r="I1618" t="str">
        <f t="shared" si="100"/>
        <v>OK</v>
      </c>
    </row>
    <row r="1619" spans="1:9" x14ac:dyDescent="0.2">
      <c r="A1619" t="str">
        <f>ObesityDataSet_raw_and_data_sin!A1619</f>
        <v>Male</v>
      </c>
      <c r="B1619">
        <f>ObesityDataSet_raw_and_data_sin!C1619</f>
        <v>1.7494050000000001</v>
      </c>
      <c r="C1619">
        <f>ObesityDataSet_raw_and_data_sin!D1619</f>
        <v>109.908779</v>
      </c>
      <c r="D1619" t="str">
        <f>ObesityDataSet_raw_and_data_sin!Q1619</f>
        <v>Obesity_Type_II</v>
      </c>
      <c r="E1619" t="b">
        <f t="shared" si="101"/>
        <v>0</v>
      </c>
      <c r="F1619">
        <f>C1619/(B1619*B1619)</f>
        <v>35.912997584774303</v>
      </c>
      <c r="G1619" t="str">
        <f t="shared" si="102"/>
        <v>Obese</v>
      </c>
      <c r="H1619" t="str">
        <f t="shared" si="103"/>
        <v>OK</v>
      </c>
      <c r="I1619" t="str">
        <f t="shared" si="100"/>
        <v>OK</v>
      </c>
    </row>
    <row r="1620" spans="1:9" x14ac:dyDescent="0.2">
      <c r="A1620" t="str">
        <f>ObesityDataSet_raw_and_data_sin!A1620</f>
        <v>Male</v>
      </c>
      <c r="B1620">
        <f>ObesityDataSet_raw_and_data_sin!C1620</f>
        <v>1.75</v>
      </c>
      <c r="C1620">
        <f>ObesityDataSet_raw_and_data_sin!D1620</f>
        <v>115.806977</v>
      </c>
      <c r="D1620" t="str">
        <f>ObesityDataSet_raw_and_data_sin!Q1620</f>
        <v>Obesity_Type_II</v>
      </c>
      <c r="E1620" t="b">
        <f t="shared" si="101"/>
        <v>0</v>
      </c>
      <c r="F1620">
        <f>C1620/(B1620*B1620)</f>
        <v>37.814523102040816</v>
      </c>
      <c r="G1620" t="str">
        <f t="shared" si="102"/>
        <v>Obese</v>
      </c>
      <c r="H1620" t="str">
        <f t="shared" si="103"/>
        <v>OK</v>
      </c>
      <c r="I1620" t="str">
        <f t="shared" si="100"/>
        <v>OK</v>
      </c>
    </row>
    <row r="1621" spans="1:9" x14ac:dyDescent="0.2">
      <c r="A1621" t="str">
        <f>ObesityDataSet_raw_and_data_sin!A1621</f>
        <v>Male</v>
      </c>
      <c r="B1621">
        <f>ObesityDataSet_raw_and_data_sin!C1621</f>
        <v>1.849998</v>
      </c>
      <c r="C1621">
        <f>ObesityDataSet_raw_and_data_sin!D1621</f>
        <v>122.119682</v>
      </c>
      <c r="D1621" t="str">
        <f>ObesityDataSet_raw_and_data_sin!Q1621</f>
        <v>Obesity_Type_II</v>
      </c>
      <c r="E1621" t="b">
        <f t="shared" si="101"/>
        <v>0</v>
      </c>
      <c r="F1621">
        <f>C1621/(B1621*B1621)</f>
        <v>35.681503591814128</v>
      </c>
      <c r="G1621" t="str">
        <f t="shared" si="102"/>
        <v>Obese</v>
      </c>
      <c r="H1621" t="str">
        <f t="shared" si="103"/>
        <v>OK</v>
      </c>
      <c r="I1621" t="str">
        <f t="shared" si="100"/>
        <v>OK</v>
      </c>
    </row>
    <row r="1622" spans="1:9" x14ac:dyDescent="0.2">
      <c r="A1622" t="str">
        <f>ObesityDataSet_raw_and_data_sin!A1622</f>
        <v>Male</v>
      </c>
      <c r="B1622">
        <f>ObesityDataSet_raw_and_data_sin!C1622</f>
        <v>1.84998</v>
      </c>
      <c r="C1622">
        <f>ObesityDataSet_raw_and_data_sin!D1622</f>
        <v>122.609911</v>
      </c>
      <c r="D1622" t="str">
        <f>ObesityDataSet_raw_and_data_sin!Q1622</f>
        <v>Obesity_Type_II</v>
      </c>
      <c r="E1622" t="b">
        <f t="shared" si="101"/>
        <v>0</v>
      </c>
      <c r="F1622">
        <f>C1622/(B1622*B1622)</f>
        <v>35.825438149917581</v>
      </c>
      <c r="G1622" t="str">
        <f t="shared" si="102"/>
        <v>Obese</v>
      </c>
      <c r="H1622" t="str">
        <f t="shared" si="103"/>
        <v>OK</v>
      </c>
      <c r="I1622" t="str">
        <f t="shared" si="100"/>
        <v>OK</v>
      </c>
    </row>
    <row r="1623" spans="1:9" x14ac:dyDescent="0.2">
      <c r="A1623" t="str">
        <f>ObesityDataSet_raw_and_data_sin!A1623</f>
        <v>Male</v>
      </c>
      <c r="B1623">
        <f>ObesityDataSet_raw_and_data_sin!C1623</f>
        <v>1.607939</v>
      </c>
      <c r="C1623">
        <f>ObesityDataSet_raw_and_data_sin!D1623</f>
        <v>100.618239</v>
      </c>
      <c r="D1623" t="str">
        <f>ObesityDataSet_raw_and_data_sin!Q1623</f>
        <v>Obesity_Type_II</v>
      </c>
      <c r="E1623" t="b">
        <f t="shared" si="101"/>
        <v>0</v>
      </c>
      <c r="F1623">
        <f>C1623/(B1623*B1623)</f>
        <v>38.91684047319648</v>
      </c>
      <c r="G1623" t="str">
        <f t="shared" si="102"/>
        <v>Obese</v>
      </c>
      <c r="H1623" t="str">
        <f t="shared" si="103"/>
        <v>OK</v>
      </c>
      <c r="I1623" t="str">
        <f t="shared" si="100"/>
        <v>OK</v>
      </c>
    </row>
    <row r="1624" spans="1:9" x14ac:dyDescent="0.2">
      <c r="A1624" t="str">
        <f>ObesityDataSet_raw_and_data_sin!A1624</f>
        <v>Male</v>
      </c>
      <c r="B1624">
        <f>ObesityDataSet_raw_and_data_sin!C1624</f>
        <v>1.603226</v>
      </c>
      <c r="C1624">
        <f>ObesityDataSet_raw_and_data_sin!D1624</f>
        <v>99.605526999999995</v>
      </c>
      <c r="D1624" t="str">
        <f>ObesityDataSet_raw_and_data_sin!Q1624</f>
        <v>Obesity_Type_II</v>
      </c>
      <c r="E1624" t="b">
        <f t="shared" si="101"/>
        <v>0</v>
      </c>
      <c r="F1624">
        <f>C1624/(B1624*B1624)</f>
        <v>38.75198407155824</v>
      </c>
      <c r="G1624" t="str">
        <f t="shared" si="102"/>
        <v>Obese</v>
      </c>
      <c r="H1624" t="str">
        <f t="shared" si="103"/>
        <v>OK</v>
      </c>
      <c r="I1624" t="str">
        <f t="shared" si="100"/>
        <v>OK</v>
      </c>
    </row>
    <row r="1625" spans="1:9" x14ac:dyDescent="0.2">
      <c r="A1625" t="str">
        <f>ObesityDataSet_raw_and_data_sin!A1625</f>
        <v>Male</v>
      </c>
      <c r="B1625">
        <f>ObesityDataSet_raw_and_data_sin!C1625</f>
        <v>1.7706630000000001</v>
      </c>
      <c r="C1625">
        <f>ObesityDataSet_raw_and_data_sin!D1625</f>
        <v>112.471118</v>
      </c>
      <c r="D1625" t="str">
        <f>ObesityDataSet_raw_and_data_sin!Q1625</f>
        <v>Obesity_Type_II</v>
      </c>
      <c r="E1625" t="b">
        <f t="shared" si="101"/>
        <v>0</v>
      </c>
      <c r="F1625">
        <f>C1625/(B1625*B1625)</f>
        <v>35.873123078923193</v>
      </c>
      <c r="G1625" t="str">
        <f t="shared" si="102"/>
        <v>Obese</v>
      </c>
      <c r="H1625" t="str">
        <f t="shared" si="103"/>
        <v>OK</v>
      </c>
      <c r="I1625" t="str">
        <f t="shared" si="100"/>
        <v>OK</v>
      </c>
    </row>
    <row r="1626" spans="1:9" x14ac:dyDescent="0.2">
      <c r="A1626" t="str">
        <f>ObesityDataSet_raw_and_data_sin!A1626</f>
        <v>Male</v>
      </c>
      <c r="B1626">
        <f>ObesityDataSet_raw_and_data_sin!C1626</f>
        <v>1.758038</v>
      </c>
      <c r="C1626">
        <f>ObesityDataSet_raw_and_data_sin!D1626</f>
        <v>112.395309</v>
      </c>
      <c r="D1626" t="str">
        <f>ObesityDataSet_raw_and_data_sin!Q1626</f>
        <v>Obesity_Type_II</v>
      </c>
      <c r="E1626" t="b">
        <f t="shared" si="101"/>
        <v>0</v>
      </c>
      <c r="F1626">
        <f>C1626/(B1626*B1626)</f>
        <v>36.365676362696419</v>
      </c>
      <c r="G1626" t="str">
        <f t="shared" si="102"/>
        <v>Obese</v>
      </c>
      <c r="H1626" t="str">
        <f t="shared" si="103"/>
        <v>OK</v>
      </c>
      <c r="I1626" t="str">
        <f t="shared" si="100"/>
        <v>OK</v>
      </c>
    </row>
    <row r="1627" spans="1:9" x14ac:dyDescent="0.2">
      <c r="A1627" t="str">
        <f>ObesityDataSet_raw_and_data_sin!A1627</f>
        <v>Male</v>
      </c>
      <c r="B1627">
        <f>ObesityDataSet_raw_and_data_sin!C1627</f>
        <v>1.7869969999999999</v>
      </c>
      <c r="C1627">
        <f>ObesityDataSet_raw_and_data_sin!D1627</f>
        <v>115.025361</v>
      </c>
      <c r="D1627" t="str">
        <f>ObesityDataSet_raw_and_data_sin!Q1627</f>
        <v>Obesity_Type_II</v>
      </c>
      <c r="E1627" t="b">
        <f t="shared" si="101"/>
        <v>0</v>
      </c>
      <c r="F1627">
        <f>C1627/(B1627*B1627)</f>
        <v>36.020186582921163</v>
      </c>
      <c r="G1627" t="str">
        <f t="shared" si="102"/>
        <v>Obese</v>
      </c>
      <c r="H1627" t="str">
        <f t="shared" si="103"/>
        <v>OK</v>
      </c>
      <c r="I1627" t="str">
        <f t="shared" si="100"/>
        <v>OK</v>
      </c>
    </row>
    <row r="1628" spans="1:9" x14ac:dyDescent="0.2">
      <c r="A1628" t="str">
        <f>ObesityDataSet_raw_and_data_sin!A1628</f>
        <v>Male</v>
      </c>
      <c r="B1628">
        <f>ObesityDataSet_raw_and_data_sin!C1628</f>
        <v>1.7718370000000001</v>
      </c>
      <c r="C1628">
        <f>ObesityDataSet_raw_and_data_sin!D1628</f>
        <v>114.90609499999999</v>
      </c>
      <c r="D1628" t="str">
        <f>ObesityDataSet_raw_and_data_sin!Q1628</f>
        <v>Obesity_Type_II</v>
      </c>
      <c r="E1628" t="b">
        <f t="shared" si="101"/>
        <v>0</v>
      </c>
      <c r="F1628">
        <f>C1628/(B1628*B1628)</f>
        <v>36.601217562284987</v>
      </c>
      <c r="G1628" t="str">
        <f t="shared" si="102"/>
        <v>Obese</v>
      </c>
      <c r="H1628" t="str">
        <f t="shared" si="103"/>
        <v>OK</v>
      </c>
      <c r="I1628" t="str">
        <f t="shared" si="100"/>
        <v>OK</v>
      </c>
    </row>
    <row r="1629" spans="1:9" x14ac:dyDescent="0.2">
      <c r="A1629" t="str">
        <f>ObesityDataSet_raw_and_data_sin!A1629</f>
        <v>Male</v>
      </c>
      <c r="B1629">
        <f>ObesityDataSet_raw_and_data_sin!C1629</f>
        <v>1.722396</v>
      </c>
      <c r="C1629">
        <f>ObesityDataSet_raw_and_data_sin!D1629</f>
        <v>109.349025</v>
      </c>
      <c r="D1629" t="str">
        <f>ObesityDataSet_raw_and_data_sin!Q1629</f>
        <v>Obesity_Type_II</v>
      </c>
      <c r="E1629" t="b">
        <f t="shared" si="101"/>
        <v>0</v>
      </c>
      <c r="F1629">
        <f>C1629/(B1629*B1629)</f>
        <v>36.85945407311948</v>
      </c>
      <c r="G1629" t="str">
        <f t="shared" si="102"/>
        <v>Obese</v>
      </c>
      <c r="H1629" t="str">
        <f t="shared" si="103"/>
        <v>OK</v>
      </c>
      <c r="I1629" t="str">
        <f t="shared" si="100"/>
        <v>OK</v>
      </c>
    </row>
    <row r="1630" spans="1:9" x14ac:dyDescent="0.2">
      <c r="A1630" t="str">
        <f>ObesityDataSet_raw_and_data_sin!A1630</f>
        <v>Male</v>
      </c>
      <c r="B1630">
        <f>ObesityDataSet_raw_and_data_sin!C1630</f>
        <v>1.701387</v>
      </c>
      <c r="C1630">
        <f>ObesityDataSet_raw_and_data_sin!D1630</f>
        <v>107.025415</v>
      </c>
      <c r="D1630" t="str">
        <f>ObesityDataSet_raw_and_data_sin!Q1630</f>
        <v>Obesity_Type_II</v>
      </c>
      <c r="E1630" t="b">
        <f t="shared" si="101"/>
        <v>0</v>
      </c>
      <c r="F1630">
        <f>C1630/(B1630*B1630)</f>
        <v>36.972660277441506</v>
      </c>
      <c r="G1630" t="str">
        <f t="shared" si="102"/>
        <v>Obese</v>
      </c>
      <c r="H1630" t="str">
        <f t="shared" si="103"/>
        <v>OK</v>
      </c>
      <c r="I1630" t="str">
        <f t="shared" si="100"/>
        <v>OK</v>
      </c>
    </row>
    <row r="1631" spans="1:9" x14ac:dyDescent="0.2">
      <c r="A1631" t="str">
        <f>ObesityDataSet_raw_and_data_sin!A1631</f>
        <v>Male</v>
      </c>
      <c r="B1631">
        <f>ObesityDataSet_raw_and_data_sin!C1631</f>
        <v>1.6974210000000001</v>
      </c>
      <c r="C1631">
        <f>ObesityDataSet_raw_and_data_sin!D1631</f>
        <v>103.017623</v>
      </c>
      <c r="D1631" t="str">
        <f>ObesityDataSet_raw_and_data_sin!Q1631</f>
        <v>Obesity_Type_II</v>
      </c>
      <c r="E1631" t="b">
        <f t="shared" si="101"/>
        <v>0</v>
      </c>
      <c r="F1631">
        <f>C1631/(B1631*B1631)</f>
        <v>35.754637821622723</v>
      </c>
      <c r="G1631" t="str">
        <f t="shared" si="102"/>
        <v>Obese</v>
      </c>
      <c r="H1631" t="str">
        <f t="shared" si="103"/>
        <v>OK</v>
      </c>
      <c r="I1631" t="str">
        <f t="shared" si="100"/>
        <v>OK</v>
      </c>
    </row>
    <row r="1632" spans="1:9" x14ac:dyDescent="0.2">
      <c r="A1632" t="str">
        <f>ObesityDataSet_raw_and_data_sin!A1632</f>
        <v>Male</v>
      </c>
      <c r="B1632">
        <f>ObesityDataSet_raw_and_data_sin!C1632</f>
        <v>1.6963649999999999</v>
      </c>
      <c r="C1632">
        <f>ObesityDataSet_raw_and_data_sin!D1632</f>
        <v>102.815983</v>
      </c>
      <c r="D1632" t="str">
        <f>ObesityDataSet_raw_and_data_sin!Q1632</f>
        <v>Obesity_Type_II</v>
      </c>
      <c r="E1632" t="b">
        <f t="shared" si="101"/>
        <v>0</v>
      </c>
      <c r="F1632">
        <f>C1632/(B1632*B1632)</f>
        <v>35.729095777902266</v>
      </c>
      <c r="G1632" t="str">
        <f t="shared" si="102"/>
        <v>Obese</v>
      </c>
      <c r="H1632" t="str">
        <f t="shared" si="103"/>
        <v>OK</v>
      </c>
      <c r="I1632" t="str">
        <f t="shared" si="100"/>
        <v>OK</v>
      </c>
    </row>
    <row r="1633" spans="1:9" x14ac:dyDescent="0.2">
      <c r="A1633" t="str">
        <f>ObesityDataSet_raw_and_data_sin!A1633</f>
        <v>Male</v>
      </c>
      <c r="B1633">
        <f>ObesityDataSet_raw_and_data_sin!C1633</f>
        <v>1.909198</v>
      </c>
      <c r="C1633">
        <f>ObesityDataSet_raw_and_data_sin!D1633</f>
        <v>129.67913100000001</v>
      </c>
      <c r="D1633" t="str">
        <f>ObesityDataSet_raw_and_data_sin!Q1633</f>
        <v>Obesity_Type_II</v>
      </c>
      <c r="E1633" t="b">
        <f t="shared" si="101"/>
        <v>0</v>
      </c>
      <c r="F1633">
        <f>C1633/(B1633*B1633)</f>
        <v>35.576903852007987</v>
      </c>
      <c r="G1633" t="str">
        <f t="shared" si="102"/>
        <v>Obese</v>
      </c>
      <c r="H1633" t="str">
        <f t="shared" si="103"/>
        <v>OK</v>
      </c>
      <c r="I1633" t="str">
        <f t="shared" si="100"/>
        <v>OK</v>
      </c>
    </row>
    <row r="1634" spans="1:9" x14ac:dyDescent="0.2">
      <c r="A1634" t="str">
        <f>ObesityDataSet_raw_and_data_sin!A1634</f>
        <v>Male</v>
      </c>
      <c r="B1634">
        <f>ObesityDataSet_raw_and_data_sin!C1634</f>
        <v>1.9091050000000001</v>
      </c>
      <c r="C1634">
        <f>ObesityDataSet_raw_and_data_sin!D1634</f>
        <v>129.874864</v>
      </c>
      <c r="D1634" t="str">
        <f>ObesityDataSet_raw_and_data_sin!Q1634</f>
        <v>Obesity_Type_II</v>
      </c>
      <c r="E1634" t="b">
        <f t="shared" si="101"/>
        <v>0</v>
      </c>
      <c r="F1634">
        <f>C1634/(B1634*B1634)</f>
        <v>35.634073844270212</v>
      </c>
      <c r="G1634" t="str">
        <f t="shared" si="102"/>
        <v>Obese</v>
      </c>
      <c r="H1634" t="str">
        <f t="shared" si="103"/>
        <v>OK</v>
      </c>
      <c r="I1634" t="str">
        <f t="shared" si="100"/>
        <v>OK</v>
      </c>
    </row>
    <row r="1635" spans="1:9" x14ac:dyDescent="0.2">
      <c r="A1635" t="str">
        <f>ObesityDataSet_raw_and_data_sin!A1635</f>
        <v>Male</v>
      </c>
      <c r="B1635">
        <f>ObesityDataSet_raw_and_data_sin!C1635</f>
        <v>1.8013680000000001</v>
      </c>
      <c r="C1635">
        <f>ObesityDataSet_raw_and_data_sin!D1635</f>
        <v>121.094257</v>
      </c>
      <c r="D1635" t="str">
        <f>ObesityDataSet_raw_and_data_sin!Q1635</f>
        <v>Obesity_Type_II</v>
      </c>
      <c r="E1635" t="b">
        <f t="shared" si="101"/>
        <v>0</v>
      </c>
      <c r="F1635">
        <f>C1635/(B1635*B1635)</f>
        <v>37.318025725018657</v>
      </c>
      <c r="G1635" t="str">
        <f t="shared" si="102"/>
        <v>Obese</v>
      </c>
      <c r="H1635" t="str">
        <f t="shared" si="103"/>
        <v>OK</v>
      </c>
      <c r="I1635" t="str">
        <f t="shared" si="100"/>
        <v>OK</v>
      </c>
    </row>
    <row r="1636" spans="1:9" x14ac:dyDescent="0.2">
      <c r="A1636" t="str">
        <f>ObesityDataSet_raw_and_data_sin!A1636</f>
        <v>Male</v>
      </c>
      <c r="B1636">
        <f>ObesityDataSet_raw_and_data_sin!C1636</f>
        <v>1.8602920000000001</v>
      </c>
      <c r="C1636">
        <f>ObesityDataSet_raw_and_data_sin!D1636</f>
        <v>123.721352</v>
      </c>
      <c r="D1636" t="str">
        <f>ObesityDataSet_raw_and_data_sin!Q1636</f>
        <v>Obesity_Type_II</v>
      </c>
      <c r="E1636" t="b">
        <f t="shared" si="101"/>
        <v>0</v>
      </c>
      <c r="F1636">
        <f>C1636/(B1636*B1636)</f>
        <v>35.750524714360481</v>
      </c>
      <c r="G1636" t="str">
        <f t="shared" si="102"/>
        <v>Obese</v>
      </c>
      <c r="H1636" t="str">
        <f t="shared" si="103"/>
        <v>OK</v>
      </c>
      <c r="I1636" t="str">
        <f t="shared" si="100"/>
        <v>OK</v>
      </c>
    </row>
    <row r="1637" spans="1:9" x14ac:dyDescent="0.2">
      <c r="A1637" t="str">
        <f>ObesityDataSet_raw_and_data_sin!A1637</f>
        <v>Male</v>
      </c>
      <c r="B1637">
        <f>ObesityDataSet_raw_and_data_sin!C1637</f>
        <v>1.8195349999999999</v>
      </c>
      <c r="C1637">
        <f>ObesityDataSet_raw_and_data_sin!D1637</f>
        <v>118.332689</v>
      </c>
      <c r="D1637" t="str">
        <f>ObesityDataSet_raw_and_data_sin!Q1637</f>
        <v>Obesity_Type_II</v>
      </c>
      <c r="E1637" t="b">
        <f t="shared" si="101"/>
        <v>0</v>
      </c>
      <c r="F1637">
        <f>C1637/(B1637*B1637)</f>
        <v>35.742416038214706</v>
      </c>
      <c r="G1637" t="str">
        <f t="shared" si="102"/>
        <v>Obese</v>
      </c>
      <c r="H1637" t="str">
        <f t="shared" si="103"/>
        <v>OK</v>
      </c>
      <c r="I1637" t="str">
        <f t="shared" si="100"/>
        <v>OK</v>
      </c>
    </row>
    <row r="1638" spans="1:9" x14ac:dyDescent="0.2">
      <c r="A1638" t="str">
        <f>ObesityDataSet_raw_and_data_sin!A1638</f>
        <v>Male</v>
      </c>
      <c r="B1638">
        <f>ObesityDataSet_raw_and_data_sin!C1638</f>
        <v>1.793174</v>
      </c>
      <c r="C1638">
        <f>ObesityDataSet_raw_and_data_sin!D1638</f>
        <v>118.165082</v>
      </c>
      <c r="D1638" t="str">
        <f>ObesityDataSet_raw_and_data_sin!Q1638</f>
        <v>Obesity_Type_II</v>
      </c>
      <c r="E1638" t="b">
        <f t="shared" si="101"/>
        <v>0</v>
      </c>
      <c r="F1638">
        <f>C1638/(B1638*B1638)</f>
        <v>36.748895795533244</v>
      </c>
      <c r="G1638" t="str">
        <f t="shared" si="102"/>
        <v>Obese</v>
      </c>
      <c r="H1638" t="str">
        <f t="shared" si="103"/>
        <v>OK</v>
      </c>
      <c r="I1638" t="str">
        <f t="shared" si="100"/>
        <v>OK</v>
      </c>
    </row>
    <row r="1639" spans="1:9" x14ac:dyDescent="0.2">
      <c r="A1639" t="str">
        <f>ObesityDataSet_raw_and_data_sin!A1639</f>
        <v>Male</v>
      </c>
      <c r="B1639">
        <f>ObesityDataSet_raw_and_data_sin!C1639</f>
        <v>1.7501500000000001</v>
      </c>
      <c r="C1639">
        <f>ObesityDataSet_raw_and_data_sin!D1639</f>
        <v>118.29958499999999</v>
      </c>
      <c r="D1639" t="str">
        <f>ObesityDataSet_raw_and_data_sin!Q1639</f>
        <v>Obesity_Type_II</v>
      </c>
      <c r="E1639" t="b">
        <f t="shared" si="101"/>
        <v>0</v>
      </c>
      <c r="F1639">
        <f>C1639/(B1639*B1639)</f>
        <v>38.621814752086301</v>
      </c>
      <c r="G1639" t="str">
        <f t="shared" si="102"/>
        <v>Obese</v>
      </c>
      <c r="H1639" t="str">
        <f t="shared" si="103"/>
        <v>OK</v>
      </c>
      <c r="I1639" t="str">
        <f t="shared" si="100"/>
        <v>OK</v>
      </c>
    </row>
    <row r="1640" spans="1:9" x14ac:dyDescent="0.2">
      <c r="A1640" t="str">
        <f>ObesityDataSet_raw_and_data_sin!A1640</f>
        <v>Male</v>
      </c>
      <c r="B1640">
        <f>ObesityDataSet_raw_and_data_sin!C1640</f>
        <v>1.754956</v>
      </c>
      <c r="C1640">
        <f>ObesityDataSet_raw_and_data_sin!D1640</f>
        <v>120.098812</v>
      </c>
      <c r="D1640" t="str">
        <f>ObesityDataSet_raw_and_data_sin!Q1640</f>
        <v>Obesity_Type_II</v>
      </c>
      <c r="E1640" t="b">
        <f t="shared" si="101"/>
        <v>0</v>
      </c>
      <c r="F1640">
        <f>C1640/(B1640*B1640)</f>
        <v>38.994759547461676</v>
      </c>
      <c r="G1640" t="str">
        <f t="shared" si="102"/>
        <v>Obese</v>
      </c>
      <c r="H1640" t="str">
        <f t="shared" si="103"/>
        <v>OK</v>
      </c>
      <c r="I1640" t="str">
        <f t="shared" si="100"/>
        <v>OK</v>
      </c>
    </row>
    <row r="1641" spans="1:9" x14ac:dyDescent="0.2">
      <c r="A1641" t="str">
        <f>ObesityDataSet_raw_and_data_sin!A1641</f>
        <v>Male</v>
      </c>
      <c r="B1641">
        <f>ObesityDataSet_raw_and_data_sin!C1641</f>
        <v>1.773115</v>
      </c>
      <c r="C1641">
        <f>ObesityDataSet_raw_and_data_sin!D1641</f>
        <v>115.089316</v>
      </c>
      <c r="D1641" t="str">
        <f>ObesityDataSet_raw_and_data_sin!Q1641</f>
        <v>Obesity_Type_II</v>
      </c>
      <c r="E1641" t="b">
        <f t="shared" si="101"/>
        <v>0</v>
      </c>
      <c r="F1641">
        <f>C1641/(B1641*B1641)</f>
        <v>36.606752362815698</v>
      </c>
      <c r="G1641" t="str">
        <f t="shared" si="102"/>
        <v>Obese</v>
      </c>
      <c r="H1641" t="str">
        <f t="shared" si="103"/>
        <v>OK</v>
      </c>
      <c r="I1641" t="str">
        <f t="shared" si="100"/>
        <v>OK</v>
      </c>
    </row>
    <row r="1642" spans="1:9" x14ac:dyDescent="0.2">
      <c r="A1642" t="str">
        <f>ObesityDataSet_raw_and_data_sin!A1642</f>
        <v>Male</v>
      </c>
      <c r="B1642">
        <f>ObesityDataSet_raw_and_data_sin!C1642</f>
        <v>1.7727310000000001</v>
      </c>
      <c r="C1642">
        <f>ObesityDataSet_raw_and_data_sin!D1642</f>
        <v>115.82816699999999</v>
      </c>
      <c r="D1642" t="str">
        <f>ObesityDataSet_raw_and_data_sin!Q1642</f>
        <v>Obesity_Type_II</v>
      </c>
      <c r="E1642" t="b">
        <f t="shared" si="101"/>
        <v>0</v>
      </c>
      <c r="F1642">
        <f>C1642/(B1642*B1642)</f>
        <v>36.857723264795631</v>
      </c>
      <c r="G1642" t="str">
        <f t="shared" si="102"/>
        <v>Obese</v>
      </c>
      <c r="H1642" t="str">
        <f t="shared" si="103"/>
        <v>OK</v>
      </c>
      <c r="I1642" t="str">
        <f t="shared" si="100"/>
        <v>OK</v>
      </c>
    </row>
    <row r="1643" spans="1:9" x14ac:dyDescent="0.2">
      <c r="A1643" t="str">
        <f>ObesityDataSet_raw_and_data_sin!A1643</f>
        <v>Male</v>
      </c>
      <c r="B1643">
        <f>ObesityDataSet_raw_and_data_sin!C1643</f>
        <v>1.787933</v>
      </c>
      <c r="C1643">
        <f>ObesityDataSet_raw_and_data_sin!D1643</f>
        <v>112.536367</v>
      </c>
      <c r="D1643" t="str">
        <f>ObesityDataSet_raw_and_data_sin!Q1643</f>
        <v>Obesity_Type_II</v>
      </c>
      <c r="E1643" t="b">
        <f t="shared" si="101"/>
        <v>0</v>
      </c>
      <c r="F1643">
        <f>C1643/(B1643*B1643)</f>
        <v>35.203870135862068</v>
      </c>
      <c r="G1643" t="str">
        <f t="shared" si="102"/>
        <v>Obese</v>
      </c>
      <c r="H1643" t="str">
        <f t="shared" si="103"/>
        <v>OK</v>
      </c>
      <c r="I1643" t="str">
        <f t="shared" si="100"/>
        <v>OK</v>
      </c>
    </row>
    <row r="1644" spans="1:9" x14ac:dyDescent="0.2">
      <c r="A1644" t="str">
        <f>ObesityDataSet_raw_and_data_sin!A1644</f>
        <v>Male</v>
      </c>
      <c r="B1644">
        <f>ObesityDataSet_raw_and_data_sin!C1644</f>
        <v>1.785277</v>
      </c>
      <c r="C1644">
        <f>ObesityDataSet_raw_and_data_sin!D1644</f>
        <v>112.740797</v>
      </c>
      <c r="D1644" t="str">
        <f>ObesityDataSet_raw_and_data_sin!Q1644</f>
        <v>Obesity_Type_II</v>
      </c>
      <c r="E1644" t="b">
        <f t="shared" si="101"/>
        <v>0</v>
      </c>
      <c r="F1644">
        <f>C1644/(B1644*B1644)</f>
        <v>35.372836018193205</v>
      </c>
      <c r="G1644" t="str">
        <f t="shared" si="102"/>
        <v>Obese</v>
      </c>
      <c r="H1644" t="str">
        <f t="shared" si="103"/>
        <v>OK</v>
      </c>
      <c r="I1644" t="str">
        <f t="shared" si="100"/>
        <v>OK</v>
      </c>
    </row>
    <row r="1645" spans="1:9" x14ac:dyDescent="0.2">
      <c r="A1645" t="str">
        <f>ObesityDataSet_raw_and_data_sin!A1645</f>
        <v>Male</v>
      </c>
      <c r="B1645">
        <f>ObesityDataSet_raw_and_data_sin!C1645</f>
        <v>1.817572</v>
      </c>
      <c r="C1645">
        <f>ObesityDataSet_raw_and_data_sin!D1645</f>
        <v>120.8158</v>
      </c>
      <c r="D1645" t="str">
        <f>ObesityDataSet_raw_and_data_sin!Q1645</f>
        <v>Obesity_Type_II</v>
      </c>
      <c r="E1645" t="b">
        <f t="shared" si="101"/>
        <v>0</v>
      </c>
      <c r="F1645">
        <f>C1645/(B1645*B1645)</f>
        <v>36.571307418994728</v>
      </c>
      <c r="G1645" t="str">
        <f t="shared" si="102"/>
        <v>Obese</v>
      </c>
      <c r="H1645" t="str">
        <f t="shared" si="103"/>
        <v>OK</v>
      </c>
      <c r="I1645" t="str">
        <f t="shared" si="100"/>
        <v>OK</v>
      </c>
    </row>
    <row r="1646" spans="1:9" x14ac:dyDescent="0.2">
      <c r="A1646" t="str">
        <f>ObesityDataSet_raw_and_data_sin!A1646</f>
        <v>Male</v>
      </c>
      <c r="B1646">
        <f>ObesityDataSet_raw_and_data_sin!C1646</f>
        <v>1.8434200000000001</v>
      </c>
      <c r="C1646">
        <f>ObesityDataSet_raw_and_data_sin!D1646</f>
        <v>120.420406</v>
      </c>
      <c r="D1646" t="str">
        <f>ObesityDataSet_raw_and_data_sin!Q1646</f>
        <v>Obesity_Type_II</v>
      </c>
      <c r="E1646" t="b">
        <f t="shared" si="101"/>
        <v>0</v>
      </c>
      <c r="F1646">
        <f>C1646/(B1646*B1646)</f>
        <v>35.43655517811505</v>
      </c>
      <c r="G1646" t="str">
        <f t="shared" si="102"/>
        <v>Obese</v>
      </c>
      <c r="H1646" t="str">
        <f t="shared" si="103"/>
        <v>OK</v>
      </c>
      <c r="I1646" t="str">
        <f t="shared" si="100"/>
        <v>OK</v>
      </c>
    </row>
    <row r="1647" spans="1:9" x14ac:dyDescent="0.2">
      <c r="A1647" t="str">
        <f>ObesityDataSet_raw_and_data_sin!A1647</f>
        <v>Male</v>
      </c>
      <c r="B1647">
        <f>ObesityDataSet_raw_and_data_sin!C1647</f>
        <v>1.874519</v>
      </c>
      <c r="C1647">
        <f>ObesityDataSet_raw_and_data_sin!D1647</f>
        <v>121.244969</v>
      </c>
      <c r="D1647" t="str">
        <f>ObesityDataSet_raw_and_data_sin!Q1647</f>
        <v>Obesity_Type_II</v>
      </c>
      <c r="E1647" t="b">
        <f t="shared" si="101"/>
        <v>0</v>
      </c>
      <c r="F1647">
        <f>C1647/(B1647*B1647)</f>
        <v>34.505159025050546</v>
      </c>
      <c r="G1647" t="str">
        <f t="shared" si="102"/>
        <v>Obese</v>
      </c>
      <c r="H1647" t="str">
        <f t="shared" si="103"/>
        <v>OK</v>
      </c>
      <c r="I1647" t="str">
        <f t="shared" si="100"/>
        <v>OK</v>
      </c>
    </row>
    <row r="1648" spans="1:9" x14ac:dyDescent="0.2">
      <c r="A1648" t="str">
        <f>ObesityDataSet_raw_and_data_sin!A1648</f>
        <v>Male</v>
      </c>
      <c r="B1648">
        <f>ObesityDataSet_raw_and_data_sin!C1648</f>
        <v>1.796332</v>
      </c>
      <c r="C1648">
        <f>ObesityDataSet_raw_and_data_sin!D1648</f>
        <v>120.901591</v>
      </c>
      <c r="D1648" t="str">
        <f>ObesityDataSet_raw_and_data_sin!Q1648</f>
        <v>Obesity_Type_II</v>
      </c>
      <c r="E1648" t="b">
        <f t="shared" si="101"/>
        <v>0</v>
      </c>
      <c r="F1648">
        <f>C1648/(B1648*B1648)</f>
        <v>37.467852592292942</v>
      </c>
      <c r="G1648" t="str">
        <f t="shared" si="102"/>
        <v>Obese</v>
      </c>
      <c r="H1648" t="str">
        <f t="shared" si="103"/>
        <v>OK</v>
      </c>
      <c r="I1648" t="str">
        <f t="shared" si="100"/>
        <v>OK</v>
      </c>
    </row>
    <row r="1649" spans="1:9" x14ac:dyDescent="0.2">
      <c r="A1649" t="str">
        <f>ObesityDataSet_raw_and_data_sin!A1649</f>
        <v>Male</v>
      </c>
      <c r="B1649">
        <f>ObesityDataSet_raw_and_data_sin!C1649</f>
        <v>1.756221</v>
      </c>
      <c r="C1649">
        <f>ObesityDataSet_raw_and_data_sin!D1649</f>
        <v>119.11712199999999</v>
      </c>
      <c r="D1649" t="str">
        <f>ObesityDataSet_raw_and_data_sin!Q1649</f>
        <v>Obesity_Type_II</v>
      </c>
      <c r="E1649" t="b">
        <f t="shared" si="101"/>
        <v>0</v>
      </c>
      <c r="F1649">
        <f>C1649/(B1649*B1649)</f>
        <v>38.620319294369843</v>
      </c>
      <c r="G1649" t="str">
        <f t="shared" si="102"/>
        <v>Obese</v>
      </c>
      <c r="H1649" t="str">
        <f t="shared" si="103"/>
        <v>OK</v>
      </c>
      <c r="I1649" t="str">
        <f t="shared" si="100"/>
        <v>OK</v>
      </c>
    </row>
    <row r="1650" spans="1:9" x14ac:dyDescent="0.2">
      <c r="A1650" t="str">
        <f>ObesityDataSet_raw_and_data_sin!A1650</f>
        <v>Male</v>
      </c>
      <c r="B1650">
        <f>ObesityDataSet_raw_and_data_sin!C1650</f>
        <v>1.7571319999999999</v>
      </c>
      <c r="C1650">
        <f>ObesityDataSet_raw_and_data_sin!D1650</f>
        <v>118.565568</v>
      </c>
      <c r="D1650" t="str">
        <f>ObesityDataSet_raw_and_data_sin!Q1650</f>
        <v>Obesity_Type_II</v>
      </c>
      <c r="E1650" t="b">
        <f t="shared" si="101"/>
        <v>0</v>
      </c>
      <c r="F1650">
        <f>C1650/(B1650*B1650)</f>
        <v>38.401643383506261</v>
      </c>
      <c r="G1650" t="str">
        <f t="shared" si="102"/>
        <v>Obese</v>
      </c>
      <c r="H1650" t="str">
        <f t="shared" si="103"/>
        <v>OK</v>
      </c>
      <c r="I1650" t="str">
        <f t="shared" si="100"/>
        <v>OK</v>
      </c>
    </row>
    <row r="1651" spans="1:9" x14ac:dyDescent="0.2">
      <c r="A1651" t="str">
        <f>ObesityDataSet_raw_and_data_sin!A1651</f>
        <v>Male</v>
      </c>
      <c r="B1651">
        <f>ObesityDataSet_raw_and_data_sin!C1651</f>
        <v>1.8891039999999999</v>
      </c>
      <c r="C1651">
        <f>ObesityDataSet_raw_and_data_sin!D1651</f>
        <v>129.15734599999999</v>
      </c>
      <c r="D1651" t="str">
        <f>ObesityDataSet_raw_and_data_sin!Q1651</f>
        <v>Obesity_Type_II</v>
      </c>
      <c r="E1651" t="b">
        <f t="shared" si="101"/>
        <v>0</v>
      </c>
      <c r="F1651">
        <f>C1651/(B1651*B1651)</f>
        <v>36.19156614775234</v>
      </c>
      <c r="G1651" t="str">
        <f t="shared" si="102"/>
        <v>Obese</v>
      </c>
      <c r="H1651" t="str">
        <f t="shared" si="103"/>
        <v>OK</v>
      </c>
      <c r="I1651" t="str">
        <f t="shared" si="100"/>
        <v>OK</v>
      </c>
    </row>
    <row r="1652" spans="1:9" x14ac:dyDescent="0.2">
      <c r="A1652" t="str">
        <f>ObesityDataSet_raw_and_data_sin!A1652</f>
        <v>Male</v>
      </c>
      <c r="B1652">
        <f>ObesityDataSet_raw_and_data_sin!C1652</f>
        <v>1.8693230000000001</v>
      </c>
      <c r="C1652">
        <f>ObesityDataSet_raw_and_data_sin!D1652</f>
        <v>127.507411</v>
      </c>
      <c r="D1652" t="str">
        <f>ObesityDataSet_raw_and_data_sin!Q1652</f>
        <v>Obesity_Type_II</v>
      </c>
      <c r="E1652" t="b">
        <f t="shared" si="101"/>
        <v>0</v>
      </c>
      <c r="F1652">
        <f>C1652/(B1652*B1652)</f>
        <v>36.489400528525195</v>
      </c>
      <c r="G1652" t="str">
        <f t="shared" si="102"/>
        <v>Obese</v>
      </c>
      <c r="H1652" t="str">
        <f t="shared" si="103"/>
        <v>OK</v>
      </c>
      <c r="I1652" t="str">
        <f t="shared" si="100"/>
        <v>OK</v>
      </c>
    </row>
    <row r="1653" spans="1:9" x14ac:dyDescent="0.2">
      <c r="A1653" t="str">
        <f>ObesityDataSet_raw_and_data_sin!A1653</f>
        <v>Male</v>
      </c>
      <c r="B1653">
        <f>ObesityDataSet_raw_and_data_sin!C1653</f>
        <v>1.7571540000000001</v>
      </c>
      <c r="C1653">
        <f>ObesityDataSet_raw_and_data_sin!D1653</f>
        <v>112.200812</v>
      </c>
      <c r="D1653" t="str">
        <f>ObesityDataSet_raw_and_data_sin!Q1653</f>
        <v>Obesity_Type_II</v>
      </c>
      <c r="E1653" t="b">
        <f t="shared" si="101"/>
        <v>0</v>
      </c>
      <c r="F1653">
        <f>C1653/(B1653*B1653)</f>
        <v>36.339282569657719</v>
      </c>
      <c r="G1653" t="str">
        <f t="shared" si="102"/>
        <v>Obese</v>
      </c>
      <c r="H1653" t="str">
        <f t="shared" si="103"/>
        <v>OK</v>
      </c>
      <c r="I1653" t="str">
        <f t="shared" si="100"/>
        <v>OK</v>
      </c>
    </row>
    <row r="1654" spans="1:9" x14ac:dyDescent="0.2">
      <c r="A1654" t="str">
        <f>ObesityDataSet_raw_and_data_sin!A1654</f>
        <v>Male</v>
      </c>
      <c r="B1654">
        <f>ObesityDataSet_raw_and_data_sin!C1654</f>
        <v>1.7644839999999999</v>
      </c>
      <c r="C1654">
        <f>ObesityDataSet_raw_and_data_sin!D1654</f>
        <v>113.23434899999999</v>
      </c>
      <c r="D1654" t="str">
        <f>ObesityDataSet_raw_and_data_sin!Q1654</f>
        <v>Obesity_Type_II</v>
      </c>
      <c r="E1654" t="b">
        <f t="shared" si="101"/>
        <v>0</v>
      </c>
      <c r="F1654">
        <f>C1654/(B1654*B1654)</f>
        <v>36.36995287918279</v>
      </c>
      <c r="G1654" t="str">
        <f t="shared" si="102"/>
        <v>Obese</v>
      </c>
      <c r="H1654" t="str">
        <f t="shared" si="103"/>
        <v>OK</v>
      </c>
      <c r="I1654" t="str">
        <f t="shared" si="100"/>
        <v>OK</v>
      </c>
    </row>
    <row r="1655" spans="1:9" x14ac:dyDescent="0.2">
      <c r="A1655" t="str">
        <f>ObesityDataSet_raw_and_data_sin!A1655</f>
        <v>Male</v>
      </c>
      <c r="B1655">
        <f>ObesityDataSet_raw_and_data_sin!C1655</f>
        <v>1.774775</v>
      </c>
      <c r="C1655">
        <f>ObesityDataSet_raw_and_data_sin!D1655</f>
        <v>117.398976</v>
      </c>
      <c r="D1655" t="str">
        <f>ObesityDataSet_raw_and_data_sin!Q1655</f>
        <v>Obesity_Type_II</v>
      </c>
      <c r="E1655" t="b">
        <f t="shared" si="101"/>
        <v>0</v>
      </c>
      <c r="F1655">
        <f>C1655/(B1655*B1655)</f>
        <v>37.271571444020665</v>
      </c>
      <c r="G1655" t="str">
        <f t="shared" si="102"/>
        <v>Obese</v>
      </c>
      <c r="H1655" t="str">
        <f t="shared" si="103"/>
        <v>OK</v>
      </c>
      <c r="I1655" t="str">
        <f t="shared" si="100"/>
        <v>OK</v>
      </c>
    </row>
    <row r="1656" spans="1:9" x14ac:dyDescent="0.2">
      <c r="A1656" t="str">
        <f>ObesityDataSet_raw_and_data_sin!A1656</f>
        <v>Male</v>
      </c>
      <c r="B1656">
        <f>ObesityDataSet_raw_and_data_sin!C1656</f>
        <v>1.769933</v>
      </c>
      <c r="C1656">
        <f>ObesityDataSet_raw_and_data_sin!D1656</f>
        <v>117.70870499999999</v>
      </c>
      <c r="D1656" t="str">
        <f>ObesityDataSet_raw_and_data_sin!Q1656</f>
        <v>Obesity_Type_II</v>
      </c>
      <c r="E1656" t="b">
        <f t="shared" si="101"/>
        <v>0</v>
      </c>
      <c r="F1656">
        <f>C1656/(B1656*B1656)</f>
        <v>37.574648659866753</v>
      </c>
      <c r="G1656" t="str">
        <f t="shared" si="102"/>
        <v>Obese</v>
      </c>
      <c r="H1656" t="str">
        <f t="shared" si="103"/>
        <v>OK</v>
      </c>
      <c r="I1656" t="str">
        <f t="shared" si="100"/>
        <v>OK</v>
      </c>
    </row>
    <row r="1657" spans="1:9" x14ac:dyDescent="0.2">
      <c r="A1657" t="str">
        <f>ObesityDataSet_raw_and_data_sin!A1657</f>
        <v>Male</v>
      </c>
      <c r="B1657">
        <f>ObesityDataSet_raw_and_data_sin!C1657</f>
        <v>1.760175</v>
      </c>
      <c r="C1657">
        <f>ObesityDataSet_raw_and_data_sin!D1657</f>
        <v>117.65104599999999</v>
      </c>
      <c r="D1657" t="str">
        <f>ObesityDataSet_raw_and_data_sin!Q1657</f>
        <v>Obesity_Type_II</v>
      </c>
      <c r="E1657" t="b">
        <f t="shared" si="101"/>
        <v>0</v>
      </c>
      <c r="F1657">
        <f>C1657/(B1657*B1657)</f>
        <v>37.973803258730918</v>
      </c>
      <c r="G1657" t="str">
        <f t="shared" si="102"/>
        <v>Obese</v>
      </c>
      <c r="H1657" t="str">
        <f t="shared" si="103"/>
        <v>OK</v>
      </c>
      <c r="I1657" t="str">
        <f t="shared" si="100"/>
        <v>OK</v>
      </c>
    </row>
    <row r="1658" spans="1:9" x14ac:dyDescent="0.2">
      <c r="A1658" t="str">
        <f>ObesityDataSet_raw_and_data_sin!A1658</f>
        <v>Male</v>
      </c>
      <c r="B1658">
        <f>ObesityDataSet_raw_and_data_sin!C1658</f>
        <v>1.763029</v>
      </c>
      <c r="C1658">
        <f>ObesityDataSet_raw_and_data_sin!D1658</f>
        <v>116.974504</v>
      </c>
      <c r="D1658" t="str">
        <f>ObesityDataSet_raw_and_data_sin!Q1658</f>
        <v>Obesity_Type_II</v>
      </c>
      <c r="E1658" t="b">
        <f t="shared" si="101"/>
        <v>0</v>
      </c>
      <c r="F1658">
        <f>C1658/(B1658*B1658)</f>
        <v>37.633299802202657</v>
      </c>
      <c r="G1658" t="str">
        <f t="shared" si="102"/>
        <v>Obese</v>
      </c>
      <c r="H1658" t="str">
        <f t="shared" si="103"/>
        <v>OK</v>
      </c>
      <c r="I1658" t="str">
        <f t="shared" si="100"/>
        <v>OK</v>
      </c>
    </row>
    <row r="1659" spans="1:9" x14ac:dyDescent="0.2">
      <c r="A1659" t="str">
        <f>ObesityDataSet_raw_and_data_sin!A1659</f>
        <v>Male</v>
      </c>
      <c r="B1659">
        <f>ObesityDataSet_raw_and_data_sin!C1659</f>
        <v>1.6795150000000001</v>
      </c>
      <c r="C1659">
        <f>ObesityDataSet_raw_and_data_sin!D1659</f>
        <v>102.87280199999999</v>
      </c>
      <c r="D1659" t="str">
        <f>ObesityDataSet_raw_and_data_sin!Q1659</f>
        <v>Obesity_Type_II</v>
      </c>
      <c r="E1659" t="b">
        <f t="shared" si="101"/>
        <v>0</v>
      </c>
      <c r="F1659">
        <f>C1659/(B1659*B1659)</f>
        <v>36.46975075369582</v>
      </c>
      <c r="G1659" t="str">
        <f t="shared" si="102"/>
        <v>Obese</v>
      </c>
      <c r="H1659" t="str">
        <f t="shared" si="103"/>
        <v>OK</v>
      </c>
      <c r="I1659" t="str">
        <f t="shared" si="100"/>
        <v>OK</v>
      </c>
    </row>
    <row r="1660" spans="1:9" x14ac:dyDescent="0.2">
      <c r="A1660" t="str">
        <f>ObesityDataSet_raw_and_data_sin!A1660</f>
        <v>Male</v>
      </c>
      <c r="B1660">
        <f>ObesityDataSet_raw_and_data_sin!C1660</f>
        <v>1.699354</v>
      </c>
      <c r="C1660">
        <f>ObesityDataSet_raw_and_data_sin!D1660</f>
        <v>100.176866</v>
      </c>
      <c r="D1660" t="str">
        <f>ObesityDataSet_raw_and_data_sin!Q1660</f>
        <v>Obesity_Type_II</v>
      </c>
      <c r="E1660" t="b">
        <f t="shared" si="101"/>
        <v>0</v>
      </c>
      <c r="F1660">
        <f>C1660/(B1660*B1660)</f>
        <v>34.689634545597379</v>
      </c>
      <c r="G1660" t="str">
        <f t="shared" si="102"/>
        <v>Obese</v>
      </c>
      <c r="H1660" t="str">
        <f t="shared" si="103"/>
        <v>OK</v>
      </c>
      <c r="I1660" t="str">
        <f t="shared" si="100"/>
        <v>OK</v>
      </c>
    </row>
    <row r="1661" spans="1:9" x14ac:dyDescent="0.2">
      <c r="A1661" t="str">
        <f>ObesityDataSet_raw_and_data_sin!A1661</f>
        <v>Male</v>
      </c>
      <c r="B1661">
        <f>ObesityDataSet_raw_and_data_sin!C1661</f>
        <v>1.849307</v>
      </c>
      <c r="C1661">
        <f>ObesityDataSet_raw_and_data_sin!D1661</f>
        <v>121.65872899999999</v>
      </c>
      <c r="D1661" t="str">
        <f>ObesityDataSet_raw_and_data_sin!Q1661</f>
        <v>Obesity_Type_II</v>
      </c>
      <c r="E1661" t="b">
        <f t="shared" si="101"/>
        <v>0</v>
      </c>
      <c r="F1661">
        <f>C1661/(B1661*B1661)</f>
        <v>35.573389523445528</v>
      </c>
      <c r="G1661" t="str">
        <f t="shared" si="102"/>
        <v>Obese</v>
      </c>
      <c r="H1661" t="str">
        <f t="shared" si="103"/>
        <v>OK</v>
      </c>
      <c r="I1661" t="str">
        <f t="shared" si="100"/>
        <v>OK</v>
      </c>
    </row>
    <row r="1662" spans="1:9" x14ac:dyDescent="0.2">
      <c r="A1662" t="str">
        <f>ObesityDataSet_raw_and_data_sin!A1662</f>
        <v>Male</v>
      </c>
      <c r="B1662">
        <f>ObesityDataSet_raw_and_data_sin!C1662</f>
        <v>1.86741</v>
      </c>
      <c r="C1662">
        <f>ObesityDataSet_raw_and_data_sin!D1662</f>
        <v>121.68431099999999</v>
      </c>
      <c r="D1662" t="str">
        <f>ObesityDataSet_raw_and_data_sin!Q1662</f>
        <v>Obesity_Type_II</v>
      </c>
      <c r="E1662" t="b">
        <f t="shared" si="101"/>
        <v>0</v>
      </c>
      <c r="F1662">
        <f>C1662/(B1662*B1662)</f>
        <v>34.894359182362962</v>
      </c>
      <c r="G1662" t="str">
        <f t="shared" si="102"/>
        <v>Obese</v>
      </c>
      <c r="H1662" t="str">
        <f t="shared" si="103"/>
        <v>OK</v>
      </c>
      <c r="I1662" t="str">
        <f t="shared" si="100"/>
        <v>OK</v>
      </c>
    </row>
    <row r="1663" spans="1:9" x14ac:dyDescent="0.2">
      <c r="A1663" t="str">
        <f>ObesityDataSet_raw_and_data_sin!A1663</f>
        <v>Male</v>
      </c>
      <c r="B1663">
        <f>ObesityDataSet_raw_and_data_sin!C1663</f>
        <v>1.86714</v>
      </c>
      <c r="C1663">
        <f>ObesityDataSet_raw_and_data_sin!D1663</f>
        <v>121.835883</v>
      </c>
      <c r="D1663" t="str">
        <f>ObesityDataSet_raw_and_data_sin!Q1663</f>
        <v>Obesity_Type_II</v>
      </c>
      <c r="E1663" t="b">
        <f t="shared" si="101"/>
        <v>0</v>
      </c>
      <c r="F1663">
        <f>C1663/(B1663*B1663)</f>
        <v>34.947929357859941</v>
      </c>
      <c r="G1663" t="str">
        <f t="shared" si="102"/>
        <v>Obese</v>
      </c>
      <c r="H1663" t="str">
        <f t="shared" si="103"/>
        <v>OK</v>
      </c>
      <c r="I1663" t="str">
        <f t="shared" si="100"/>
        <v>OK</v>
      </c>
    </row>
    <row r="1664" spans="1:9" x14ac:dyDescent="0.2">
      <c r="A1664" t="str">
        <f>ObesityDataSet_raw_and_data_sin!A1664</f>
        <v>Male</v>
      </c>
      <c r="B1664">
        <f>ObesityDataSet_raw_and_data_sin!C1664</f>
        <v>1.8485529999999999</v>
      </c>
      <c r="C1664">
        <f>ObesityDataSet_raw_and_data_sin!D1664</f>
        <v>121.421121</v>
      </c>
      <c r="D1664" t="str">
        <f>ObesityDataSet_raw_and_data_sin!Q1664</f>
        <v>Obesity_Type_II</v>
      </c>
      <c r="E1664" t="b">
        <f t="shared" si="101"/>
        <v>0</v>
      </c>
      <c r="F1664">
        <f>C1664/(B1664*B1664)</f>
        <v>35.532881254604085</v>
      </c>
      <c r="G1664" t="str">
        <f t="shared" si="102"/>
        <v>Obese</v>
      </c>
      <c r="H1664" t="str">
        <f t="shared" si="103"/>
        <v>OK</v>
      </c>
      <c r="I1664" t="str">
        <f t="shared" si="100"/>
        <v>OK</v>
      </c>
    </row>
    <row r="1665" spans="1:9" x14ac:dyDescent="0.2">
      <c r="A1665" t="str">
        <f>ObesityDataSet_raw_and_data_sin!A1665</f>
        <v>Male</v>
      </c>
      <c r="B1665">
        <f>ObesityDataSet_raw_and_data_sin!C1665</f>
        <v>1.61981</v>
      </c>
      <c r="C1665">
        <f>ObesityDataSet_raw_and_data_sin!D1665</f>
        <v>98.543019999999999</v>
      </c>
      <c r="D1665" t="str">
        <f>ObesityDataSet_raw_and_data_sin!Q1665</f>
        <v>Obesity_Type_II</v>
      </c>
      <c r="E1665" t="b">
        <f t="shared" si="101"/>
        <v>0</v>
      </c>
      <c r="F1665">
        <f>C1665/(B1665*B1665)</f>
        <v>37.557589962106263</v>
      </c>
      <c r="G1665" t="str">
        <f t="shared" si="102"/>
        <v>Obese</v>
      </c>
      <c r="H1665" t="str">
        <f t="shared" si="103"/>
        <v>OK</v>
      </c>
      <c r="I1665" t="str">
        <f t="shared" si="100"/>
        <v>OK</v>
      </c>
    </row>
    <row r="1666" spans="1:9" x14ac:dyDescent="0.2">
      <c r="A1666" t="str">
        <f>ObesityDataSet_raw_and_data_sin!A1666</f>
        <v>Male</v>
      </c>
      <c r="B1666">
        <f>ObesityDataSet_raw_and_data_sin!C1666</f>
        <v>1.647807</v>
      </c>
      <c r="C1666">
        <f>ObesityDataSet_raw_and_data_sin!D1666</f>
        <v>99.592224999999999</v>
      </c>
      <c r="D1666" t="str">
        <f>ObesityDataSet_raw_and_data_sin!Q1666</f>
        <v>Obesity_Type_II</v>
      </c>
      <c r="E1666" t="b">
        <f t="shared" si="101"/>
        <v>0</v>
      </c>
      <c r="F1666">
        <f>C1666/(B1666*B1666)</f>
        <v>36.678599802531316</v>
      </c>
      <c r="G1666" t="str">
        <f t="shared" si="102"/>
        <v>Obese</v>
      </c>
      <c r="H1666" t="str">
        <f t="shared" si="103"/>
        <v>OK</v>
      </c>
      <c r="I1666" t="str">
        <f t="shared" ref="I1666:I1729" si="104">IF(AND(LEFT(D1666,10)="Overweight",G1666&lt;&gt;"Overweight"),"ERROR","OK")</f>
        <v>OK</v>
      </c>
    </row>
    <row r="1667" spans="1:9" x14ac:dyDescent="0.2">
      <c r="A1667" t="str">
        <f>ObesityDataSet_raw_and_data_sin!A1667</f>
        <v>Male</v>
      </c>
      <c r="B1667">
        <f>ObesityDataSet_raw_and_data_sin!C1667</f>
        <v>1.6191279999999999</v>
      </c>
      <c r="C1667">
        <f>ObesityDataSet_raw_and_data_sin!D1667</f>
        <v>104.30371100000001</v>
      </c>
      <c r="D1667" t="str">
        <f>ObesityDataSet_raw_and_data_sin!Q1667</f>
        <v>Obesity_Type_II</v>
      </c>
      <c r="E1667" t="b">
        <f t="shared" ref="E1667:E1730" si="105">IF(AND(A1667="Female", B1667&lt;1.5), TRUE, IF(AND(A1667="Male",B1667&lt;1.6),TRUE, FALSE))</f>
        <v>0</v>
      </c>
      <c r="F1667">
        <f>C1667/(B1667*B1667)</f>
        <v>39.786651874208843</v>
      </c>
      <c r="G1667" t="str">
        <f t="shared" ref="G1667:G1730" si="106">IF(E1667=TRUE,IF(F1667&lt;23,"Normal",IF(F1667&lt;25,"Overweight","Obese")),IF(F1667&lt;25,"Normal",IF(F1667&lt;30,"Overweight","Obese")))</f>
        <v>Obese</v>
      </c>
      <c r="H1667" t="str">
        <f t="shared" ref="H1667:H1730" si="107">IF(AND(D1667="Normal_Weight",G1667&lt;&gt;"Normal"),"ERROR","OK")</f>
        <v>OK</v>
      </c>
      <c r="I1667" t="str">
        <f t="shared" si="104"/>
        <v>OK</v>
      </c>
    </row>
    <row r="1668" spans="1:9" x14ac:dyDescent="0.2">
      <c r="A1668" t="str">
        <f>ObesityDataSet_raw_and_data_sin!A1668</f>
        <v>Male</v>
      </c>
      <c r="B1668">
        <f>ObesityDataSet_raw_and_data_sin!C1668</f>
        <v>1.6418699999999999</v>
      </c>
      <c r="C1668">
        <f>ObesityDataSet_raw_and_data_sin!D1668</f>
        <v>104.270062</v>
      </c>
      <c r="D1668" t="str">
        <f>ObesityDataSet_raw_and_data_sin!Q1668</f>
        <v>Obesity_Type_II</v>
      </c>
      <c r="E1668" t="b">
        <f t="shared" si="105"/>
        <v>0</v>
      </c>
      <c r="F1668">
        <f>C1668/(B1668*B1668)</f>
        <v>38.679610901191658</v>
      </c>
      <c r="G1668" t="str">
        <f t="shared" si="106"/>
        <v>Obese</v>
      </c>
      <c r="H1668" t="str">
        <f t="shared" si="107"/>
        <v>OK</v>
      </c>
      <c r="I1668" t="str">
        <f t="shared" si="104"/>
        <v>OK</v>
      </c>
    </row>
    <row r="1669" spans="1:9" x14ac:dyDescent="0.2">
      <c r="A1669" t="str">
        <f>ObesityDataSet_raw_and_data_sin!A1669</f>
        <v>Male</v>
      </c>
      <c r="B1669">
        <f>ObesityDataSet_raw_and_data_sin!C1669</f>
        <v>1.7873790000000001</v>
      </c>
      <c r="C1669">
        <f>ObesityDataSet_raw_and_data_sin!D1669</f>
        <v>112.173731</v>
      </c>
      <c r="D1669" t="str">
        <f>ObesityDataSet_raw_and_data_sin!Q1669</f>
        <v>Obesity_Type_II</v>
      </c>
      <c r="E1669" t="b">
        <f t="shared" si="105"/>
        <v>0</v>
      </c>
      <c r="F1669">
        <f>C1669/(B1669*B1669)</f>
        <v>35.112185558872312</v>
      </c>
      <c r="G1669" t="str">
        <f t="shared" si="106"/>
        <v>Obese</v>
      </c>
      <c r="H1669" t="str">
        <f t="shared" si="107"/>
        <v>OK</v>
      </c>
      <c r="I1669" t="str">
        <f t="shared" si="104"/>
        <v>OK</v>
      </c>
    </row>
    <row r="1670" spans="1:9" x14ac:dyDescent="0.2">
      <c r="A1670" t="str">
        <f>ObesityDataSet_raw_and_data_sin!A1670</f>
        <v>Male</v>
      </c>
      <c r="B1670">
        <f>ObesityDataSet_raw_and_data_sin!C1670</f>
        <v>1.7583549999999999</v>
      </c>
      <c r="C1670">
        <f>ObesityDataSet_raw_and_data_sin!D1670</f>
        <v>112.00710100000001</v>
      </c>
      <c r="D1670" t="str">
        <f>ObesityDataSet_raw_and_data_sin!Q1670</f>
        <v>Obesity_Type_II</v>
      </c>
      <c r="E1670" t="b">
        <f t="shared" si="105"/>
        <v>0</v>
      </c>
      <c r="F1670">
        <f>C1670/(B1670*B1670)</f>
        <v>36.227005365666059</v>
      </c>
      <c r="G1670" t="str">
        <f t="shared" si="106"/>
        <v>Obese</v>
      </c>
      <c r="H1670" t="str">
        <f t="shared" si="107"/>
        <v>OK</v>
      </c>
      <c r="I1670" t="str">
        <f t="shared" si="104"/>
        <v>OK</v>
      </c>
    </row>
    <row r="1671" spans="1:9" x14ac:dyDescent="0.2">
      <c r="A1671" t="str">
        <f>ObesityDataSet_raw_and_data_sin!A1671</f>
        <v>Male</v>
      </c>
      <c r="B1671">
        <f>ObesityDataSet_raw_and_data_sin!C1671</f>
        <v>1.76414</v>
      </c>
      <c r="C1671">
        <f>ObesityDataSet_raw_and_data_sin!D1671</f>
        <v>113.089716</v>
      </c>
      <c r="D1671" t="str">
        <f>ObesityDataSet_raw_and_data_sin!Q1671</f>
        <v>Obesity_Type_II</v>
      </c>
      <c r="E1671" t="b">
        <f t="shared" si="105"/>
        <v>0</v>
      </c>
      <c r="F1671">
        <f>C1671/(B1671*B1671)</f>
        <v>36.337665179437941</v>
      </c>
      <c r="G1671" t="str">
        <f t="shared" si="106"/>
        <v>Obese</v>
      </c>
      <c r="H1671" t="str">
        <f t="shared" si="107"/>
        <v>OK</v>
      </c>
      <c r="I1671" t="str">
        <f t="shared" si="104"/>
        <v>OK</v>
      </c>
    </row>
    <row r="1672" spans="1:9" x14ac:dyDescent="0.2">
      <c r="A1672" t="str">
        <f>ObesityDataSet_raw_and_data_sin!A1672</f>
        <v>Male</v>
      </c>
      <c r="B1672">
        <f>ObesityDataSet_raw_and_data_sin!C1672</f>
        <v>1.7671859999999999</v>
      </c>
      <c r="C1672">
        <f>ObesityDataSet_raw_and_data_sin!D1672</f>
        <v>112.226032</v>
      </c>
      <c r="D1672" t="str">
        <f>ObesityDataSet_raw_and_data_sin!Q1672</f>
        <v>Obesity_Type_II</v>
      </c>
      <c r="E1672" t="b">
        <f t="shared" si="105"/>
        <v>0</v>
      </c>
      <c r="F1672">
        <f>C1672/(B1672*B1672)</f>
        <v>35.935946094973623</v>
      </c>
      <c r="G1672" t="str">
        <f t="shared" si="106"/>
        <v>Obese</v>
      </c>
      <c r="H1672" t="str">
        <f t="shared" si="107"/>
        <v>OK</v>
      </c>
      <c r="I1672" t="str">
        <f t="shared" si="104"/>
        <v>OK</v>
      </c>
    </row>
    <row r="1673" spans="1:9" x14ac:dyDescent="0.2">
      <c r="A1673" t="str">
        <f>ObesityDataSet_raw_and_data_sin!A1673</f>
        <v>Male</v>
      </c>
      <c r="B1673">
        <f>ObesityDataSet_raw_and_data_sin!C1673</f>
        <v>1.6778200000000001</v>
      </c>
      <c r="C1673">
        <f>ObesityDataSet_raw_and_data_sin!D1673</f>
        <v>102.022057</v>
      </c>
      <c r="D1673" t="str">
        <f>ObesityDataSet_raw_and_data_sin!Q1673</f>
        <v>Obesity_Type_II</v>
      </c>
      <c r="E1673" t="b">
        <f t="shared" si="105"/>
        <v>0</v>
      </c>
      <c r="F1673">
        <f>C1673/(B1673*B1673)</f>
        <v>36.241264448997612</v>
      </c>
      <c r="G1673" t="str">
        <f t="shared" si="106"/>
        <v>Obese</v>
      </c>
      <c r="H1673" t="str">
        <f t="shared" si="107"/>
        <v>OK</v>
      </c>
      <c r="I1673" t="str">
        <f t="shared" si="104"/>
        <v>OK</v>
      </c>
    </row>
    <row r="1674" spans="1:9" x14ac:dyDescent="0.2">
      <c r="A1674" t="str">
        <f>ObesityDataSet_raw_and_data_sin!A1674</f>
        <v>Male</v>
      </c>
      <c r="B1674">
        <f>ObesityDataSet_raw_and_data_sin!C1674</f>
        <v>1.6684779999999999</v>
      </c>
      <c r="C1674">
        <f>ObesityDataSet_raw_and_data_sin!D1674</f>
        <v>100.543983</v>
      </c>
      <c r="D1674" t="str">
        <f>ObesityDataSet_raw_and_data_sin!Q1674</f>
        <v>Obesity_Type_II</v>
      </c>
      <c r="E1674" t="b">
        <f t="shared" si="105"/>
        <v>0</v>
      </c>
      <c r="F1674">
        <f>C1674/(B1674*B1674)</f>
        <v>36.117286686294712</v>
      </c>
      <c r="G1674" t="str">
        <f t="shared" si="106"/>
        <v>Obese</v>
      </c>
      <c r="H1674" t="str">
        <f t="shared" si="107"/>
        <v>OK</v>
      </c>
      <c r="I1674" t="str">
        <f t="shared" si="104"/>
        <v>OK</v>
      </c>
    </row>
    <row r="1675" spans="1:9" x14ac:dyDescent="0.2">
      <c r="A1675" t="str">
        <f>ObesityDataSet_raw_and_data_sin!A1675</f>
        <v>Male</v>
      </c>
      <c r="B1675">
        <f>ObesityDataSet_raw_and_data_sin!C1675</f>
        <v>1.685462</v>
      </c>
      <c r="C1675">
        <f>ObesityDataSet_raw_and_data_sin!D1675</f>
        <v>99.540121999999997</v>
      </c>
      <c r="D1675" t="str">
        <f>ObesityDataSet_raw_and_data_sin!Q1675</f>
        <v>Obesity_Type_II</v>
      </c>
      <c r="E1675" t="b">
        <f t="shared" si="105"/>
        <v>0</v>
      </c>
      <c r="F1675">
        <f>C1675/(B1675*B1675)</f>
        <v>35.039688586934872</v>
      </c>
      <c r="G1675" t="str">
        <f t="shared" si="106"/>
        <v>Obese</v>
      </c>
      <c r="H1675" t="str">
        <f t="shared" si="107"/>
        <v>OK</v>
      </c>
      <c r="I1675" t="str">
        <f t="shared" si="104"/>
        <v>OK</v>
      </c>
    </row>
    <row r="1676" spans="1:9" x14ac:dyDescent="0.2">
      <c r="A1676" t="str">
        <f>ObesityDataSet_raw_and_data_sin!A1676</f>
        <v>Male</v>
      </c>
      <c r="B1676">
        <f>ObesityDataSet_raw_and_data_sin!C1676</f>
        <v>1.694642</v>
      </c>
      <c r="C1676">
        <f>ObesityDataSet_raw_and_data_sin!D1676</f>
        <v>99.709328999999997</v>
      </c>
      <c r="D1676" t="str">
        <f>ObesityDataSet_raw_and_data_sin!Q1676</f>
        <v>Obesity_Type_II</v>
      </c>
      <c r="E1676" t="b">
        <f t="shared" si="105"/>
        <v>0</v>
      </c>
      <c r="F1676">
        <f>C1676/(B1676*B1676)</f>
        <v>34.720011643015503</v>
      </c>
      <c r="G1676" t="str">
        <f t="shared" si="106"/>
        <v>Obese</v>
      </c>
      <c r="H1676" t="str">
        <f t="shared" si="107"/>
        <v>OK</v>
      </c>
      <c r="I1676" t="str">
        <f t="shared" si="104"/>
        <v>OK</v>
      </c>
    </row>
    <row r="1677" spans="1:9" x14ac:dyDescent="0.2">
      <c r="A1677" t="str">
        <f>ObesityDataSet_raw_and_data_sin!A1677</f>
        <v>Male</v>
      </c>
      <c r="B1677">
        <f>ObesityDataSet_raw_and_data_sin!C1677</f>
        <v>1.886109</v>
      </c>
      <c r="C1677">
        <f>ObesityDataSet_raw_and_data_sin!D1677</f>
        <v>129.34947099999999</v>
      </c>
      <c r="D1677" t="str">
        <f>ObesityDataSet_raw_and_data_sin!Q1677</f>
        <v>Obesity_Type_II</v>
      </c>
      <c r="E1677" t="b">
        <f t="shared" si="105"/>
        <v>0</v>
      </c>
      <c r="F1677">
        <f>C1677/(B1677*B1677)</f>
        <v>36.36060343576947</v>
      </c>
      <c r="G1677" t="str">
        <f t="shared" si="106"/>
        <v>Obese</v>
      </c>
      <c r="H1677" t="str">
        <f t="shared" si="107"/>
        <v>OK</v>
      </c>
      <c r="I1677" t="str">
        <f t="shared" si="104"/>
        <v>OK</v>
      </c>
    </row>
    <row r="1678" spans="1:9" x14ac:dyDescent="0.2">
      <c r="A1678" t="str">
        <f>ObesityDataSet_raw_and_data_sin!A1678</f>
        <v>Male</v>
      </c>
      <c r="B1678">
        <f>ObesityDataSet_raw_and_data_sin!C1678</f>
        <v>1.915</v>
      </c>
      <c r="C1678">
        <f>ObesityDataSet_raw_and_data_sin!D1678</f>
        <v>129.96642800000001</v>
      </c>
      <c r="D1678" t="str">
        <f>ObesityDataSet_raw_and_data_sin!Q1678</f>
        <v>Obesity_Type_II</v>
      </c>
      <c r="E1678" t="b">
        <f t="shared" si="105"/>
        <v>0</v>
      </c>
      <c r="F1678">
        <f>C1678/(B1678*B1678)</f>
        <v>35.439992910170496</v>
      </c>
      <c r="G1678" t="str">
        <f t="shared" si="106"/>
        <v>Obese</v>
      </c>
      <c r="H1678" t="str">
        <f t="shared" si="107"/>
        <v>OK</v>
      </c>
      <c r="I1678" t="str">
        <f t="shared" si="104"/>
        <v>OK</v>
      </c>
    </row>
    <row r="1679" spans="1:9" x14ac:dyDescent="0.2">
      <c r="A1679" t="str">
        <f>ObesityDataSet_raw_and_data_sin!A1679</f>
        <v>Male</v>
      </c>
      <c r="B1679">
        <f>ObesityDataSet_raw_and_data_sin!C1679</f>
        <v>1.8419080000000001</v>
      </c>
      <c r="C1679">
        <f>ObesityDataSet_raw_and_data_sin!D1679</f>
        <v>124.070717</v>
      </c>
      <c r="D1679" t="str">
        <f>ObesityDataSet_raw_and_data_sin!Q1679</f>
        <v>Obesity_Type_II</v>
      </c>
      <c r="E1679" t="b">
        <f t="shared" si="105"/>
        <v>0</v>
      </c>
      <c r="F1679">
        <f>C1679/(B1679*B1679)</f>
        <v>36.570712665671614</v>
      </c>
      <c r="G1679" t="str">
        <f t="shared" si="106"/>
        <v>Obese</v>
      </c>
      <c r="H1679" t="str">
        <f t="shared" si="107"/>
        <v>OK</v>
      </c>
      <c r="I1679" t="str">
        <f t="shared" si="104"/>
        <v>OK</v>
      </c>
    </row>
    <row r="1680" spans="1:9" x14ac:dyDescent="0.2">
      <c r="A1680" t="str">
        <f>ObesityDataSet_raw_and_data_sin!A1680</f>
        <v>Male</v>
      </c>
      <c r="B1680">
        <f>ObesityDataSet_raw_and_data_sin!C1680</f>
        <v>1.8681270000000001</v>
      </c>
      <c r="C1680">
        <f>ObesityDataSet_raw_and_data_sin!D1680</f>
        <v>123.172214</v>
      </c>
      <c r="D1680" t="str">
        <f>ObesityDataSet_raw_and_data_sin!Q1680</f>
        <v>Obesity_Type_II</v>
      </c>
      <c r="E1680" t="b">
        <f t="shared" si="105"/>
        <v>0</v>
      </c>
      <c r="F1680">
        <f>C1680/(B1680*B1680)</f>
        <v>35.293924570864782</v>
      </c>
      <c r="G1680" t="str">
        <f t="shared" si="106"/>
        <v>Obese</v>
      </c>
      <c r="H1680" t="str">
        <f t="shared" si="107"/>
        <v>OK</v>
      </c>
      <c r="I1680" t="str">
        <f t="shared" si="104"/>
        <v>OK</v>
      </c>
    </row>
    <row r="1681" spans="1:9" x14ac:dyDescent="0.2">
      <c r="A1681" t="str">
        <f>ObesityDataSet_raw_and_data_sin!A1681</f>
        <v>Male</v>
      </c>
      <c r="B1681">
        <f>ObesityDataSet_raw_and_data_sin!C1681</f>
        <v>1.7516879999999999</v>
      </c>
      <c r="C1681">
        <f>ObesityDataSet_raw_and_data_sin!D1681</f>
        <v>119.205308</v>
      </c>
      <c r="D1681" t="str">
        <f>ObesityDataSet_raw_and_data_sin!Q1681</f>
        <v>Obesity_Type_II</v>
      </c>
      <c r="E1681" t="b">
        <f t="shared" si="105"/>
        <v>0</v>
      </c>
      <c r="F1681">
        <f>C1681/(B1681*B1681)</f>
        <v>38.849200401401625</v>
      </c>
      <c r="G1681" t="str">
        <f t="shared" si="106"/>
        <v>Obese</v>
      </c>
      <c r="H1681" t="str">
        <f t="shared" si="107"/>
        <v>OK</v>
      </c>
      <c r="I1681" t="str">
        <f t="shared" si="104"/>
        <v>OK</v>
      </c>
    </row>
    <row r="1682" spans="1:9" x14ac:dyDescent="0.2">
      <c r="A1682" t="str">
        <f>ObesityDataSet_raw_and_data_sin!A1682</f>
        <v>Male</v>
      </c>
      <c r="B1682">
        <f>ObesityDataSet_raw_and_data_sin!C1682</f>
        <v>1.755333</v>
      </c>
      <c r="C1682">
        <f>ObesityDataSet_raw_and_data_sin!D1682</f>
        <v>118.237782</v>
      </c>
      <c r="D1682" t="str">
        <f>ObesityDataSet_raw_and_data_sin!Q1682</f>
        <v>Obesity_Type_II</v>
      </c>
      <c r="E1682" t="b">
        <f t="shared" si="105"/>
        <v>0</v>
      </c>
      <c r="F1682">
        <f>C1682/(B1682*B1682)</f>
        <v>38.374014835913087</v>
      </c>
      <c r="G1682" t="str">
        <f t="shared" si="106"/>
        <v>Obese</v>
      </c>
      <c r="H1682" t="str">
        <f t="shared" si="107"/>
        <v>OK</v>
      </c>
      <c r="I1682" t="str">
        <f t="shared" si="104"/>
        <v>OK</v>
      </c>
    </row>
    <row r="1683" spans="1:9" x14ac:dyDescent="0.2">
      <c r="A1683" t="str">
        <f>ObesityDataSet_raw_and_data_sin!A1683</f>
        <v>Male</v>
      </c>
      <c r="B1683">
        <f>ObesityDataSet_raw_and_data_sin!C1683</f>
        <v>1.7542169999999999</v>
      </c>
      <c r="C1683">
        <f>ObesityDataSet_raw_and_data_sin!D1683</f>
        <v>117.8972</v>
      </c>
      <c r="D1683" t="str">
        <f>ObesityDataSet_raw_and_data_sin!Q1683</f>
        <v>Obesity_Type_II</v>
      </c>
      <c r="E1683" t="b">
        <f t="shared" si="105"/>
        <v>0</v>
      </c>
      <c r="F1683">
        <f>C1683/(B1683*B1683)</f>
        <v>38.312179616668693</v>
      </c>
      <c r="G1683" t="str">
        <f t="shared" si="106"/>
        <v>Obese</v>
      </c>
      <c r="H1683" t="str">
        <f t="shared" si="107"/>
        <v>OK</v>
      </c>
      <c r="I1683" t="str">
        <f t="shared" si="104"/>
        <v>OK</v>
      </c>
    </row>
    <row r="1684" spans="1:9" x14ac:dyDescent="0.2">
      <c r="A1684" t="str">
        <f>ObesityDataSet_raw_and_data_sin!A1684</f>
        <v>Male</v>
      </c>
      <c r="B1684">
        <f>ObesityDataSet_raw_and_data_sin!C1684</f>
        <v>1.76071</v>
      </c>
      <c r="C1684">
        <f>ObesityDataSet_raw_and_data_sin!D1684</f>
        <v>118.66833200000001</v>
      </c>
      <c r="D1684" t="str">
        <f>ObesityDataSet_raw_and_data_sin!Q1684</f>
        <v>Obesity_Type_II</v>
      </c>
      <c r="E1684" t="b">
        <f t="shared" si="105"/>
        <v>0</v>
      </c>
      <c r="F1684">
        <f>C1684/(B1684*B1684)</f>
        <v>38.278875948104705</v>
      </c>
      <c r="G1684" t="str">
        <f t="shared" si="106"/>
        <v>Obese</v>
      </c>
      <c r="H1684" t="str">
        <f t="shared" si="107"/>
        <v>OK</v>
      </c>
      <c r="I1684" t="str">
        <f t="shared" si="104"/>
        <v>OK</v>
      </c>
    </row>
    <row r="1685" spans="1:9" x14ac:dyDescent="0.2">
      <c r="A1685" t="str">
        <f>ObesityDataSet_raw_and_data_sin!A1685</f>
        <v>Male</v>
      </c>
      <c r="B1685">
        <f>ObesityDataSet_raw_and_data_sin!C1685</f>
        <v>1.755938</v>
      </c>
      <c r="C1685">
        <f>ObesityDataSet_raw_and_data_sin!D1685</f>
        <v>116.31196199999999</v>
      </c>
      <c r="D1685" t="str">
        <f>ObesityDataSet_raw_and_data_sin!Q1685</f>
        <v>Obesity_Type_II</v>
      </c>
      <c r="E1685" t="b">
        <f t="shared" si="105"/>
        <v>0</v>
      </c>
      <c r="F1685">
        <f>C1685/(B1685*B1685)</f>
        <v>37.722982902804453</v>
      </c>
      <c r="G1685" t="str">
        <f t="shared" si="106"/>
        <v>Obese</v>
      </c>
      <c r="H1685" t="str">
        <f t="shared" si="107"/>
        <v>OK</v>
      </c>
      <c r="I1685" t="str">
        <f t="shared" si="104"/>
        <v>OK</v>
      </c>
    </row>
    <row r="1686" spans="1:9" x14ac:dyDescent="0.2">
      <c r="A1686" t="str">
        <f>ObesityDataSet_raw_and_data_sin!A1686</f>
        <v>Male</v>
      </c>
      <c r="B1686">
        <f>ObesityDataSet_raw_and_data_sin!C1686</f>
        <v>1.765137</v>
      </c>
      <c r="C1686">
        <f>ObesityDataSet_raw_and_data_sin!D1686</f>
        <v>116.669906</v>
      </c>
      <c r="D1686" t="str">
        <f>ObesityDataSet_raw_and_data_sin!Q1686</f>
        <v>Obesity_Type_II</v>
      </c>
      <c r="E1686" t="b">
        <f t="shared" si="105"/>
        <v>0</v>
      </c>
      <c r="F1686">
        <f>C1686/(B1686*B1686)</f>
        <v>37.445704942601026</v>
      </c>
      <c r="G1686" t="str">
        <f t="shared" si="106"/>
        <v>Obese</v>
      </c>
      <c r="H1686" t="str">
        <f t="shared" si="107"/>
        <v>OK</v>
      </c>
      <c r="I1686" t="str">
        <f t="shared" si="104"/>
        <v>OK</v>
      </c>
    </row>
    <row r="1687" spans="1:9" x14ac:dyDescent="0.2">
      <c r="A1687" t="str">
        <f>ObesityDataSet_raw_and_data_sin!A1687</f>
        <v>Male</v>
      </c>
      <c r="B1687">
        <f>ObesityDataSet_raw_and_data_sin!C1687</f>
        <v>1.7882389999999999</v>
      </c>
      <c r="C1687">
        <f>ObesityDataSet_raw_and_data_sin!D1687</f>
        <v>115.382519</v>
      </c>
      <c r="D1687" t="str">
        <f>ObesityDataSet_raw_and_data_sin!Q1687</f>
        <v>Obesity_Type_II</v>
      </c>
      <c r="E1687" t="b">
        <f t="shared" si="105"/>
        <v>0</v>
      </c>
      <c r="F1687">
        <f>C1687/(B1687*B1687)</f>
        <v>36.081857884899101</v>
      </c>
      <c r="G1687" t="str">
        <f t="shared" si="106"/>
        <v>Obese</v>
      </c>
      <c r="H1687" t="str">
        <f t="shared" si="107"/>
        <v>OK</v>
      </c>
      <c r="I1687" t="str">
        <f t="shared" si="104"/>
        <v>OK</v>
      </c>
    </row>
    <row r="1688" spans="1:9" x14ac:dyDescent="0.2">
      <c r="A1688" t="str">
        <f>ObesityDataSet_raw_and_data_sin!A1688</f>
        <v>Male</v>
      </c>
      <c r="B1688">
        <f>ObesityDataSet_raw_and_data_sin!C1688</f>
        <v>1.7671209999999999</v>
      </c>
      <c r="C1688">
        <f>ObesityDataSet_raw_and_data_sin!D1688</f>
        <v>116.164351</v>
      </c>
      <c r="D1688" t="str">
        <f>ObesityDataSet_raw_and_data_sin!Q1688</f>
        <v>Obesity_Type_II</v>
      </c>
      <c r="E1688" t="b">
        <f t="shared" si="105"/>
        <v>0</v>
      </c>
      <c r="F1688">
        <f>C1688/(B1688*B1688)</f>
        <v>37.199773407090895</v>
      </c>
      <c r="G1688" t="str">
        <f t="shared" si="106"/>
        <v>Obese</v>
      </c>
      <c r="H1688" t="str">
        <f t="shared" si="107"/>
        <v>OK</v>
      </c>
      <c r="I1688" t="str">
        <f t="shared" si="104"/>
        <v>OK</v>
      </c>
    </row>
    <row r="1689" spans="1:9" x14ac:dyDescent="0.2">
      <c r="A1689" t="str">
        <f>ObesityDataSet_raw_and_data_sin!A1689</f>
        <v>Male</v>
      </c>
      <c r="B1689">
        <f>ObesityDataSet_raw_and_data_sin!C1689</f>
        <v>1.840039</v>
      </c>
      <c r="C1689">
        <f>ObesityDataSet_raw_and_data_sin!D1689</f>
        <v>120.975489</v>
      </c>
      <c r="D1689" t="str">
        <f>ObesityDataSet_raw_and_data_sin!Q1689</f>
        <v>Obesity_Type_II</v>
      </c>
      <c r="E1689" t="b">
        <f t="shared" si="105"/>
        <v>0</v>
      </c>
      <c r="F1689">
        <f>C1689/(B1689*B1689)</f>
        <v>35.730848551001102</v>
      </c>
      <c r="G1689" t="str">
        <f t="shared" si="106"/>
        <v>Obese</v>
      </c>
      <c r="H1689" t="str">
        <f t="shared" si="107"/>
        <v>OK</v>
      </c>
      <c r="I1689" t="str">
        <f t="shared" si="104"/>
        <v>OK</v>
      </c>
    </row>
    <row r="1690" spans="1:9" x14ac:dyDescent="0.2">
      <c r="A1690" t="str">
        <f>ObesityDataSet_raw_and_data_sin!A1690</f>
        <v>Male</v>
      </c>
      <c r="B1690">
        <f>ObesityDataSet_raw_and_data_sin!C1690</f>
        <v>1.8249010000000001</v>
      </c>
      <c r="C1690">
        <f>ObesityDataSet_raw_and_data_sin!D1690</f>
        <v>120.80571500000001</v>
      </c>
      <c r="D1690" t="str">
        <f>ObesityDataSet_raw_and_data_sin!Q1690</f>
        <v>Obesity_Type_II</v>
      </c>
      <c r="E1690" t="b">
        <f t="shared" si="105"/>
        <v>0</v>
      </c>
      <c r="F1690">
        <f>C1690/(B1690*B1690)</f>
        <v>36.27512033303055</v>
      </c>
      <c r="G1690" t="str">
        <f t="shared" si="106"/>
        <v>Obese</v>
      </c>
      <c r="H1690" t="str">
        <f t="shared" si="107"/>
        <v>OK</v>
      </c>
      <c r="I1690" t="str">
        <f t="shared" si="104"/>
        <v>OK</v>
      </c>
    </row>
    <row r="1691" spans="1:9" x14ac:dyDescent="0.2">
      <c r="A1691" t="str">
        <f>ObesityDataSet_raw_and_data_sin!A1691</f>
        <v>Male</v>
      </c>
      <c r="B1691">
        <f>ObesityDataSet_raw_and_data_sin!C1691</f>
        <v>1.8283910000000001</v>
      </c>
      <c r="C1691">
        <f>ObesityDataSet_raw_and_data_sin!D1691</f>
        <v>120.998266</v>
      </c>
      <c r="D1691" t="str">
        <f>ObesityDataSet_raw_and_data_sin!Q1691</f>
        <v>Obesity_Type_II</v>
      </c>
      <c r="E1691" t="b">
        <f t="shared" si="105"/>
        <v>0</v>
      </c>
      <c r="F1691">
        <f>C1691/(B1691*B1691)</f>
        <v>36.194367929219041</v>
      </c>
      <c r="G1691" t="str">
        <f t="shared" si="106"/>
        <v>Obese</v>
      </c>
      <c r="H1691" t="str">
        <f t="shared" si="107"/>
        <v>OK</v>
      </c>
      <c r="I1691" t="str">
        <f t="shared" si="104"/>
        <v>OK</v>
      </c>
    </row>
    <row r="1692" spans="1:9" x14ac:dyDescent="0.2">
      <c r="A1692" t="str">
        <f>ObesityDataSet_raw_and_data_sin!A1692</f>
        <v>Male</v>
      </c>
      <c r="B1692">
        <f>ObesityDataSet_raw_and_data_sin!C1692</f>
        <v>1.829529</v>
      </c>
      <c r="C1692">
        <f>ObesityDataSet_raw_and_data_sin!D1692</f>
        <v>120.99658100000001</v>
      </c>
      <c r="D1692" t="str">
        <f>ObesityDataSet_raw_and_data_sin!Q1692</f>
        <v>Obesity_Type_II</v>
      </c>
      <c r="E1692" t="b">
        <f t="shared" si="105"/>
        <v>0</v>
      </c>
      <c r="F1692">
        <f>C1692/(B1692*B1692)</f>
        <v>36.148851425758146</v>
      </c>
      <c r="G1692" t="str">
        <f t="shared" si="106"/>
        <v>Obese</v>
      </c>
      <c r="H1692" t="str">
        <f t="shared" si="107"/>
        <v>OK</v>
      </c>
      <c r="I1692" t="str">
        <f t="shared" si="104"/>
        <v>OK</v>
      </c>
    </row>
    <row r="1693" spans="1:9" x14ac:dyDescent="0.2">
      <c r="A1693" t="str">
        <f>ObesityDataSet_raw_and_data_sin!A1693</f>
        <v>Male</v>
      </c>
      <c r="B1693">
        <f>ObesityDataSet_raw_and_data_sin!C1693</f>
        <v>1.779325</v>
      </c>
      <c r="C1693">
        <f>ObesityDataSet_raw_and_data_sin!D1693</f>
        <v>120.751656</v>
      </c>
      <c r="D1693" t="str">
        <f>ObesityDataSet_raw_and_data_sin!Q1693</f>
        <v>Obesity_Type_II</v>
      </c>
      <c r="E1693" t="b">
        <f t="shared" si="105"/>
        <v>0</v>
      </c>
      <c r="F1693">
        <f>C1693/(B1693*B1693)</f>
        <v>38.140162047654705</v>
      </c>
      <c r="G1693" t="str">
        <f t="shared" si="106"/>
        <v>Obese</v>
      </c>
      <c r="H1693" t="str">
        <f t="shared" si="107"/>
        <v>OK</v>
      </c>
      <c r="I1693" t="str">
        <f t="shared" si="104"/>
        <v>OK</v>
      </c>
    </row>
    <row r="1694" spans="1:9" x14ac:dyDescent="0.2">
      <c r="A1694" t="str">
        <f>ObesityDataSet_raw_and_data_sin!A1694</f>
        <v>Male</v>
      </c>
      <c r="B1694">
        <f>ObesityDataSet_raw_and_data_sin!C1694</f>
        <v>1.781139</v>
      </c>
      <c r="C1694">
        <f>ObesityDataSet_raw_and_data_sin!D1694</f>
        <v>120.794535</v>
      </c>
      <c r="D1694" t="str">
        <f>ObesityDataSet_raw_and_data_sin!Q1694</f>
        <v>Obesity_Type_II</v>
      </c>
      <c r="E1694" t="b">
        <f t="shared" si="105"/>
        <v>0</v>
      </c>
      <c r="F1694">
        <f>C1694/(B1694*B1694)</f>
        <v>38.076029981617232</v>
      </c>
      <c r="G1694" t="str">
        <f t="shared" si="106"/>
        <v>Obese</v>
      </c>
      <c r="H1694" t="str">
        <f t="shared" si="107"/>
        <v>OK</v>
      </c>
      <c r="I1694" t="str">
        <f t="shared" si="104"/>
        <v>OK</v>
      </c>
    </row>
    <row r="1695" spans="1:9" x14ac:dyDescent="0.2">
      <c r="A1695" t="str">
        <f>ObesityDataSet_raw_and_data_sin!A1695</f>
        <v>Male</v>
      </c>
      <c r="B1695">
        <f>ObesityDataSet_raw_and_data_sin!C1695</f>
        <v>1.7641659999999999</v>
      </c>
      <c r="C1695">
        <f>ObesityDataSet_raw_and_data_sin!D1695</f>
        <v>119.373019</v>
      </c>
      <c r="D1695" t="str">
        <f>ObesityDataSet_raw_and_data_sin!Q1695</f>
        <v>Obesity_Type_II</v>
      </c>
      <c r="E1695" t="b">
        <f t="shared" si="105"/>
        <v>0</v>
      </c>
      <c r="F1695">
        <f>C1695/(B1695*B1695)</f>
        <v>38.355467610004929</v>
      </c>
      <c r="G1695" t="str">
        <f t="shared" si="106"/>
        <v>Obese</v>
      </c>
      <c r="H1695" t="str">
        <f t="shared" si="107"/>
        <v>OK</v>
      </c>
      <c r="I1695" t="str">
        <f t="shared" si="104"/>
        <v>OK</v>
      </c>
    </row>
    <row r="1696" spans="1:9" x14ac:dyDescent="0.2">
      <c r="A1696" t="str">
        <f>ObesityDataSet_raw_and_data_sin!A1696</f>
        <v>Male</v>
      </c>
      <c r="B1696">
        <f>ObesityDataSet_raw_and_data_sin!C1696</f>
        <v>1.754796</v>
      </c>
      <c r="C1696">
        <f>ObesityDataSet_raw_and_data_sin!D1696</f>
        <v>118.805937</v>
      </c>
      <c r="D1696" t="str">
        <f>ObesityDataSet_raw_and_data_sin!Q1696</f>
        <v>Obesity_Type_II</v>
      </c>
      <c r="E1696" t="b">
        <f t="shared" si="105"/>
        <v>0</v>
      </c>
      <c r="F1696">
        <f>C1696/(B1696*B1696)</f>
        <v>38.582012048044369</v>
      </c>
      <c r="G1696" t="str">
        <f t="shared" si="106"/>
        <v>Obese</v>
      </c>
      <c r="H1696" t="str">
        <f t="shared" si="107"/>
        <v>OK</v>
      </c>
      <c r="I1696" t="str">
        <f t="shared" si="104"/>
        <v>OK</v>
      </c>
    </row>
    <row r="1697" spans="1:9" x14ac:dyDescent="0.2">
      <c r="A1697" t="str">
        <f>ObesityDataSet_raw_and_data_sin!A1697</f>
        <v>Male</v>
      </c>
      <c r="B1697">
        <f>ObesityDataSet_raw_and_data_sin!C1697</f>
        <v>1.7565090000000001</v>
      </c>
      <c r="C1697">
        <f>ObesityDataSet_raw_and_data_sin!D1697</f>
        <v>117.36871600000001</v>
      </c>
      <c r="D1697" t="str">
        <f>ObesityDataSet_raw_and_data_sin!Q1697</f>
        <v>Obesity_Type_II</v>
      </c>
      <c r="E1697" t="b">
        <f t="shared" si="105"/>
        <v>0</v>
      </c>
      <c r="F1697">
        <f>C1697/(B1697*B1697)</f>
        <v>38.040971079979876</v>
      </c>
      <c r="G1697" t="str">
        <f t="shared" si="106"/>
        <v>Obese</v>
      </c>
      <c r="H1697" t="str">
        <f t="shared" si="107"/>
        <v>OK</v>
      </c>
      <c r="I1697" t="str">
        <f t="shared" si="104"/>
        <v>OK</v>
      </c>
    </row>
    <row r="1698" spans="1:9" x14ac:dyDescent="0.2">
      <c r="A1698" t="str">
        <f>ObesityDataSet_raw_and_data_sin!A1698</f>
        <v>Male</v>
      </c>
      <c r="B1698">
        <f>ObesityDataSet_raw_and_data_sin!C1698</f>
        <v>1.756772</v>
      </c>
      <c r="C1698">
        <f>ObesityDataSet_raw_and_data_sin!D1698</f>
        <v>117.32652299999999</v>
      </c>
      <c r="D1698" t="str">
        <f>ObesityDataSet_raw_and_data_sin!Q1698</f>
        <v>Obesity_Type_II</v>
      </c>
      <c r="E1698" t="b">
        <f t="shared" si="105"/>
        <v>0</v>
      </c>
      <c r="F1698">
        <f>C1698/(B1698*B1698)</f>
        <v>38.01591068599663</v>
      </c>
      <c r="G1698" t="str">
        <f t="shared" si="106"/>
        <v>Obese</v>
      </c>
      <c r="H1698" t="str">
        <f t="shared" si="107"/>
        <v>OK</v>
      </c>
      <c r="I1698" t="str">
        <f t="shared" si="104"/>
        <v>OK</v>
      </c>
    </row>
    <row r="1699" spans="1:9" x14ac:dyDescent="0.2">
      <c r="A1699" t="str">
        <f>ObesityDataSet_raw_and_data_sin!A1699</f>
        <v>Male</v>
      </c>
      <c r="B1699">
        <f>ObesityDataSet_raw_and_data_sin!C1699</f>
        <v>1.7544390000000001</v>
      </c>
      <c r="C1699">
        <f>ObesityDataSet_raw_and_data_sin!D1699</f>
        <v>119.44120700000001</v>
      </c>
      <c r="D1699" t="str">
        <f>ObesityDataSet_raw_and_data_sin!Q1699</f>
        <v>Obesity_Type_II</v>
      </c>
      <c r="E1699" t="b">
        <f t="shared" si="105"/>
        <v>0</v>
      </c>
      <c r="F1699">
        <f>C1699/(B1699*B1699)</f>
        <v>38.804102022830456</v>
      </c>
      <c r="G1699" t="str">
        <f t="shared" si="106"/>
        <v>Obese</v>
      </c>
      <c r="H1699" t="str">
        <f t="shared" si="107"/>
        <v>OK</v>
      </c>
      <c r="I1699" t="str">
        <f t="shared" si="104"/>
        <v>OK</v>
      </c>
    </row>
    <row r="1700" spans="1:9" x14ac:dyDescent="0.2">
      <c r="A1700" t="str">
        <f>ObesityDataSet_raw_and_data_sin!A1700</f>
        <v>Male</v>
      </c>
      <c r="B1700">
        <f>ObesityDataSet_raw_and_data_sin!C1700</f>
        <v>1.755142</v>
      </c>
      <c r="C1700">
        <f>ObesityDataSet_raw_and_data_sin!D1700</f>
        <v>119.192922</v>
      </c>
      <c r="D1700" t="str">
        <f>ObesityDataSet_raw_and_data_sin!Q1700</f>
        <v>Obesity_Type_II</v>
      </c>
      <c r="E1700" t="b">
        <f t="shared" si="105"/>
        <v>0</v>
      </c>
      <c r="F1700">
        <f>C1700/(B1700*B1700)</f>
        <v>38.69242494504585</v>
      </c>
      <c r="G1700" t="str">
        <f t="shared" si="106"/>
        <v>Obese</v>
      </c>
      <c r="H1700" t="str">
        <f t="shared" si="107"/>
        <v>OK</v>
      </c>
      <c r="I1700" t="str">
        <f t="shared" si="104"/>
        <v>OK</v>
      </c>
    </row>
    <row r="1701" spans="1:9" x14ac:dyDescent="0.2">
      <c r="A1701" t="str">
        <f>ObesityDataSet_raw_and_data_sin!A1701</f>
        <v>Male</v>
      </c>
      <c r="B1701">
        <f>ObesityDataSet_raw_and_data_sin!C1701</f>
        <v>1.7067410000000001</v>
      </c>
      <c r="C1701">
        <f>ObesityDataSet_raw_and_data_sin!D1701</f>
        <v>108.012603</v>
      </c>
      <c r="D1701" t="str">
        <f>ObesityDataSet_raw_and_data_sin!Q1701</f>
        <v>Obesity_Type_II</v>
      </c>
      <c r="E1701" t="b">
        <f t="shared" si="105"/>
        <v>0</v>
      </c>
      <c r="F1701">
        <f>C1701/(B1701*B1701)</f>
        <v>37.079954236562827</v>
      </c>
      <c r="G1701" t="str">
        <f t="shared" si="106"/>
        <v>Obese</v>
      </c>
      <c r="H1701" t="str">
        <f t="shared" si="107"/>
        <v>OK</v>
      </c>
      <c r="I1701" t="str">
        <f t="shared" si="104"/>
        <v>OK</v>
      </c>
    </row>
    <row r="1702" spans="1:9" x14ac:dyDescent="0.2">
      <c r="A1702" t="str">
        <f>ObesityDataSet_raw_and_data_sin!A1702</f>
        <v>Male</v>
      </c>
      <c r="B1702">
        <f>ObesityDataSet_raw_and_data_sin!C1702</f>
        <v>1.74285</v>
      </c>
      <c r="C1702">
        <f>ObesityDataSet_raw_and_data_sin!D1702</f>
        <v>106.421042</v>
      </c>
      <c r="D1702" t="str">
        <f>ObesityDataSet_raw_and_data_sin!Q1702</f>
        <v>Obesity_Type_II</v>
      </c>
      <c r="E1702" t="b">
        <f t="shared" si="105"/>
        <v>0</v>
      </c>
      <c r="F1702">
        <f>C1702/(B1702*B1702)</f>
        <v>35.035432687048434</v>
      </c>
      <c r="G1702" t="str">
        <f t="shared" si="106"/>
        <v>Obese</v>
      </c>
      <c r="H1702" t="str">
        <f t="shared" si="107"/>
        <v>OK</v>
      </c>
      <c r="I1702" t="str">
        <f t="shared" si="104"/>
        <v>OK</v>
      </c>
    </row>
    <row r="1703" spans="1:9" x14ac:dyDescent="0.2">
      <c r="A1703" t="str">
        <f>ObesityDataSet_raw_and_data_sin!A1703</f>
        <v>Male</v>
      </c>
      <c r="B1703">
        <f>ObesityDataSet_raw_and_data_sin!C1703</f>
        <v>1.6811</v>
      </c>
      <c r="C1703">
        <f>ObesityDataSet_raw_and_data_sin!D1703</f>
        <v>102.523111</v>
      </c>
      <c r="D1703" t="str">
        <f>ObesityDataSet_raw_and_data_sin!Q1703</f>
        <v>Obesity_Type_II</v>
      </c>
      <c r="E1703" t="b">
        <f t="shared" si="105"/>
        <v>0</v>
      </c>
      <c r="F1703">
        <f>C1703/(B1703*B1703)</f>
        <v>36.277276888150638</v>
      </c>
      <c r="G1703" t="str">
        <f t="shared" si="106"/>
        <v>Obese</v>
      </c>
      <c r="H1703" t="str">
        <f t="shared" si="107"/>
        <v>OK</v>
      </c>
      <c r="I1703" t="str">
        <f t="shared" si="104"/>
        <v>OK</v>
      </c>
    </row>
    <row r="1704" spans="1:9" x14ac:dyDescent="0.2">
      <c r="A1704" t="str">
        <f>ObesityDataSet_raw_and_data_sin!A1704</f>
        <v>Male</v>
      </c>
      <c r="B1704">
        <f>ObesityDataSet_raw_and_data_sin!C1704</f>
        <v>1.7056819999999999</v>
      </c>
      <c r="C1704">
        <f>ObesityDataSet_raw_and_data_sin!D1704</f>
        <v>103.06776600000001</v>
      </c>
      <c r="D1704" t="str">
        <f>ObesityDataSet_raw_and_data_sin!Q1704</f>
        <v>Obesity_Type_II</v>
      </c>
      <c r="E1704" t="b">
        <f t="shared" si="105"/>
        <v>0</v>
      </c>
      <c r="F1704">
        <f>C1704/(B1704*B1704)</f>
        <v>35.426376186429607</v>
      </c>
      <c r="G1704" t="str">
        <f t="shared" si="106"/>
        <v>Obese</v>
      </c>
      <c r="H1704" t="str">
        <f t="shared" si="107"/>
        <v>OK</v>
      </c>
      <c r="I1704" t="str">
        <f t="shared" si="104"/>
        <v>OK</v>
      </c>
    </row>
    <row r="1705" spans="1:9" x14ac:dyDescent="0.2">
      <c r="A1705" t="str">
        <f>ObesityDataSet_raw_and_data_sin!A1705</f>
        <v>Male</v>
      </c>
      <c r="B1705">
        <f>ObesityDataSet_raw_and_data_sin!C1705</f>
        <v>1.849507</v>
      </c>
      <c r="C1705">
        <f>ObesityDataSet_raw_and_data_sin!D1705</f>
        <v>121.56093799999999</v>
      </c>
      <c r="D1705" t="str">
        <f>ObesityDataSet_raw_and_data_sin!Q1705</f>
        <v>Obesity_Type_II</v>
      </c>
      <c r="E1705" t="b">
        <f t="shared" si="105"/>
        <v>0</v>
      </c>
      <c r="F1705">
        <f>C1705/(B1705*B1705)</f>
        <v>35.537108137821939</v>
      </c>
      <c r="G1705" t="str">
        <f t="shared" si="106"/>
        <v>Obese</v>
      </c>
      <c r="H1705" t="str">
        <f t="shared" si="107"/>
        <v>OK</v>
      </c>
      <c r="I1705" t="str">
        <f t="shared" si="104"/>
        <v>OK</v>
      </c>
    </row>
    <row r="1706" spans="1:9" x14ac:dyDescent="0.2">
      <c r="A1706" t="str">
        <f>ObesityDataSet_raw_and_data_sin!A1706</f>
        <v>Male</v>
      </c>
      <c r="B1706">
        <f>ObesityDataSet_raw_and_data_sin!C1706</f>
        <v>1.8533729999999999</v>
      </c>
      <c r="C1706">
        <f>ObesityDataSet_raw_and_data_sin!D1706</f>
        <v>121.737836</v>
      </c>
      <c r="D1706" t="str">
        <f>ObesityDataSet_raw_and_data_sin!Q1706</f>
        <v>Obesity_Type_II</v>
      </c>
      <c r="E1706" t="b">
        <f t="shared" si="105"/>
        <v>0</v>
      </c>
      <c r="F1706">
        <f>C1706/(B1706*B1706)</f>
        <v>35.440505983947801</v>
      </c>
      <c r="G1706" t="str">
        <f t="shared" si="106"/>
        <v>Obese</v>
      </c>
      <c r="H1706" t="str">
        <f t="shared" si="107"/>
        <v>OK</v>
      </c>
      <c r="I1706" t="str">
        <f t="shared" si="104"/>
        <v>OK</v>
      </c>
    </row>
    <row r="1707" spans="1:9" x14ac:dyDescent="0.2">
      <c r="A1707" t="str">
        <f>ObesityDataSet_raw_and_data_sin!A1707</f>
        <v>Male</v>
      </c>
      <c r="B1707">
        <f>ObesityDataSet_raw_and_data_sin!C1707</f>
        <v>1.8475299999999999</v>
      </c>
      <c r="C1707">
        <f>ObesityDataSet_raw_and_data_sin!D1707</f>
        <v>122.06261000000001</v>
      </c>
      <c r="D1707" t="str">
        <f>ObesityDataSet_raw_and_data_sin!Q1707</f>
        <v>Obesity_Type_II</v>
      </c>
      <c r="E1707" t="b">
        <f t="shared" si="105"/>
        <v>0</v>
      </c>
      <c r="F1707">
        <f>C1707/(B1707*B1707)</f>
        <v>35.760176503668731</v>
      </c>
      <c r="G1707" t="str">
        <f t="shared" si="106"/>
        <v>Obese</v>
      </c>
      <c r="H1707" t="str">
        <f t="shared" si="107"/>
        <v>OK</v>
      </c>
      <c r="I1707" t="str">
        <f t="shared" si="104"/>
        <v>OK</v>
      </c>
    </row>
    <row r="1708" spans="1:9" x14ac:dyDescent="0.2">
      <c r="A1708" t="str">
        <f>ObesityDataSet_raw_and_data_sin!A1708</f>
        <v>Male</v>
      </c>
      <c r="B1708">
        <f>ObesityDataSet_raw_and_data_sin!C1708</f>
        <v>1.8703399999999999</v>
      </c>
      <c r="C1708">
        <f>ObesityDataSet_raw_and_data_sin!D1708</f>
        <v>121.458232</v>
      </c>
      <c r="D1708" t="str">
        <f>ObesityDataSet_raw_and_data_sin!Q1708</f>
        <v>Obesity_Type_II</v>
      </c>
      <c r="E1708" t="b">
        <f t="shared" si="105"/>
        <v>0</v>
      </c>
      <c r="F1708">
        <f>C1708/(B1708*B1708)</f>
        <v>34.720488836600097</v>
      </c>
      <c r="G1708" t="str">
        <f t="shared" si="106"/>
        <v>Obese</v>
      </c>
      <c r="H1708" t="str">
        <f t="shared" si="107"/>
        <v>OK</v>
      </c>
      <c r="I1708" t="str">
        <f t="shared" si="104"/>
        <v>OK</v>
      </c>
    </row>
    <row r="1709" spans="1:9" x14ac:dyDescent="0.2">
      <c r="A1709" t="str">
        <f>ObesityDataSet_raw_and_data_sin!A1709</f>
        <v>Male</v>
      </c>
      <c r="B1709">
        <f>ObesityDataSet_raw_and_data_sin!C1709</f>
        <v>1.6077870000000001</v>
      </c>
      <c r="C1709">
        <f>ObesityDataSet_raw_and_data_sin!D1709</f>
        <v>100.783434</v>
      </c>
      <c r="D1709" t="str">
        <f>ObesityDataSet_raw_and_data_sin!Q1709</f>
        <v>Obesity_Type_II</v>
      </c>
      <c r="E1709" t="b">
        <f t="shared" si="105"/>
        <v>0</v>
      </c>
      <c r="F1709">
        <f>C1709/(B1709*B1709)</f>
        <v>38.988104949035758</v>
      </c>
      <c r="G1709" t="str">
        <f t="shared" si="106"/>
        <v>Obese</v>
      </c>
      <c r="H1709" t="str">
        <f t="shared" si="107"/>
        <v>OK</v>
      </c>
      <c r="I1709" t="str">
        <f t="shared" si="104"/>
        <v>OK</v>
      </c>
    </row>
    <row r="1710" spans="1:9" x14ac:dyDescent="0.2">
      <c r="A1710" t="str">
        <f>ObesityDataSet_raw_and_data_sin!A1710</f>
        <v>Male</v>
      </c>
      <c r="B1710">
        <f>ObesityDataSet_raw_and_data_sin!C1710</f>
        <v>1.603091</v>
      </c>
      <c r="C1710">
        <f>ObesityDataSet_raw_and_data_sin!D1710</f>
        <v>100.209405</v>
      </c>
      <c r="D1710" t="str">
        <f>ObesityDataSet_raw_and_data_sin!Q1710</f>
        <v>Obesity_Type_II</v>
      </c>
      <c r="E1710" t="b">
        <f t="shared" si="105"/>
        <v>0</v>
      </c>
      <c r="F1710">
        <f>C1710/(B1710*B1710)</f>
        <v>38.993492193450997</v>
      </c>
      <c r="G1710" t="str">
        <f t="shared" si="106"/>
        <v>Obese</v>
      </c>
      <c r="H1710" t="str">
        <f t="shared" si="107"/>
        <v>OK</v>
      </c>
      <c r="I1710" t="str">
        <f t="shared" si="104"/>
        <v>OK</v>
      </c>
    </row>
    <row r="1711" spans="1:9" x14ac:dyDescent="0.2">
      <c r="A1711" t="str">
        <f>ObesityDataSet_raw_and_data_sin!A1711</f>
        <v>Male</v>
      </c>
      <c r="B1711">
        <f>ObesityDataSet_raw_and_data_sin!C1711</f>
        <v>1.620109</v>
      </c>
      <c r="C1711">
        <f>ObesityDataSet_raw_and_data_sin!D1711</f>
        <v>103.393354</v>
      </c>
      <c r="D1711" t="str">
        <f>ObesityDataSet_raw_and_data_sin!Q1711</f>
        <v>Obesity_Type_II</v>
      </c>
      <c r="E1711" t="b">
        <f t="shared" si="105"/>
        <v>0</v>
      </c>
      <c r="F1711">
        <f>C1711/(B1711*B1711)</f>
        <v>39.391648368179439</v>
      </c>
      <c r="G1711" t="str">
        <f t="shared" si="106"/>
        <v>Obese</v>
      </c>
      <c r="H1711" t="str">
        <f t="shared" si="107"/>
        <v>OK</v>
      </c>
      <c r="I1711" t="str">
        <f t="shared" si="104"/>
        <v>OK</v>
      </c>
    </row>
    <row r="1712" spans="1:9" x14ac:dyDescent="0.2">
      <c r="A1712" t="str">
        <f>ObesityDataSet_raw_and_data_sin!A1712</f>
        <v>Male</v>
      </c>
      <c r="B1712">
        <f>ObesityDataSet_raw_and_data_sin!C1712</f>
        <v>1.6106469999999999</v>
      </c>
      <c r="C1712">
        <f>ObesityDataSet_raw_and_data_sin!D1712</f>
        <v>100.642257</v>
      </c>
      <c r="D1712" t="str">
        <f>ObesityDataSet_raw_and_data_sin!Q1712</f>
        <v>Obesity_Type_II</v>
      </c>
      <c r="E1712" t="b">
        <f t="shared" si="105"/>
        <v>0</v>
      </c>
      <c r="F1712">
        <f>C1712/(B1712*B1712)</f>
        <v>38.79534619165311</v>
      </c>
      <c r="G1712" t="str">
        <f t="shared" si="106"/>
        <v>Obese</v>
      </c>
      <c r="H1712" t="str">
        <f t="shared" si="107"/>
        <v>OK</v>
      </c>
      <c r="I1712" t="str">
        <f t="shared" si="104"/>
        <v>OK</v>
      </c>
    </row>
    <row r="1713" spans="1:9" x14ac:dyDescent="0.2">
      <c r="A1713" t="str">
        <f>ObesityDataSet_raw_and_data_sin!A1713</f>
        <v>Male</v>
      </c>
      <c r="B1713">
        <f>ObesityDataSet_raw_and_data_sin!C1713</f>
        <v>1.758618</v>
      </c>
      <c r="C1713">
        <f>ObesityDataSet_raw_and_data_sin!D1713</f>
        <v>113.501549</v>
      </c>
      <c r="D1713" t="str">
        <f>ObesityDataSet_raw_and_data_sin!Q1713</f>
        <v>Obesity_Type_II</v>
      </c>
      <c r="E1713" t="b">
        <f t="shared" si="105"/>
        <v>0</v>
      </c>
      <c r="F1713">
        <f>C1713/(B1713*B1713)</f>
        <v>36.699382810098562</v>
      </c>
      <c r="G1713" t="str">
        <f t="shared" si="106"/>
        <v>Obese</v>
      </c>
      <c r="H1713" t="str">
        <f t="shared" si="107"/>
        <v>OK</v>
      </c>
      <c r="I1713" t="str">
        <f t="shared" si="104"/>
        <v>OK</v>
      </c>
    </row>
    <row r="1714" spans="1:9" x14ac:dyDescent="0.2">
      <c r="A1714" t="str">
        <f>ObesityDataSet_raw_and_data_sin!A1714</f>
        <v>Male</v>
      </c>
      <c r="B1714">
        <f>ObesityDataSet_raw_and_data_sin!C1714</f>
        <v>1.7632589999999999</v>
      </c>
      <c r="C1714">
        <f>ObesityDataSet_raw_and_data_sin!D1714</f>
        <v>113.21581399999999</v>
      </c>
      <c r="D1714" t="str">
        <f>ObesityDataSet_raw_and_data_sin!Q1714</f>
        <v>Obesity_Type_II</v>
      </c>
      <c r="E1714" t="b">
        <f t="shared" si="105"/>
        <v>0</v>
      </c>
      <c r="F1714">
        <f>C1714/(B1714*B1714)</f>
        <v>36.414543918839293</v>
      </c>
      <c r="G1714" t="str">
        <f t="shared" si="106"/>
        <v>Obese</v>
      </c>
      <c r="H1714" t="str">
        <f t="shared" si="107"/>
        <v>OK</v>
      </c>
      <c r="I1714" t="str">
        <f t="shared" si="104"/>
        <v>OK</v>
      </c>
    </row>
    <row r="1715" spans="1:9" x14ac:dyDescent="0.2">
      <c r="A1715" t="str">
        <f>ObesityDataSet_raw_and_data_sin!A1715</f>
        <v>Male</v>
      </c>
      <c r="B1715">
        <f>ObesityDataSet_raw_and_data_sin!C1715</f>
        <v>1.764138</v>
      </c>
      <c r="C1715">
        <f>ObesityDataSet_raw_and_data_sin!D1715</f>
        <v>112.323213</v>
      </c>
      <c r="D1715" t="str">
        <f>ObesityDataSet_raw_and_data_sin!Q1715</f>
        <v>Obesity_Type_II</v>
      </c>
      <c r="E1715" t="b">
        <f t="shared" si="105"/>
        <v>0</v>
      </c>
      <c r="F1715">
        <f>C1715/(B1715*B1715)</f>
        <v>36.091456453914304</v>
      </c>
      <c r="G1715" t="str">
        <f t="shared" si="106"/>
        <v>Obese</v>
      </c>
      <c r="H1715" t="str">
        <f t="shared" si="107"/>
        <v>OK</v>
      </c>
      <c r="I1715" t="str">
        <f t="shared" si="104"/>
        <v>OK</v>
      </c>
    </row>
    <row r="1716" spans="1:9" x14ac:dyDescent="0.2">
      <c r="A1716" t="str">
        <f>ObesityDataSet_raw_and_data_sin!A1716</f>
        <v>Male</v>
      </c>
      <c r="B1716">
        <f>ObesityDataSet_raw_and_data_sin!C1716</f>
        <v>1.75596</v>
      </c>
      <c r="C1716">
        <f>ObesityDataSet_raw_and_data_sin!D1716</f>
        <v>112.277567</v>
      </c>
      <c r="D1716" t="str">
        <f>ObesityDataSet_raw_and_data_sin!Q1716</f>
        <v>Obesity_Type_II</v>
      </c>
      <c r="E1716" t="b">
        <f t="shared" si="105"/>
        <v>0</v>
      </c>
      <c r="F1716">
        <f>C1716/(B1716*B1716)</f>
        <v>36.413611621819513</v>
      </c>
      <c r="G1716" t="str">
        <f t="shared" si="106"/>
        <v>Obese</v>
      </c>
      <c r="H1716" t="str">
        <f t="shared" si="107"/>
        <v>OK</v>
      </c>
      <c r="I1716" t="str">
        <f t="shared" si="104"/>
        <v>OK</v>
      </c>
    </row>
    <row r="1717" spans="1:9" x14ac:dyDescent="0.2">
      <c r="A1717" t="str">
        <f>ObesityDataSet_raw_and_data_sin!A1717</f>
        <v>Male</v>
      </c>
      <c r="B1717">
        <f>ObesityDataSet_raw_and_data_sin!C1717</f>
        <v>1.7833810000000001</v>
      </c>
      <c r="C1717">
        <f>ObesityDataSet_raw_and_data_sin!D1717</f>
        <v>115.347176</v>
      </c>
      <c r="D1717" t="str">
        <f>ObesityDataSet_raw_and_data_sin!Q1717</f>
        <v>Obesity_Type_II</v>
      </c>
      <c r="E1717" t="b">
        <f t="shared" si="105"/>
        <v>0</v>
      </c>
      <c r="F1717">
        <f>C1717/(B1717*B1717)</f>
        <v>36.267589840829714</v>
      </c>
      <c r="G1717" t="str">
        <f t="shared" si="106"/>
        <v>Obese</v>
      </c>
      <c r="H1717" t="str">
        <f t="shared" si="107"/>
        <v>OK</v>
      </c>
      <c r="I1717" t="str">
        <f t="shared" si="104"/>
        <v>OK</v>
      </c>
    </row>
    <row r="1718" spans="1:9" x14ac:dyDescent="0.2">
      <c r="A1718" t="str">
        <f>ObesityDataSet_raw_and_data_sin!A1718</f>
        <v>Male</v>
      </c>
      <c r="B1718">
        <f>ObesityDataSet_raw_and_data_sin!C1718</f>
        <v>1.786532</v>
      </c>
      <c r="C1718">
        <f>ObesityDataSet_raw_and_data_sin!D1718</f>
        <v>114.534678</v>
      </c>
      <c r="D1718" t="str">
        <f>ObesityDataSet_raw_and_data_sin!Q1718</f>
        <v>Obesity_Type_II</v>
      </c>
      <c r="E1718" t="b">
        <f t="shared" si="105"/>
        <v>0</v>
      </c>
      <c r="F1718">
        <f>C1718/(B1718*B1718)</f>
        <v>35.885202392246931</v>
      </c>
      <c r="G1718" t="str">
        <f t="shared" si="106"/>
        <v>Obese</v>
      </c>
      <c r="H1718" t="str">
        <f t="shared" si="107"/>
        <v>OK</v>
      </c>
      <c r="I1718" t="str">
        <f t="shared" si="104"/>
        <v>OK</v>
      </c>
    </row>
    <row r="1719" spans="1:9" x14ac:dyDescent="0.2">
      <c r="A1719" t="str">
        <f>ObesityDataSet_raw_and_data_sin!A1719</f>
        <v>Male</v>
      </c>
      <c r="B1719">
        <f>ObesityDataSet_raw_and_data_sin!C1719</f>
        <v>1.766626</v>
      </c>
      <c r="C1719">
        <f>ObesityDataSet_raw_and_data_sin!D1719</f>
        <v>114.187096</v>
      </c>
      <c r="D1719" t="str">
        <f>ObesityDataSet_raw_and_data_sin!Q1719</f>
        <v>Obesity_Type_II</v>
      </c>
      <c r="E1719" t="b">
        <f t="shared" si="105"/>
        <v>0</v>
      </c>
      <c r="F1719">
        <f>C1719/(B1719*B1719)</f>
        <v>36.58708358390632</v>
      </c>
      <c r="G1719" t="str">
        <f t="shared" si="106"/>
        <v>Obese</v>
      </c>
      <c r="H1719" t="str">
        <f t="shared" si="107"/>
        <v>OK</v>
      </c>
      <c r="I1719" t="str">
        <f t="shared" si="104"/>
        <v>OK</v>
      </c>
    </row>
    <row r="1720" spans="1:9" x14ac:dyDescent="0.2">
      <c r="A1720" t="str">
        <f>ObesityDataSet_raw_and_data_sin!A1720</f>
        <v>Male</v>
      </c>
      <c r="B1720">
        <f>ObesityDataSet_raw_and_data_sin!C1720</f>
        <v>1.7654639999999999</v>
      </c>
      <c r="C1720">
        <f>ObesityDataSet_raw_and_data_sin!D1720</f>
        <v>114.144378</v>
      </c>
      <c r="D1720" t="str">
        <f>ObesityDataSet_raw_and_data_sin!Q1720</f>
        <v>Obesity_Type_II</v>
      </c>
      <c r="E1720" t="b">
        <f t="shared" si="105"/>
        <v>0</v>
      </c>
      <c r="F1720">
        <f>C1720/(B1720*B1720)</f>
        <v>36.621556046977354</v>
      </c>
      <c r="G1720" t="str">
        <f t="shared" si="106"/>
        <v>Obese</v>
      </c>
      <c r="H1720" t="str">
        <f t="shared" si="107"/>
        <v>OK</v>
      </c>
      <c r="I1720" t="str">
        <f t="shared" si="104"/>
        <v>OK</v>
      </c>
    </row>
    <row r="1721" spans="1:9" x14ac:dyDescent="0.2">
      <c r="A1721" t="str">
        <f>ObesityDataSet_raw_and_data_sin!A1721</f>
        <v>Male</v>
      </c>
      <c r="B1721">
        <f>ObesityDataSet_raw_and_data_sin!C1721</f>
        <v>1.7585299999999999</v>
      </c>
      <c r="C1721">
        <f>ObesityDataSet_raw_and_data_sin!D1721</f>
        <v>111.635463</v>
      </c>
      <c r="D1721" t="str">
        <f>ObesityDataSet_raw_and_data_sin!Q1721</f>
        <v>Obesity_Type_II</v>
      </c>
      <c r="E1721" t="b">
        <f t="shared" si="105"/>
        <v>0</v>
      </c>
      <c r="F1721">
        <f>C1721/(B1721*B1721)</f>
        <v>36.099618691661966</v>
      </c>
      <c r="G1721" t="str">
        <f t="shared" si="106"/>
        <v>Obese</v>
      </c>
      <c r="H1721" t="str">
        <f t="shared" si="107"/>
        <v>OK</v>
      </c>
      <c r="I1721" t="str">
        <f t="shared" si="104"/>
        <v>OK</v>
      </c>
    </row>
    <row r="1722" spans="1:9" x14ac:dyDescent="0.2">
      <c r="A1722" t="str">
        <f>ObesityDataSet_raw_and_data_sin!A1722</f>
        <v>Male</v>
      </c>
      <c r="B1722">
        <f>ObesityDataSet_raw_and_data_sin!C1722</f>
        <v>1.7585390000000001</v>
      </c>
      <c r="C1722">
        <f>ObesityDataSet_raw_and_data_sin!D1722</f>
        <v>111.950413</v>
      </c>
      <c r="D1722" t="str">
        <f>ObesityDataSet_raw_and_data_sin!Q1722</f>
        <v>Obesity_Type_II</v>
      </c>
      <c r="E1722" t="b">
        <f t="shared" si="105"/>
        <v>0</v>
      </c>
      <c r="F1722">
        <f>C1722/(B1722*B1722)</f>
        <v>36.201093690776958</v>
      </c>
      <c r="G1722" t="str">
        <f t="shared" si="106"/>
        <v>Obese</v>
      </c>
      <c r="H1722" t="str">
        <f t="shared" si="107"/>
        <v>OK</v>
      </c>
      <c r="I1722" t="str">
        <f t="shared" si="104"/>
        <v>OK</v>
      </c>
    </row>
    <row r="1723" spans="1:9" x14ac:dyDescent="0.2">
      <c r="A1723" t="str">
        <f>ObesityDataSet_raw_and_data_sin!A1723</f>
        <v>Male</v>
      </c>
      <c r="B1723">
        <f>ObesityDataSet_raw_and_data_sin!C1723</f>
        <v>1.7480150000000001</v>
      </c>
      <c r="C1723">
        <f>ObesityDataSet_raw_and_data_sin!D1723</f>
        <v>109.758736</v>
      </c>
      <c r="D1723" t="str">
        <f>ObesityDataSet_raw_and_data_sin!Q1723</f>
        <v>Obesity_Type_II</v>
      </c>
      <c r="E1723" t="b">
        <f t="shared" si="105"/>
        <v>0</v>
      </c>
      <c r="F1723">
        <f>C1723/(B1723*B1723)</f>
        <v>35.921030472576632</v>
      </c>
      <c r="G1723" t="str">
        <f t="shared" si="106"/>
        <v>Obese</v>
      </c>
      <c r="H1723" t="str">
        <f t="shared" si="107"/>
        <v>OK</v>
      </c>
      <c r="I1723" t="str">
        <f t="shared" si="104"/>
        <v>OK</v>
      </c>
    </row>
    <row r="1724" spans="1:9" x14ac:dyDescent="0.2">
      <c r="A1724" t="str">
        <f>ObesityDataSet_raw_and_data_sin!A1724</f>
        <v>Male</v>
      </c>
      <c r="B1724">
        <f>ObesityDataSet_raw_and_data_sin!C1724</f>
        <v>1.744974</v>
      </c>
      <c r="C1724">
        <f>ObesityDataSet_raw_and_data_sin!D1724</f>
        <v>111.169678</v>
      </c>
      <c r="D1724" t="str">
        <f>ObesityDataSet_raw_and_data_sin!Q1724</f>
        <v>Obesity_Type_II</v>
      </c>
      <c r="E1724" t="b">
        <f t="shared" si="105"/>
        <v>0</v>
      </c>
      <c r="F1724">
        <f>C1724/(B1724*B1724)</f>
        <v>36.509713669588201</v>
      </c>
      <c r="G1724" t="str">
        <f t="shared" si="106"/>
        <v>Obese</v>
      </c>
      <c r="H1724" t="str">
        <f t="shared" si="107"/>
        <v>OK</v>
      </c>
      <c r="I1724" t="str">
        <f t="shared" si="104"/>
        <v>OK</v>
      </c>
    </row>
    <row r="1725" spans="1:9" x14ac:dyDescent="0.2">
      <c r="A1725" t="str">
        <f>ObesityDataSet_raw_and_data_sin!A1725</f>
        <v>Male</v>
      </c>
      <c r="B1725">
        <f>ObesityDataSet_raw_and_data_sin!C1725</f>
        <v>1.7015659999999999</v>
      </c>
      <c r="C1725">
        <f>ObesityDataSet_raw_and_data_sin!D1725</f>
        <v>103.743534</v>
      </c>
      <c r="D1725" t="str">
        <f>ObesityDataSet_raw_and_data_sin!Q1725</f>
        <v>Obesity_Type_II</v>
      </c>
      <c r="E1725" t="b">
        <f t="shared" si="105"/>
        <v>0</v>
      </c>
      <c r="F1725">
        <f>C1725/(B1725*B1725)</f>
        <v>35.831372169805732</v>
      </c>
      <c r="G1725" t="str">
        <f t="shared" si="106"/>
        <v>Obese</v>
      </c>
      <c r="H1725" t="str">
        <f t="shared" si="107"/>
        <v>OK</v>
      </c>
      <c r="I1725" t="str">
        <f t="shared" si="104"/>
        <v>OK</v>
      </c>
    </row>
    <row r="1726" spans="1:9" x14ac:dyDescent="0.2">
      <c r="A1726" t="str">
        <f>ObesityDataSet_raw_and_data_sin!A1726</f>
        <v>Male</v>
      </c>
      <c r="B1726">
        <f>ObesityDataSet_raw_and_data_sin!C1726</f>
        <v>1.696412</v>
      </c>
      <c r="C1726">
        <f>ObesityDataSet_raw_and_data_sin!D1726</f>
        <v>103.250355</v>
      </c>
      <c r="D1726" t="str">
        <f>ObesityDataSet_raw_and_data_sin!Q1726</f>
        <v>Obesity_Type_II</v>
      </c>
      <c r="E1726" t="b">
        <f t="shared" si="105"/>
        <v>0</v>
      </c>
      <c r="F1726">
        <f>C1726/(B1726*B1726)</f>
        <v>35.878054212478794</v>
      </c>
      <c r="G1726" t="str">
        <f t="shared" si="106"/>
        <v>Obese</v>
      </c>
      <c r="H1726" t="str">
        <f t="shared" si="107"/>
        <v>OK</v>
      </c>
      <c r="I1726" t="str">
        <f t="shared" si="104"/>
        <v>OK</v>
      </c>
    </row>
    <row r="1727" spans="1:9" x14ac:dyDescent="0.2">
      <c r="A1727" t="str">
        <f>ObesityDataSet_raw_and_data_sin!A1727</f>
        <v>Male</v>
      </c>
      <c r="B1727">
        <f>ObesityDataSet_raw_and_data_sin!C1727</f>
        <v>1.6804889999999999</v>
      </c>
      <c r="C1727">
        <f>ObesityDataSet_raw_and_data_sin!D1727</f>
        <v>102.004554</v>
      </c>
      <c r="D1727" t="str">
        <f>ObesityDataSet_raw_and_data_sin!Q1727</f>
        <v>Obesity_Type_II</v>
      </c>
      <c r="E1727" t="b">
        <f t="shared" si="105"/>
        <v>0</v>
      </c>
      <c r="F1727">
        <f>C1727/(B1727*B1727)</f>
        <v>36.120039219706833</v>
      </c>
      <c r="G1727" t="str">
        <f t="shared" si="106"/>
        <v>Obese</v>
      </c>
      <c r="H1727" t="str">
        <f t="shared" si="107"/>
        <v>OK</v>
      </c>
      <c r="I1727" t="str">
        <f t="shared" si="104"/>
        <v>OK</v>
      </c>
    </row>
    <row r="1728" spans="1:9" x14ac:dyDescent="0.2">
      <c r="A1728" t="str">
        <f>ObesityDataSet_raw_and_data_sin!A1728</f>
        <v>Male</v>
      </c>
      <c r="B1728">
        <f>ObesityDataSet_raw_and_data_sin!C1728</f>
        <v>1.703317</v>
      </c>
      <c r="C1728">
        <f>ObesityDataSet_raw_and_data_sin!D1728</f>
        <v>102.59217099999999</v>
      </c>
      <c r="D1728" t="str">
        <f>ObesityDataSet_raw_and_data_sin!Q1728</f>
        <v>Obesity_Type_II</v>
      </c>
      <c r="E1728" t="b">
        <f t="shared" si="105"/>
        <v>0</v>
      </c>
      <c r="F1728">
        <f>C1728/(B1728*B1728)</f>
        <v>35.360895789480431</v>
      </c>
      <c r="G1728" t="str">
        <f t="shared" si="106"/>
        <v>Obese</v>
      </c>
      <c r="H1728" t="str">
        <f t="shared" si="107"/>
        <v>OK</v>
      </c>
      <c r="I1728" t="str">
        <f t="shared" si="104"/>
        <v>OK</v>
      </c>
    </row>
    <row r="1729" spans="1:9" x14ac:dyDescent="0.2">
      <c r="A1729" t="str">
        <f>ObesityDataSet_raw_and_data_sin!A1729</f>
        <v>Male</v>
      </c>
      <c r="B1729">
        <f>ObesityDataSet_raw_and_data_sin!C1729</f>
        <v>1.877732</v>
      </c>
      <c r="C1729">
        <f>ObesityDataSet_raw_and_data_sin!D1729</f>
        <v>127.16138100000001</v>
      </c>
      <c r="D1729" t="str">
        <f>ObesityDataSet_raw_and_data_sin!Q1729</f>
        <v>Obesity_Type_II</v>
      </c>
      <c r="E1729" t="b">
        <f t="shared" si="105"/>
        <v>0</v>
      </c>
      <c r="F1729">
        <f>C1729/(B1729*B1729)</f>
        <v>36.065173082358562</v>
      </c>
      <c r="G1729" t="str">
        <f t="shared" si="106"/>
        <v>Obese</v>
      </c>
      <c r="H1729" t="str">
        <f t="shared" si="107"/>
        <v>OK</v>
      </c>
      <c r="I1729" t="str">
        <f t="shared" si="104"/>
        <v>OK</v>
      </c>
    </row>
    <row r="1730" spans="1:9" x14ac:dyDescent="0.2">
      <c r="A1730" t="str">
        <f>ObesityDataSet_raw_and_data_sin!A1730</f>
        <v>Male</v>
      </c>
      <c r="B1730">
        <f>ObesityDataSet_raw_and_data_sin!C1730</f>
        <v>1.9096390000000001</v>
      </c>
      <c r="C1730">
        <f>ObesityDataSet_raw_and_data_sin!D1730</f>
        <v>129.01317800000001</v>
      </c>
      <c r="D1730" t="str">
        <f>ObesityDataSet_raw_and_data_sin!Q1730</f>
        <v>Obesity_Type_II</v>
      </c>
      <c r="E1730" t="b">
        <f t="shared" si="105"/>
        <v>0</v>
      </c>
      <c r="F1730">
        <f>C1730/(B1730*B1730)</f>
        <v>35.377857011018783</v>
      </c>
      <c r="G1730" t="str">
        <f t="shared" si="106"/>
        <v>Obese</v>
      </c>
      <c r="H1730" t="str">
        <f t="shared" si="107"/>
        <v>OK</v>
      </c>
      <c r="I1730" t="str">
        <f t="shared" ref="I1730:I1793" si="108">IF(AND(LEFT(D1730,10)="Overweight",G1730&lt;&gt;"Overweight"),"ERROR","OK")</f>
        <v>OK</v>
      </c>
    </row>
    <row r="1731" spans="1:9" x14ac:dyDescent="0.2">
      <c r="A1731" t="str">
        <f>ObesityDataSet_raw_and_data_sin!A1731</f>
        <v>Male</v>
      </c>
      <c r="B1731">
        <f>ObesityDataSet_raw_and_data_sin!C1731</f>
        <v>1.9091880000000001</v>
      </c>
      <c r="C1731">
        <f>ObesityDataSet_raw_and_data_sin!D1731</f>
        <v>129.19449</v>
      </c>
      <c r="D1731" t="str">
        <f>ObesityDataSet_raw_and_data_sin!Q1731</f>
        <v>Obesity_Type_II</v>
      </c>
      <c r="E1731" t="b">
        <f t="shared" ref="E1731:E1794" si="109">IF(AND(A1731="Female", B1731&lt;1.5), TRUE, IF(AND(A1731="Male",B1731&lt;1.6),TRUE, FALSE))</f>
        <v>0</v>
      </c>
      <c r="F1731">
        <f>C1731/(B1731*B1731)</f>
        <v>35.44431600755675</v>
      </c>
      <c r="G1731" t="str">
        <f t="shared" ref="G1731:G1794" si="110">IF(E1731=TRUE,IF(F1731&lt;23,"Normal",IF(F1731&lt;25,"Overweight","Obese")),IF(F1731&lt;25,"Normal",IF(F1731&lt;30,"Overweight","Obese")))</f>
        <v>Obese</v>
      </c>
      <c r="H1731" t="str">
        <f t="shared" ref="H1731:H1794" si="111">IF(AND(D1731="Normal_Weight",G1731&lt;&gt;"Normal"),"ERROR","OK")</f>
        <v>OK</v>
      </c>
      <c r="I1731" t="str">
        <f t="shared" si="108"/>
        <v>OK</v>
      </c>
    </row>
    <row r="1732" spans="1:9" x14ac:dyDescent="0.2">
      <c r="A1732" t="str">
        <f>ObesityDataSet_raw_and_data_sin!A1732</f>
        <v>Male</v>
      </c>
      <c r="B1732">
        <f>ObesityDataSet_raw_and_data_sin!C1732</f>
        <v>1.9106719999999999</v>
      </c>
      <c r="C1732">
        <f>ObesityDataSet_raw_and_data_sin!D1732</f>
        <v>129.232708</v>
      </c>
      <c r="D1732" t="str">
        <f>ObesityDataSet_raw_and_data_sin!Q1732</f>
        <v>Obesity_Type_II</v>
      </c>
      <c r="E1732" t="b">
        <f t="shared" si="109"/>
        <v>0</v>
      </c>
      <c r="F1732">
        <f>C1732/(B1732*B1732)</f>
        <v>35.399747662016409</v>
      </c>
      <c r="G1732" t="str">
        <f t="shared" si="110"/>
        <v>Obese</v>
      </c>
      <c r="H1732" t="str">
        <f t="shared" si="111"/>
        <v>OK</v>
      </c>
      <c r="I1732" t="str">
        <f t="shared" si="108"/>
        <v>OK</v>
      </c>
    </row>
    <row r="1733" spans="1:9" x14ac:dyDescent="0.2">
      <c r="A1733" t="str">
        <f>ObesityDataSet_raw_and_data_sin!A1733</f>
        <v>Male</v>
      </c>
      <c r="B1733">
        <f>ObesityDataSet_raw_and_data_sin!C1733</f>
        <v>1.7791360000000001</v>
      </c>
      <c r="C1733">
        <f>ObesityDataSet_raw_and_data_sin!D1733</f>
        <v>120.60093999999999</v>
      </c>
      <c r="D1733" t="str">
        <f>ObesityDataSet_raw_and_data_sin!Q1733</f>
        <v>Obesity_Type_II</v>
      </c>
      <c r="E1733" t="b">
        <f t="shared" si="109"/>
        <v>0</v>
      </c>
      <c r="F1733">
        <f>C1733/(B1733*B1733)</f>
        <v>38.100651137738865</v>
      </c>
      <c r="G1733" t="str">
        <f t="shared" si="110"/>
        <v>Obese</v>
      </c>
      <c r="H1733" t="str">
        <f t="shared" si="111"/>
        <v>OK</v>
      </c>
      <c r="I1733" t="str">
        <f t="shared" si="108"/>
        <v>OK</v>
      </c>
    </row>
    <row r="1734" spans="1:9" x14ac:dyDescent="0.2">
      <c r="A1734" t="str">
        <f>ObesityDataSet_raw_and_data_sin!A1734</f>
        <v>Male</v>
      </c>
      <c r="B1734">
        <f>ObesityDataSet_raw_and_data_sin!C1734</f>
        <v>1.767485</v>
      </c>
      <c r="C1734">
        <f>ObesityDataSet_raw_and_data_sin!D1734</f>
        <v>120.15804900000001</v>
      </c>
      <c r="D1734" t="str">
        <f>ObesityDataSet_raw_and_data_sin!Q1734</f>
        <v>Obesity_Type_II</v>
      </c>
      <c r="E1734" t="b">
        <f t="shared" si="109"/>
        <v>0</v>
      </c>
      <c r="F1734">
        <f>C1734/(B1734*B1734)</f>
        <v>38.462844093685554</v>
      </c>
      <c r="G1734" t="str">
        <f t="shared" si="110"/>
        <v>Obese</v>
      </c>
      <c r="H1734" t="str">
        <f t="shared" si="111"/>
        <v>OK</v>
      </c>
      <c r="I1734" t="str">
        <f t="shared" si="108"/>
        <v>OK</v>
      </c>
    </row>
    <row r="1735" spans="1:9" x14ac:dyDescent="0.2">
      <c r="A1735" t="str">
        <f>ObesityDataSet_raw_and_data_sin!A1735</f>
        <v>Male</v>
      </c>
      <c r="B1735">
        <f>ObesityDataSet_raw_and_data_sin!C1735</f>
        <v>1.7839529999999999</v>
      </c>
      <c r="C1735">
        <f>ObesityDataSet_raw_and_data_sin!D1735</f>
        <v>120.613561</v>
      </c>
      <c r="D1735" t="str">
        <f>ObesityDataSet_raw_and_data_sin!Q1735</f>
        <v>Obesity_Type_II</v>
      </c>
      <c r="E1735" t="b">
        <f t="shared" si="109"/>
        <v>0</v>
      </c>
      <c r="F1735">
        <f>C1735/(B1735*B1735)</f>
        <v>37.899137214325116</v>
      </c>
      <c r="G1735" t="str">
        <f t="shared" si="110"/>
        <v>Obese</v>
      </c>
      <c r="H1735" t="str">
        <f t="shared" si="111"/>
        <v>OK</v>
      </c>
      <c r="I1735" t="str">
        <f t="shared" si="108"/>
        <v>OK</v>
      </c>
    </row>
    <row r="1736" spans="1:9" x14ac:dyDescent="0.2">
      <c r="A1736" t="str">
        <f>ObesityDataSet_raw_and_data_sin!A1736</f>
        <v>Male</v>
      </c>
      <c r="B1736">
        <f>ObesityDataSet_raw_and_data_sin!C1736</f>
        <v>1.7671399999999999</v>
      </c>
      <c r="C1736">
        <f>ObesityDataSet_raw_and_data_sin!D1736</f>
        <v>120.344402</v>
      </c>
      <c r="D1736" t="str">
        <f>ObesityDataSet_raw_and_data_sin!Q1736</f>
        <v>Obesity_Type_II</v>
      </c>
      <c r="E1736" t="b">
        <f t="shared" si="109"/>
        <v>0</v>
      </c>
      <c r="F1736">
        <f>C1736/(B1736*B1736)</f>
        <v>38.537539097700524</v>
      </c>
      <c r="G1736" t="str">
        <f t="shared" si="110"/>
        <v>Obese</v>
      </c>
      <c r="H1736" t="str">
        <f t="shared" si="111"/>
        <v>OK</v>
      </c>
      <c r="I1736" t="str">
        <f t="shared" si="108"/>
        <v>OK</v>
      </c>
    </row>
    <row r="1737" spans="1:9" x14ac:dyDescent="0.2">
      <c r="A1737" t="str">
        <f>ObesityDataSet_raw_and_data_sin!A1737</f>
        <v>Male</v>
      </c>
      <c r="B1737">
        <f>ObesityDataSet_raw_and_data_sin!C1737</f>
        <v>1.8161970000000001</v>
      </c>
      <c r="C1737">
        <f>ObesityDataSet_raw_and_data_sin!D1737</f>
        <v>119.622764</v>
      </c>
      <c r="D1737" t="str">
        <f>ObesityDataSet_raw_and_data_sin!Q1737</f>
        <v>Obesity_Type_II</v>
      </c>
      <c r="E1737" t="b">
        <f t="shared" si="109"/>
        <v>0</v>
      </c>
      <c r="F1737">
        <f>C1737/(B1737*B1737)</f>
        <v>36.265020311832181</v>
      </c>
      <c r="G1737" t="str">
        <f t="shared" si="110"/>
        <v>Obese</v>
      </c>
      <c r="H1737" t="str">
        <f t="shared" si="111"/>
        <v>OK</v>
      </c>
      <c r="I1737" t="str">
        <f t="shared" si="108"/>
        <v>OK</v>
      </c>
    </row>
    <row r="1738" spans="1:9" x14ac:dyDescent="0.2">
      <c r="A1738" t="str">
        <f>ObesityDataSet_raw_and_data_sin!A1738</f>
        <v>Male</v>
      </c>
      <c r="B1738">
        <f>ObesityDataSet_raw_and_data_sin!C1738</f>
        <v>1.839941</v>
      </c>
      <c r="C1738">
        <f>ObesityDataSet_raw_and_data_sin!D1738</f>
        <v>119.95665099999999</v>
      </c>
      <c r="D1738" t="str">
        <f>ObesityDataSet_raw_and_data_sin!Q1738</f>
        <v>Obesity_Type_II</v>
      </c>
      <c r="E1738" t="b">
        <f t="shared" si="109"/>
        <v>0</v>
      </c>
      <c r="F1738">
        <f>C1738/(B1738*B1738)</f>
        <v>35.433702812562004</v>
      </c>
      <c r="G1738" t="str">
        <f t="shared" si="110"/>
        <v>Obese</v>
      </c>
      <c r="H1738" t="str">
        <f t="shared" si="111"/>
        <v>OK</v>
      </c>
      <c r="I1738" t="str">
        <f t="shared" si="108"/>
        <v>OK</v>
      </c>
    </row>
    <row r="1739" spans="1:9" x14ac:dyDescent="0.2">
      <c r="A1739" t="str">
        <f>ObesityDataSet_raw_and_data_sin!A1739</f>
        <v>Male</v>
      </c>
      <c r="B1739">
        <f>ObesityDataSet_raw_and_data_sin!C1739</f>
        <v>1.84842</v>
      </c>
      <c r="C1739">
        <f>ObesityDataSet_raw_and_data_sin!D1739</f>
        <v>117.63170700000001</v>
      </c>
      <c r="D1739" t="str">
        <f>ObesityDataSet_raw_and_data_sin!Q1739</f>
        <v>Obesity_Type_II</v>
      </c>
      <c r="E1739" t="b">
        <f t="shared" si="109"/>
        <v>0</v>
      </c>
      <c r="F1739">
        <f>C1739/(B1739*B1739)</f>
        <v>34.428894775914415</v>
      </c>
      <c r="G1739" t="str">
        <f t="shared" si="110"/>
        <v>Obese</v>
      </c>
      <c r="H1739" t="str">
        <f t="shared" si="111"/>
        <v>OK</v>
      </c>
      <c r="I1739" t="str">
        <f t="shared" si="108"/>
        <v>OK</v>
      </c>
    </row>
    <row r="1740" spans="1:9" x14ac:dyDescent="0.2">
      <c r="A1740" t="str">
        <f>ObesityDataSet_raw_and_data_sin!A1740</f>
        <v>Male</v>
      </c>
      <c r="B1740">
        <f>ObesityDataSet_raw_and_data_sin!C1740</f>
        <v>1.830317</v>
      </c>
      <c r="C1740">
        <f>ObesityDataSet_raw_and_data_sin!D1740</f>
        <v>117.75700999999999</v>
      </c>
      <c r="D1740" t="str">
        <f>ObesityDataSet_raw_and_data_sin!Q1740</f>
        <v>Obesity_Type_II</v>
      </c>
      <c r="E1740" t="b">
        <f t="shared" si="109"/>
        <v>0</v>
      </c>
      <c r="F1740">
        <f>C1740/(B1740*B1740)</f>
        <v>35.15071334083062</v>
      </c>
      <c r="G1740" t="str">
        <f t="shared" si="110"/>
        <v>Obese</v>
      </c>
      <c r="H1740" t="str">
        <f t="shared" si="111"/>
        <v>OK</v>
      </c>
      <c r="I1740" t="str">
        <f t="shared" si="108"/>
        <v>OK</v>
      </c>
    </row>
    <row r="1741" spans="1:9" x14ac:dyDescent="0.2">
      <c r="A1741" t="str">
        <f>ObesityDataSet_raw_and_data_sin!A1741</f>
        <v>Male</v>
      </c>
      <c r="B1741">
        <f>ObesityDataSet_raw_and_data_sin!C1741</f>
        <v>1.7500849999999999</v>
      </c>
      <c r="C1741">
        <f>ObesityDataSet_raw_and_data_sin!D1741</f>
        <v>118.11418399999999</v>
      </c>
      <c r="D1741" t="str">
        <f>ObesityDataSet_raw_and_data_sin!Q1741</f>
        <v>Obesity_Type_II</v>
      </c>
      <c r="E1741" t="b">
        <f t="shared" si="109"/>
        <v>0</v>
      </c>
      <c r="F1741">
        <f>C1741/(B1741*B1741)</f>
        <v>38.564150493584386</v>
      </c>
      <c r="G1741" t="str">
        <f t="shared" si="110"/>
        <v>Obese</v>
      </c>
      <c r="H1741" t="str">
        <f t="shared" si="111"/>
        <v>OK</v>
      </c>
      <c r="I1741" t="str">
        <f t="shared" si="108"/>
        <v>OK</v>
      </c>
    </row>
    <row r="1742" spans="1:9" x14ac:dyDescent="0.2">
      <c r="A1742" t="str">
        <f>ObesityDataSet_raw_and_data_sin!A1742</f>
        <v>Male</v>
      </c>
      <c r="B1742">
        <f>ObesityDataSet_raw_and_data_sin!C1742</f>
        <v>1.763582</v>
      </c>
      <c r="C1742">
        <f>ObesityDataSet_raw_and_data_sin!D1742</f>
        <v>117.86159000000001</v>
      </c>
      <c r="D1742" t="str">
        <f>ObesityDataSet_raw_and_data_sin!Q1742</f>
        <v>Obesity_Type_II</v>
      </c>
      <c r="E1742" t="b">
        <f t="shared" si="109"/>
        <v>0</v>
      </c>
      <c r="F1742">
        <f>C1742/(B1742*B1742)</f>
        <v>37.894918773280828</v>
      </c>
      <c r="G1742" t="str">
        <f t="shared" si="110"/>
        <v>Obese</v>
      </c>
      <c r="H1742" t="str">
        <f t="shared" si="111"/>
        <v>OK</v>
      </c>
      <c r="I1742" t="str">
        <f t="shared" si="108"/>
        <v>OK</v>
      </c>
    </row>
    <row r="1743" spans="1:9" x14ac:dyDescent="0.2">
      <c r="A1743" t="str">
        <f>ObesityDataSet_raw_and_data_sin!A1743</f>
        <v>Male</v>
      </c>
      <c r="B1743">
        <f>ObesityDataSet_raw_and_data_sin!C1743</f>
        <v>1.8165469999999999</v>
      </c>
      <c r="C1743">
        <f>ObesityDataSet_raw_and_data_sin!D1743</f>
        <v>120.699119</v>
      </c>
      <c r="D1743" t="str">
        <f>ObesityDataSet_raw_and_data_sin!Q1743</f>
        <v>Obesity_Type_II</v>
      </c>
      <c r="E1743" t="b">
        <f t="shared" si="109"/>
        <v>0</v>
      </c>
      <c r="F1743">
        <f>C1743/(B1743*B1743)</f>
        <v>36.577230759955448</v>
      </c>
      <c r="G1743" t="str">
        <f t="shared" si="110"/>
        <v>Obese</v>
      </c>
      <c r="H1743" t="str">
        <f t="shared" si="111"/>
        <v>OK</v>
      </c>
      <c r="I1743" t="str">
        <f t="shared" si="108"/>
        <v>OK</v>
      </c>
    </row>
    <row r="1744" spans="1:9" x14ac:dyDescent="0.2">
      <c r="A1744" t="str">
        <f>ObesityDataSet_raw_and_data_sin!A1744</f>
        <v>Male</v>
      </c>
      <c r="B1744">
        <f>ObesityDataSet_raw_and_data_sin!C1744</f>
        <v>1.805445</v>
      </c>
      <c r="C1744">
        <f>ObesityDataSet_raw_and_data_sin!D1744</f>
        <v>119.48461399999999</v>
      </c>
      <c r="D1744" t="str">
        <f>ObesityDataSet_raw_and_data_sin!Q1744</f>
        <v>Obesity_Type_II</v>
      </c>
      <c r="E1744" t="b">
        <f t="shared" si="109"/>
        <v>0</v>
      </c>
      <c r="F1744">
        <f>C1744/(B1744*B1744)</f>
        <v>36.655863883391646</v>
      </c>
      <c r="G1744" t="str">
        <f t="shared" si="110"/>
        <v>Obese</v>
      </c>
      <c r="H1744" t="str">
        <f t="shared" si="111"/>
        <v>OK</v>
      </c>
      <c r="I1744" t="str">
        <f t="shared" si="108"/>
        <v>OK</v>
      </c>
    </row>
    <row r="1745" spans="1:9" x14ac:dyDescent="0.2">
      <c r="A1745" t="str">
        <f>ObesityDataSet_raw_and_data_sin!A1745</f>
        <v>Male</v>
      </c>
      <c r="B1745">
        <f>ObesityDataSet_raw_and_data_sin!C1745</f>
        <v>1.770124</v>
      </c>
      <c r="C1745">
        <f>ObesityDataSet_raw_and_data_sin!D1745</f>
        <v>114.163921</v>
      </c>
      <c r="D1745" t="str">
        <f>ObesityDataSet_raw_and_data_sin!Q1745</f>
        <v>Obesity_Type_II</v>
      </c>
      <c r="E1745" t="b">
        <f t="shared" si="109"/>
        <v>0</v>
      </c>
      <c r="F1745">
        <f>C1745/(B1745*B1745)</f>
        <v>36.435228329006549</v>
      </c>
      <c r="G1745" t="str">
        <f t="shared" si="110"/>
        <v>Obese</v>
      </c>
      <c r="H1745" t="str">
        <f t="shared" si="111"/>
        <v>OK</v>
      </c>
      <c r="I1745" t="str">
        <f t="shared" si="108"/>
        <v>OK</v>
      </c>
    </row>
    <row r="1746" spans="1:9" x14ac:dyDescent="0.2">
      <c r="A1746" t="str">
        <f>ObesityDataSet_raw_and_data_sin!A1746</f>
        <v>Male</v>
      </c>
      <c r="B1746">
        <f>ObesityDataSet_raw_and_data_sin!C1746</f>
        <v>1.77274</v>
      </c>
      <c r="C1746">
        <f>ObesityDataSet_raw_and_data_sin!D1746</f>
        <v>114.254278</v>
      </c>
      <c r="D1746" t="str">
        <f>ObesityDataSet_raw_and_data_sin!Q1746</f>
        <v>Obesity_Type_II</v>
      </c>
      <c r="E1746" t="b">
        <f t="shared" si="109"/>
        <v>0</v>
      </c>
      <c r="F1746">
        <f>C1746/(B1746*B1746)</f>
        <v>36.356526313356319</v>
      </c>
      <c r="G1746" t="str">
        <f t="shared" si="110"/>
        <v>Obese</v>
      </c>
      <c r="H1746" t="str">
        <f t="shared" si="111"/>
        <v>OK</v>
      </c>
      <c r="I1746" t="str">
        <f t="shared" si="108"/>
        <v>OK</v>
      </c>
    </row>
    <row r="1747" spans="1:9" x14ac:dyDescent="0.2">
      <c r="A1747" t="str">
        <f>ObesityDataSet_raw_and_data_sin!A1747</f>
        <v>Male</v>
      </c>
      <c r="B1747">
        <f>ObesityDataSet_raw_and_data_sin!C1747</f>
        <v>1.763215</v>
      </c>
      <c r="C1747">
        <f>ObesityDataSet_raw_and_data_sin!D1747</f>
        <v>115.10813</v>
      </c>
      <c r="D1747" t="str">
        <f>ObesityDataSet_raw_and_data_sin!Q1747</f>
        <v>Obesity_Type_II</v>
      </c>
      <c r="E1747" t="b">
        <f t="shared" si="109"/>
        <v>0</v>
      </c>
      <c r="F1747">
        <f>C1747/(B1747*B1747)</f>
        <v>37.025033060044471</v>
      </c>
      <c r="G1747" t="str">
        <f t="shared" si="110"/>
        <v>Obese</v>
      </c>
      <c r="H1747" t="str">
        <f t="shared" si="111"/>
        <v>OK</v>
      </c>
      <c r="I1747" t="str">
        <f t="shared" si="108"/>
        <v>OK</v>
      </c>
    </row>
    <row r="1748" spans="1:9" x14ac:dyDescent="0.2">
      <c r="A1748" t="str">
        <f>ObesityDataSet_raw_and_data_sin!A1748</f>
        <v>Male</v>
      </c>
      <c r="B1748">
        <f>ObesityDataSet_raw_and_data_sin!C1748</f>
        <v>1.7665470000000001</v>
      </c>
      <c r="C1748">
        <f>ObesityDataSet_raw_and_data_sin!D1748</f>
        <v>115.45845</v>
      </c>
      <c r="D1748" t="str">
        <f>ObesityDataSet_raw_and_data_sin!Q1748</f>
        <v>Obesity_Type_II</v>
      </c>
      <c r="E1748" t="b">
        <f t="shared" si="109"/>
        <v>0</v>
      </c>
      <c r="F1748">
        <f>C1748/(B1748*B1748)</f>
        <v>36.997751387498134</v>
      </c>
      <c r="G1748" t="str">
        <f t="shared" si="110"/>
        <v>Obese</v>
      </c>
      <c r="H1748" t="str">
        <f t="shared" si="111"/>
        <v>OK</v>
      </c>
      <c r="I1748" t="str">
        <f t="shared" si="108"/>
        <v>OK</v>
      </c>
    </row>
    <row r="1749" spans="1:9" x14ac:dyDescent="0.2">
      <c r="A1749" t="str">
        <f>ObesityDataSet_raw_and_data_sin!A1749</f>
        <v>Male</v>
      </c>
      <c r="B1749">
        <f>ObesityDataSet_raw_and_data_sin!C1749</f>
        <v>1.7731809999999999</v>
      </c>
      <c r="C1749">
        <f>ObesityDataSet_raw_and_data_sin!D1749</f>
        <v>112.348722</v>
      </c>
      <c r="D1749" t="str">
        <f>ObesityDataSet_raw_and_data_sin!Q1749</f>
        <v>Obesity_Type_II</v>
      </c>
      <c r="E1749" t="b">
        <f t="shared" si="109"/>
        <v>0</v>
      </c>
      <c r="F1749">
        <f>C1749/(B1749*B1749)</f>
        <v>35.73238448125317</v>
      </c>
      <c r="G1749" t="str">
        <f t="shared" si="110"/>
        <v>Obese</v>
      </c>
      <c r="H1749" t="str">
        <f t="shared" si="111"/>
        <v>OK</v>
      </c>
      <c r="I1749" t="str">
        <f t="shared" si="108"/>
        <v>OK</v>
      </c>
    </row>
    <row r="1750" spans="1:9" x14ac:dyDescent="0.2">
      <c r="A1750" t="str">
        <f>ObesityDataSet_raw_and_data_sin!A1750</f>
        <v>Male</v>
      </c>
      <c r="B1750">
        <f>ObesityDataSet_raw_and_data_sin!C1750</f>
        <v>1.76003</v>
      </c>
      <c r="C1750">
        <f>ObesityDataSet_raw_and_data_sin!D1750</f>
        <v>112.40919100000001</v>
      </c>
      <c r="D1750" t="str">
        <f>ObesityDataSet_raw_and_data_sin!Q1750</f>
        <v>Obesity_Type_II</v>
      </c>
      <c r="E1750" t="b">
        <f t="shared" si="109"/>
        <v>0</v>
      </c>
      <c r="F1750">
        <f>C1750/(B1750*B1750)</f>
        <v>36.287887063038177</v>
      </c>
      <c r="G1750" t="str">
        <f t="shared" si="110"/>
        <v>Obese</v>
      </c>
      <c r="H1750" t="str">
        <f t="shared" si="111"/>
        <v>OK</v>
      </c>
      <c r="I1750" t="str">
        <f t="shared" si="108"/>
        <v>OK</v>
      </c>
    </row>
    <row r="1751" spans="1:9" x14ac:dyDescent="0.2">
      <c r="A1751" t="str">
        <f>ObesityDataSet_raw_and_data_sin!A1751</f>
        <v>Male</v>
      </c>
      <c r="B1751">
        <f>ObesityDataSet_raw_and_data_sin!C1751</f>
        <v>1.780089</v>
      </c>
      <c r="C1751">
        <f>ObesityDataSet_raw_and_data_sin!D1751</f>
        <v>113.15464</v>
      </c>
      <c r="D1751" t="str">
        <f>ObesityDataSet_raw_and_data_sin!Q1751</f>
        <v>Obesity_Type_II</v>
      </c>
      <c r="E1751" t="b">
        <f t="shared" si="109"/>
        <v>0</v>
      </c>
      <c r="F1751">
        <f>C1751/(B1751*B1751)</f>
        <v>35.709924688992309</v>
      </c>
      <c r="G1751" t="str">
        <f t="shared" si="110"/>
        <v>Obese</v>
      </c>
      <c r="H1751" t="str">
        <f t="shared" si="111"/>
        <v>OK</v>
      </c>
      <c r="I1751" t="str">
        <f t="shared" si="108"/>
        <v>OK</v>
      </c>
    </row>
    <row r="1752" spans="1:9" x14ac:dyDescent="0.2">
      <c r="A1752" t="str">
        <f>ObesityDataSet_raw_and_data_sin!A1752</f>
        <v>Male</v>
      </c>
      <c r="B1752">
        <f>ObesityDataSet_raw_and_data_sin!C1752</f>
        <v>1.7669459999999999</v>
      </c>
      <c r="C1752">
        <f>ObesityDataSet_raw_and_data_sin!D1752</f>
        <v>113.23553800000001</v>
      </c>
      <c r="D1752" t="str">
        <f>ObesityDataSet_raw_and_data_sin!Q1752</f>
        <v>Obesity_Type_II</v>
      </c>
      <c r="E1752" t="b">
        <f t="shared" si="109"/>
        <v>0</v>
      </c>
      <c r="F1752">
        <f>C1752/(B1752*B1752)</f>
        <v>36.269051114383686</v>
      </c>
      <c r="G1752" t="str">
        <f t="shared" si="110"/>
        <v>Obese</v>
      </c>
      <c r="H1752" t="str">
        <f t="shared" si="111"/>
        <v>OK</v>
      </c>
      <c r="I1752" t="str">
        <f t="shared" si="108"/>
        <v>OK</v>
      </c>
    </row>
    <row r="1753" spans="1:9" x14ac:dyDescent="0.2">
      <c r="A1753" t="str">
        <f>ObesityDataSet_raw_and_data_sin!A1753</f>
        <v>Male</v>
      </c>
      <c r="B1753">
        <f>ObesityDataSet_raw_and_data_sin!C1753</f>
        <v>1.885119</v>
      </c>
      <c r="C1753">
        <f>ObesityDataSet_raw_and_data_sin!D1753</f>
        <v>121.06505199999999</v>
      </c>
      <c r="D1753" t="str">
        <f>ObesityDataSet_raw_and_data_sin!Q1753</f>
        <v>Obesity_Type_II</v>
      </c>
      <c r="E1753" t="b">
        <f t="shared" si="109"/>
        <v>0</v>
      </c>
      <c r="F1753">
        <f>C1753/(B1753*B1753)</f>
        <v>34.067577420599832</v>
      </c>
      <c r="G1753" t="str">
        <f t="shared" si="110"/>
        <v>Obese</v>
      </c>
      <c r="H1753" t="str">
        <f t="shared" si="111"/>
        <v>OK</v>
      </c>
      <c r="I1753" t="str">
        <f t="shared" si="108"/>
        <v>OK</v>
      </c>
    </row>
    <row r="1754" spans="1:9" x14ac:dyDescent="0.2">
      <c r="A1754" t="str">
        <f>ObesityDataSet_raw_and_data_sin!A1754</f>
        <v>Male</v>
      </c>
      <c r="B1754">
        <f>ObesityDataSet_raw_and_data_sin!C1754</f>
        <v>1.828276</v>
      </c>
      <c r="C1754">
        <f>ObesityDataSet_raw_and_data_sin!D1754</f>
        <v>120.872294</v>
      </c>
      <c r="D1754" t="str">
        <f>ObesityDataSet_raw_and_data_sin!Q1754</f>
        <v>Obesity_Type_II</v>
      </c>
      <c r="E1754" t="b">
        <f t="shared" si="109"/>
        <v>0</v>
      </c>
      <c r="F1754">
        <f>C1754/(B1754*B1754)</f>
        <v>36.161234472863633</v>
      </c>
      <c r="G1754" t="str">
        <f t="shared" si="110"/>
        <v>Obese</v>
      </c>
      <c r="H1754" t="str">
        <f t="shared" si="111"/>
        <v>OK</v>
      </c>
      <c r="I1754" t="str">
        <f t="shared" si="108"/>
        <v>OK</v>
      </c>
    </row>
    <row r="1755" spans="1:9" x14ac:dyDescent="0.2">
      <c r="A1755" t="str">
        <f>ObesityDataSet_raw_and_data_sin!A1755</f>
        <v>Male</v>
      </c>
      <c r="B1755">
        <f>ObesityDataSet_raw_and_data_sin!C1755</f>
        <v>1.806227</v>
      </c>
      <c r="C1755">
        <f>ObesityDataSet_raw_and_data_sin!D1755</f>
        <v>120.42356700000001</v>
      </c>
      <c r="D1755" t="str">
        <f>ObesityDataSet_raw_and_data_sin!Q1755</f>
        <v>Obesity_Type_II</v>
      </c>
      <c r="E1755" t="b">
        <f t="shared" si="109"/>
        <v>0</v>
      </c>
      <c r="F1755">
        <f>C1755/(B1755*B1755)</f>
        <v>36.911936253936297</v>
      </c>
      <c r="G1755" t="str">
        <f t="shared" si="110"/>
        <v>Obese</v>
      </c>
      <c r="H1755" t="str">
        <f t="shared" si="111"/>
        <v>OK</v>
      </c>
      <c r="I1755" t="str">
        <f t="shared" si="108"/>
        <v>OK</v>
      </c>
    </row>
    <row r="1756" spans="1:9" x14ac:dyDescent="0.2">
      <c r="A1756" t="str">
        <f>ObesityDataSet_raw_and_data_sin!A1756</f>
        <v>Male</v>
      </c>
      <c r="B1756">
        <f>ObesityDataSet_raw_and_data_sin!C1756</f>
        <v>1.8129189999999999</v>
      </c>
      <c r="C1756">
        <f>ObesityDataSet_raw_and_data_sin!D1756</f>
        <v>119.841446</v>
      </c>
      <c r="D1756" t="str">
        <f>ObesityDataSet_raw_and_data_sin!Q1756</f>
        <v>Obesity_Type_II</v>
      </c>
      <c r="E1756" t="b">
        <f t="shared" si="109"/>
        <v>0</v>
      </c>
      <c r="F1756">
        <f>C1756/(B1756*B1756)</f>
        <v>36.462818818623298</v>
      </c>
      <c r="G1756" t="str">
        <f t="shared" si="110"/>
        <v>Obese</v>
      </c>
      <c r="H1756" t="str">
        <f t="shared" si="111"/>
        <v>OK</v>
      </c>
      <c r="I1756" t="str">
        <f t="shared" si="108"/>
        <v>OK</v>
      </c>
    </row>
    <row r="1757" spans="1:9" x14ac:dyDescent="0.2">
      <c r="A1757" t="str">
        <f>ObesityDataSet_raw_and_data_sin!A1757</f>
        <v>Male</v>
      </c>
      <c r="B1757">
        <f>ObesityDataSet_raw_and_data_sin!C1757</f>
        <v>1.8597170000000001</v>
      </c>
      <c r="C1757">
        <f>ObesityDataSet_raw_and_data_sin!D1757</f>
        <v>121.284533</v>
      </c>
      <c r="D1757" t="str">
        <f>ObesityDataSet_raw_and_data_sin!Q1757</f>
        <v>Obesity_Type_II</v>
      </c>
      <c r="E1757" t="b">
        <f t="shared" si="109"/>
        <v>0</v>
      </c>
      <c r="F1757">
        <f>C1757/(B1757*B1757)</f>
        <v>35.068056549499204</v>
      </c>
      <c r="G1757" t="str">
        <f t="shared" si="110"/>
        <v>Obese</v>
      </c>
      <c r="H1757" t="str">
        <f t="shared" si="111"/>
        <v>OK</v>
      </c>
      <c r="I1757" t="str">
        <f t="shared" si="108"/>
        <v>OK</v>
      </c>
    </row>
    <row r="1758" spans="1:9" x14ac:dyDescent="0.2">
      <c r="A1758" t="str">
        <f>ObesityDataSet_raw_and_data_sin!A1758</f>
        <v>Male</v>
      </c>
      <c r="B1758">
        <f>ObesityDataSet_raw_and_data_sin!C1758</f>
        <v>1.8651599999999999</v>
      </c>
      <c r="C1758">
        <f>ObesityDataSet_raw_and_data_sin!D1758</f>
        <v>121.52736899999999</v>
      </c>
      <c r="D1758" t="str">
        <f>ObesityDataSet_raw_and_data_sin!Q1758</f>
        <v>Obesity_Type_II</v>
      </c>
      <c r="E1758" t="b">
        <f t="shared" si="109"/>
        <v>0</v>
      </c>
      <c r="F1758">
        <f>C1758/(B1758*B1758)</f>
        <v>34.933484694646559</v>
      </c>
      <c r="G1758" t="str">
        <f t="shared" si="110"/>
        <v>Obese</v>
      </c>
      <c r="H1758" t="str">
        <f t="shared" si="111"/>
        <v>OK</v>
      </c>
      <c r="I1758" t="str">
        <f t="shared" si="108"/>
        <v>OK</v>
      </c>
    </row>
    <row r="1759" spans="1:9" x14ac:dyDescent="0.2">
      <c r="A1759" t="str">
        <f>ObesityDataSet_raw_and_data_sin!A1759</f>
        <v>Male</v>
      </c>
      <c r="B1759">
        <f>ObesityDataSet_raw_and_data_sin!C1759</f>
        <v>1.783609</v>
      </c>
      <c r="C1759">
        <f>ObesityDataSet_raw_and_data_sin!D1759</f>
        <v>120.92153500000001</v>
      </c>
      <c r="D1759" t="str">
        <f>ObesityDataSet_raw_and_data_sin!Q1759</f>
        <v>Obesity_Type_II</v>
      </c>
      <c r="E1759" t="b">
        <f t="shared" si="109"/>
        <v>0</v>
      </c>
      <c r="F1759">
        <f>C1759/(B1759*B1759)</f>
        <v>38.010566418107928</v>
      </c>
      <c r="G1759" t="str">
        <f t="shared" si="110"/>
        <v>Obese</v>
      </c>
      <c r="H1759" t="str">
        <f t="shared" si="111"/>
        <v>OK</v>
      </c>
      <c r="I1759" t="str">
        <f t="shared" si="108"/>
        <v>OK</v>
      </c>
    </row>
    <row r="1760" spans="1:9" x14ac:dyDescent="0.2">
      <c r="A1760" t="str">
        <f>ObesityDataSet_raw_and_data_sin!A1760</f>
        <v>Male</v>
      </c>
      <c r="B1760">
        <f>ObesityDataSet_raw_and_data_sin!C1760</f>
        <v>1.794827</v>
      </c>
      <c r="C1760">
        <f>ObesityDataSet_raw_and_data_sin!D1760</f>
        <v>120.919703</v>
      </c>
      <c r="D1760" t="str">
        <f>ObesityDataSet_raw_and_data_sin!Q1760</f>
        <v>Obesity_Type_II</v>
      </c>
      <c r="E1760" t="b">
        <f t="shared" si="109"/>
        <v>0</v>
      </c>
      <c r="F1760">
        <f>C1760/(B1760*B1760)</f>
        <v>37.536336486860556</v>
      </c>
      <c r="G1760" t="str">
        <f t="shared" si="110"/>
        <v>Obese</v>
      </c>
      <c r="H1760" t="str">
        <f t="shared" si="111"/>
        <v>OK</v>
      </c>
      <c r="I1760" t="str">
        <f t="shared" si="108"/>
        <v>OK</v>
      </c>
    </row>
    <row r="1761" spans="1:9" x14ac:dyDescent="0.2">
      <c r="A1761" t="str">
        <f>ObesityDataSet_raw_and_data_sin!A1761</f>
        <v>Male</v>
      </c>
      <c r="B1761">
        <f>ObesityDataSet_raw_and_data_sin!C1761</f>
        <v>1.759647</v>
      </c>
      <c r="C1761">
        <f>ObesityDataSet_raw_and_data_sin!D1761</f>
        <v>120.00939200000001</v>
      </c>
      <c r="D1761" t="str">
        <f>ObesityDataSet_raw_and_data_sin!Q1761</f>
        <v>Obesity_Type_II</v>
      </c>
      <c r="E1761" t="b">
        <f t="shared" si="109"/>
        <v>0</v>
      </c>
      <c r="F1761">
        <f>C1761/(B1761*B1761)</f>
        <v>38.758247229484454</v>
      </c>
      <c r="G1761" t="str">
        <f t="shared" si="110"/>
        <v>Obese</v>
      </c>
      <c r="H1761" t="str">
        <f t="shared" si="111"/>
        <v>OK</v>
      </c>
      <c r="I1761" t="str">
        <f t="shared" si="108"/>
        <v>OK</v>
      </c>
    </row>
    <row r="1762" spans="1:9" x14ac:dyDescent="0.2">
      <c r="A1762" t="str">
        <f>ObesityDataSet_raw_and_data_sin!A1762</f>
        <v>Male</v>
      </c>
      <c r="B1762">
        <f>ObesityDataSet_raw_and_data_sin!C1762</f>
        <v>1.7735209999999999</v>
      </c>
      <c r="C1762">
        <f>ObesityDataSet_raw_and_data_sin!D1762</f>
        <v>120.209711</v>
      </c>
      <c r="D1762" t="str">
        <f>ObesityDataSet_raw_and_data_sin!Q1762</f>
        <v>Obesity_Type_II</v>
      </c>
      <c r="E1762" t="b">
        <f t="shared" si="109"/>
        <v>0</v>
      </c>
      <c r="F1762">
        <f>C1762/(B1762*B1762)</f>
        <v>38.217905527526611</v>
      </c>
      <c r="G1762" t="str">
        <f t="shared" si="110"/>
        <v>Obese</v>
      </c>
      <c r="H1762" t="str">
        <f t="shared" si="111"/>
        <v>OK</v>
      </c>
      <c r="I1762" t="str">
        <f t="shared" si="108"/>
        <v>OK</v>
      </c>
    </row>
    <row r="1763" spans="1:9" x14ac:dyDescent="0.2">
      <c r="A1763" t="str">
        <f>ObesityDataSet_raw_and_data_sin!A1763</f>
        <v>Male</v>
      </c>
      <c r="B1763">
        <f>ObesityDataSet_raw_and_data_sin!C1763</f>
        <v>1.7533270000000001</v>
      </c>
      <c r="C1763">
        <f>ObesityDataSet_raw_and_data_sin!D1763</f>
        <v>118.26569000000001</v>
      </c>
      <c r="D1763" t="str">
        <f>ObesityDataSet_raw_and_data_sin!Q1763</f>
        <v>Obesity_Type_II</v>
      </c>
      <c r="E1763" t="b">
        <f t="shared" si="109"/>
        <v>0</v>
      </c>
      <c r="F1763">
        <f>C1763/(B1763*B1763)</f>
        <v>38.470951566449969</v>
      </c>
      <c r="G1763" t="str">
        <f t="shared" si="110"/>
        <v>Obese</v>
      </c>
      <c r="H1763" t="str">
        <f t="shared" si="111"/>
        <v>OK</v>
      </c>
      <c r="I1763" t="str">
        <f t="shared" si="108"/>
        <v>OK</v>
      </c>
    </row>
    <row r="1764" spans="1:9" x14ac:dyDescent="0.2">
      <c r="A1764" t="str">
        <f>ObesityDataSet_raw_and_data_sin!A1764</f>
        <v>Male</v>
      </c>
      <c r="B1764">
        <f>ObesityDataSet_raw_and_data_sin!C1764</f>
        <v>1.7610680000000001</v>
      </c>
      <c r="C1764">
        <f>ObesityDataSet_raw_and_data_sin!D1764</f>
        <v>118.370628</v>
      </c>
      <c r="D1764" t="str">
        <f>ObesityDataSet_raw_and_data_sin!Q1764</f>
        <v>Obesity_Type_II</v>
      </c>
      <c r="E1764" t="b">
        <f t="shared" si="109"/>
        <v>0</v>
      </c>
      <c r="F1764">
        <f>C1764/(B1764*B1764)</f>
        <v>38.167323010718547</v>
      </c>
      <c r="G1764" t="str">
        <f t="shared" si="110"/>
        <v>Obese</v>
      </c>
      <c r="H1764" t="str">
        <f t="shared" si="111"/>
        <v>OK</v>
      </c>
      <c r="I1764" t="str">
        <f t="shared" si="108"/>
        <v>OK</v>
      </c>
    </row>
    <row r="1765" spans="1:9" x14ac:dyDescent="0.2">
      <c r="A1765" t="str">
        <f>ObesityDataSet_raw_and_data_sin!A1765</f>
        <v>Male</v>
      </c>
      <c r="B1765">
        <f>ObesityDataSet_raw_and_data_sin!C1765</f>
        <v>1.8488450000000001</v>
      </c>
      <c r="C1765">
        <f>ObesityDataSet_raw_and_data_sin!D1765</f>
        <v>125.07786299999999</v>
      </c>
      <c r="D1765" t="str">
        <f>ObesityDataSet_raw_and_data_sin!Q1765</f>
        <v>Obesity_Type_II</v>
      </c>
      <c r="E1765" t="b">
        <f t="shared" si="109"/>
        <v>0</v>
      </c>
      <c r="F1765">
        <f>C1765/(B1765*B1765)</f>
        <v>36.591435408423159</v>
      </c>
      <c r="G1765" t="str">
        <f t="shared" si="110"/>
        <v>Obese</v>
      </c>
      <c r="H1765" t="str">
        <f t="shared" si="111"/>
        <v>OK</v>
      </c>
      <c r="I1765" t="str">
        <f t="shared" si="108"/>
        <v>OK</v>
      </c>
    </row>
    <row r="1766" spans="1:9" x14ac:dyDescent="0.2">
      <c r="A1766" t="str">
        <f>ObesityDataSet_raw_and_data_sin!A1766</f>
        <v>Male</v>
      </c>
      <c r="B1766">
        <f>ObesityDataSet_raw_and_data_sin!C1766</f>
        <v>1.8428119999999999</v>
      </c>
      <c r="C1766">
        <f>ObesityDataSet_raw_and_data_sin!D1766</f>
        <v>125.973927</v>
      </c>
      <c r="D1766" t="str">
        <f>ObesityDataSet_raw_and_data_sin!Q1766</f>
        <v>Obesity_Type_II</v>
      </c>
      <c r="E1766" t="b">
        <f t="shared" si="109"/>
        <v>0</v>
      </c>
      <c r="F1766">
        <f>C1766/(B1766*B1766)</f>
        <v>37.095275822730258</v>
      </c>
      <c r="G1766" t="str">
        <f t="shared" si="110"/>
        <v>Obese</v>
      </c>
      <c r="H1766" t="str">
        <f t="shared" si="111"/>
        <v>OK</v>
      </c>
      <c r="I1766" t="str">
        <f t="shared" si="108"/>
        <v>OK</v>
      </c>
    </row>
    <row r="1767" spans="1:9" x14ac:dyDescent="0.2">
      <c r="A1767" t="str">
        <f>ObesityDataSet_raw_and_data_sin!A1767</f>
        <v>Male</v>
      </c>
      <c r="B1767">
        <f>ObesityDataSet_raw_and_data_sin!C1767</f>
        <v>1.8254490000000001</v>
      </c>
      <c r="C1767">
        <f>ObesityDataSet_raw_and_data_sin!D1767</f>
        <v>124.95278</v>
      </c>
      <c r="D1767" t="str">
        <f>ObesityDataSet_raw_and_data_sin!Q1767</f>
        <v>Obesity_Type_II</v>
      </c>
      <c r="E1767" t="b">
        <f t="shared" si="109"/>
        <v>0</v>
      </c>
      <c r="F1767">
        <f>C1767/(B1767*B1767)</f>
        <v>37.497862733886862</v>
      </c>
      <c r="G1767" t="str">
        <f t="shared" si="110"/>
        <v>Obese</v>
      </c>
      <c r="H1767" t="str">
        <f t="shared" si="111"/>
        <v>OK</v>
      </c>
      <c r="I1767" t="str">
        <f t="shared" si="108"/>
        <v>OK</v>
      </c>
    </row>
    <row r="1768" spans="1:9" x14ac:dyDescent="0.2">
      <c r="A1768" t="str">
        <f>ObesityDataSet_raw_and_data_sin!A1768</f>
        <v>Male</v>
      </c>
      <c r="B1768">
        <f>ObesityDataSet_raw_and_data_sin!C1768</f>
        <v>1.86198</v>
      </c>
      <c r="C1768">
        <f>ObesityDataSet_raw_and_data_sin!D1768</f>
        <v>126.418413</v>
      </c>
      <c r="D1768" t="str">
        <f>ObesityDataSet_raw_and_data_sin!Q1768</f>
        <v>Obesity_Type_II</v>
      </c>
      <c r="E1768" t="b">
        <f t="shared" si="109"/>
        <v>0</v>
      </c>
      <c r="F1768">
        <f>C1768/(B1768*B1768)</f>
        <v>36.46366437782082</v>
      </c>
      <c r="G1768" t="str">
        <f t="shared" si="110"/>
        <v>Obese</v>
      </c>
      <c r="H1768" t="str">
        <f t="shared" si="111"/>
        <v>OK</v>
      </c>
      <c r="I1768" t="str">
        <f t="shared" si="108"/>
        <v>OK</v>
      </c>
    </row>
    <row r="1769" spans="1:9" x14ac:dyDescent="0.2">
      <c r="A1769" t="str">
        <f>ObesityDataSet_raw_and_data_sin!A1769</f>
        <v>Male</v>
      </c>
      <c r="B1769">
        <f>ObesityDataSet_raw_and_data_sin!C1769</f>
        <v>1.763987</v>
      </c>
      <c r="C1769">
        <f>ObesityDataSet_raw_and_data_sin!D1769</f>
        <v>113.069667</v>
      </c>
      <c r="D1769" t="str">
        <f>ObesityDataSet_raw_and_data_sin!Q1769</f>
        <v>Obesity_Type_II</v>
      </c>
      <c r="E1769" t="b">
        <f t="shared" si="109"/>
        <v>0</v>
      </c>
      <c r="F1769">
        <f>C1769/(B1769*B1769)</f>
        <v>36.337525766701091</v>
      </c>
      <c r="G1769" t="str">
        <f t="shared" si="110"/>
        <v>Obese</v>
      </c>
      <c r="H1769" t="str">
        <f t="shared" si="111"/>
        <v>OK</v>
      </c>
      <c r="I1769" t="str">
        <f t="shared" si="108"/>
        <v>OK</v>
      </c>
    </row>
    <row r="1770" spans="1:9" x14ac:dyDescent="0.2">
      <c r="A1770" t="str">
        <f>ObesityDataSet_raw_and_data_sin!A1770</f>
        <v>Male</v>
      </c>
      <c r="B1770">
        <f>ObesityDataSet_raw_and_data_sin!C1770</f>
        <v>1.7615190000000001</v>
      </c>
      <c r="C1770">
        <f>ObesityDataSet_raw_and_data_sin!D1770</f>
        <v>112.835195</v>
      </c>
      <c r="D1770" t="str">
        <f>ObesityDataSet_raw_and_data_sin!Q1770</f>
        <v>Obesity_Type_II</v>
      </c>
      <c r="E1770" t="b">
        <f t="shared" si="109"/>
        <v>0</v>
      </c>
      <c r="F1770">
        <f>C1770/(B1770*B1770)</f>
        <v>36.363855218642563</v>
      </c>
      <c r="G1770" t="str">
        <f t="shared" si="110"/>
        <v>Obese</v>
      </c>
      <c r="H1770" t="str">
        <f t="shared" si="111"/>
        <v>OK</v>
      </c>
      <c r="I1770" t="str">
        <f t="shared" si="108"/>
        <v>OK</v>
      </c>
    </row>
    <row r="1771" spans="1:9" x14ac:dyDescent="0.2">
      <c r="A1771" t="str">
        <f>ObesityDataSet_raw_and_data_sin!A1771</f>
        <v>Male</v>
      </c>
      <c r="B1771">
        <f>ObesityDataSet_raw_and_data_sin!C1771</f>
        <v>1.7720450000000001</v>
      </c>
      <c r="C1771">
        <f>ObesityDataSet_raw_and_data_sin!D1771</f>
        <v>114.067936</v>
      </c>
      <c r="D1771" t="str">
        <f>ObesityDataSet_raw_and_data_sin!Q1771</f>
        <v>Obesity_Type_II</v>
      </c>
      <c r="E1771" t="b">
        <f t="shared" si="109"/>
        <v>0</v>
      </c>
      <c r="F1771">
        <f>C1771/(B1771*B1771)</f>
        <v>36.325708252809015</v>
      </c>
      <c r="G1771" t="str">
        <f t="shared" si="110"/>
        <v>Obese</v>
      </c>
      <c r="H1771" t="str">
        <f t="shared" si="111"/>
        <v>OK</v>
      </c>
      <c r="I1771" t="str">
        <f t="shared" si="108"/>
        <v>OK</v>
      </c>
    </row>
    <row r="1772" spans="1:9" x14ac:dyDescent="0.2">
      <c r="A1772" t="str">
        <f>ObesityDataSet_raw_and_data_sin!A1772</f>
        <v>Male</v>
      </c>
      <c r="B1772">
        <f>ObesityDataSet_raw_and_data_sin!C1772</f>
        <v>1.771817</v>
      </c>
      <c r="C1772">
        <f>ObesityDataSet_raw_and_data_sin!D1772</f>
        <v>114.00483199999999</v>
      </c>
      <c r="D1772" t="str">
        <f>ObesityDataSet_raw_and_data_sin!Q1772</f>
        <v>Obesity_Type_II</v>
      </c>
      <c r="E1772" t="b">
        <f t="shared" si="109"/>
        <v>0</v>
      </c>
      <c r="F1772">
        <f>C1772/(B1772*B1772)</f>
        <v>36.314956675457644</v>
      </c>
      <c r="G1772" t="str">
        <f t="shared" si="110"/>
        <v>Obese</v>
      </c>
      <c r="H1772" t="str">
        <f t="shared" si="111"/>
        <v>OK</v>
      </c>
      <c r="I1772" t="str">
        <f t="shared" si="108"/>
        <v>OK</v>
      </c>
    </row>
    <row r="1773" spans="1:9" x14ac:dyDescent="0.2">
      <c r="A1773" t="str">
        <f>ObesityDataSet_raw_and_data_sin!A1773</f>
        <v>Male</v>
      </c>
      <c r="B1773">
        <f>ObesityDataSet_raw_and_data_sin!C1773</f>
        <v>1.7985800000000001</v>
      </c>
      <c r="C1773">
        <f>ObesityDataSet_raw_and_data_sin!D1773</f>
        <v>117.93329</v>
      </c>
      <c r="D1773" t="str">
        <f>ObesityDataSet_raw_and_data_sin!Q1773</f>
        <v>Obesity_Type_II</v>
      </c>
      <c r="E1773" t="b">
        <f t="shared" si="109"/>
        <v>0</v>
      </c>
      <c r="F1773">
        <f>C1773/(B1773*B1773)</f>
        <v>36.456661401812966</v>
      </c>
      <c r="G1773" t="str">
        <f t="shared" si="110"/>
        <v>Obese</v>
      </c>
      <c r="H1773" t="str">
        <f t="shared" si="111"/>
        <v>OK</v>
      </c>
      <c r="I1773" t="str">
        <f t="shared" si="108"/>
        <v>OK</v>
      </c>
    </row>
    <row r="1774" spans="1:9" x14ac:dyDescent="0.2">
      <c r="A1774" t="str">
        <f>ObesityDataSet_raw_and_data_sin!A1774</f>
        <v>Male</v>
      </c>
      <c r="B1774">
        <f>ObesityDataSet_raw_and_data_sin!C1774</f>
        <v>1.788586</v>
      </c>
      <c r="C1774">
        <f>ObesityDataSet_raw_and_data_sin!D1774</f>
        <v>117.849351</v>
      </c>
      <c r="D1774" t="str">
        <f>ObesityDataSet_raw_and_data_sin!Q1774</f>
        <v>Obesity_Type_II</v>
      </c>
      <c r="E1774" t="b">
        <f t="shared" si="109"/>
        <v>0</v>
      </c>
      <c r="F1774">
        <f>C1774/(B1774*B1774)</f>
        <v>36.838975268495474</v>
      </c>
      <c r="G1774" t="str">
        <f t="shared" si="110"/>
        <v>Obese</v>
      </c>
      <c r="H1774" t="str">
        <f t="shared" si="111"/>
        <v>OK</v>
      </c>
      <c r="I1774" t="str">
        <f t="shared" si="108"/>
        <v>OK</v>
      </c>
    </row>
    <row r="1775" spans="1:9" x14ac:dyDescent="0.2">
      <c r="A1775" t="str">
        <f>ObesityDataSet_raw_and_data_sin!A1775</f>
        <v>Male</v>
      </c>
      <c r="B1775">
        <f>ObesityDataSet_raw_and_data_sin!C1775</f>
        <v>1.803207</v>
      </c>
      <c r="C1775">
        <f>ObesityDataSet_raw_and_data_sin!D1775</f>
        <v>118.332966</v>
      </c>
      <c r="D1775" t="str">
        <f>ObesityDataSet_raw_and_data_sin!Q1775</f>
        <v>Obesity_Type_II</v>
      </c>
      <c r="E1775" t="b">
        <f t="shared" si="109"/>
        <v>0</v>
      </c>
      <c r="F1775">
        <f>C1775/(B1775*B1775)</f>
        <v>36.392725435990926</v>
      </c>
      <c r="G1775" t="str">
        <f t="shared" si="110"/>
        <v>Obese</v>
      </c>
      <c r="H1775" t="str">
        <f t="shared" si="111"/>
        <v>OK</v>
      </c>
      <c r="I1775" t="str">
        <f t="shared" si="108"/>
        <v>OK</v>
      </c>
    </row>
    <row r="1776" spans="1:9" x14ac:dyDescent="0.2">
      <c r="A1776" t="str">
        <f>ObesityDataSet_raw_and_data_sin!A1776</f>
        <v>Male</v>
      </c>
      <c r="B1776">
        <f>ObesityDataSet_raw_and_data_sin!C1776</f>
        <v>1.836592</v>
      </c>
      <c r="C1776">
        <f>ObesityDataSet_raw_and_data_sin!D1776</f>
        <v>118.377601</v>
      </c>
      <c r="D1776" t="str">
        <f>ObesityDataSet_raw_and_data_sin!Q1776</f>
        <v>Obesity_Type_II</v>
      </c>
      <c r="E1776" t="b">
        <f t="shared" si="109"/>
        <v>0</v>
      </c>
      <c r="F1776">
        <f>C1776/(B1776*B1776)</f>
        <v>35.094912017005655</v>
      </c>
      <c r="G1776" t="str">
        <f t="shared" si="110"/>
        <v>Obese</v>
      </c>
      <c r="H1776" t="str">
        <f t="shared" si="111"/>
        <v>OK</v>
      </c>
      <c r="I1776" t="str">
        <f t="shared" si="108"/>
        <v>OK</v>
      </c>
    </row>
    <row r="1777" spans="1:9" x14ac:dyDescent="0.2">
      <c r="A1777" t="str">
        <f>ObesityDataSet_raw_and_data_sin!A1777</f>
        <v>Male</v>
      </c>
      <c r="B1777">
        <f>ObesityDataSet_raw_and_data_sin!C1777</f>
        <v>1.762921</v>
      </c>
      <c r="C1777">
        <f>ObesityDataSet_raw_and_data_sin!D1777</f>
        <v>118.40174</v>
      </c>
      <c r="D1777" t="str">
        <f>ObesityDataSet_raw_and_data_sin!Q1777</f>
        <v>Obesity_Type_II</v>
      </c>
      <c r="E1777" t="b">
        <f t="shared" si="109"/>
        <v>0</v>
      </c>
      <c r="F1777">
        <f>C1777/(B1777*B1777)</f>
        <v>38.097140751735409</v>
      </c>
      <c r="G1777" t="str">
        <f t="shared" si="110"/>
        <v>Obese</v>
      </c>
      <c r="H1777" t="str">
        <f t="shared" si="111"/>
        <v>OK</v>
      </c>
      <c r="I1777" t="str">
        <f t="shared" si="108"/>
        <v>OK</v>
      </c>
    </row>
    <row r="1778" spans="1:9" x14ac:dyDescent="0.2">
      <c r="A1778" t="str">
        <f>ObesityDataSet_raw_and_data_sin!A1778</f>
        <v>Male</v>
      </c>
      <c r="B1778">
        <f>ObesityDataSet_raw_and_data_sin!C1778</f>
        <v>1.7528630000000001</v>
      </c>
      <c r="C1778">
        <f>ObesityDataSet_raw_and_data_sin!D1778</f>
        <v>119.201465</v>
      </c>
      <c r="D1778" t="str">
        <f>ObesityDataSet_raw_and_data_sin!Q1778</f>
        <v>Obesity_Type_II</v>
      </c>
      <c r="E1778" t="b">
        <f t="shared" si="109"/>
        <v>0</v>
      </c>
      <c r="F1778">
        <f>C1778/(B1778*B1778)</f>
        <v>38.795883379494384</v>
      </c>
      <c r="G1778" t="str">
        <f t="shared" si="110"/>
        <v>Obese</v>
      </c>
      <c r="H1778" t="str">
        <f t="shared" si="111"/>
        <v>OK</v>
      </c>
      <c r="I1778" t="str">
        <f t="shared" si="108"/>
        <v>OK</v>
      </c>
    </row>
    <row r="1779" spans="1:9" x14ac:dyDescent="0.2">
      <c r="A1779" t="str">
        <f>ObesityDataSet_raw_and_data_sin!A1779</f>
        <v>Male</v>
      </c>
      <c r="B1779">
        <f>ObesityDataSet_raw_and_data_sin!C1779</f>
        <v>1.768235</v>
      </c>
      <c r="C1779">
        <f>ObesityDataSet_raw_and_data_sin!D1779</f>
        <v>117.79226800000001</v>
      </c>
      <c r="D1779" t="str">
        <f>ObesityDataSet_raw_and_data_sin!Q1779</f>
        <v>Obesity_Type_II</v>
      </c>
      <c r="E1779" t="b">
        <f t="shared" si="109"/>
        <v>0</v>
      </c>
      <c r="F1779">
        <f>C1779/(B1779*B1779)</f>
        <v>37.673573651848336</v>
      </c>
      <c r="G1779" t="str">
        <f t="shared" si="110"/>
        <v>Obese</v>
      </c>
      <c r="H1779" t="str">
        <f t="shared" si="111"/>
        <v>OK</v>
      </c>
      <c r="I1779" t="str">
        <f t="shared" si="108"/>
        <v>OK</v>
      </c>
    </row>
    <row r="1780" spans="1:9" x14ac:dyDescent="0.2">
      <c r="A1780" t="str">
        <f>ObesityDataSet_raw_and_data_sin!A1780</f>
        <v>Male</v>
      </c>
      <c r="B1780">
        <f>ObesityDataSet_raw_and_data_sin!C1780</f>
        <v>1.766888</v>
      </c>
      <c r="C1780">
        <f>ObesityDataSet_raw_and_data_sin!D1780</f>
        <v>118.13489800000001</v>
      </c>
      <c r="D1780" t="str">
        <f>ObesityDataSet_raw_and_data_sin!Q1780</f>
        <v>Obesity_Type_II</v>
      </c>
      <c r="E1780" t="b">
        <f t="shared" si="109"/>
        <v>0</v>
      </c>
      <c r="F1780">
        <f>C1780/(B1780*B1780)</f>
        <v>37.840787707936798</v>
      </c>
      <c r="G1780" t="str">
        <f t="shared" si="110"/>
        <v>Obese</v>
      </c>
      <c r="H1780" t="str">
        <f t="shared" si="111"/>
        <v>OK</v>
      </c>
      <c r="I1780" t="str">
        <f t="shared" si="108"/>
        <v>OK</v>
      </c>
    </row>
    <row r="1781" spans="1:9" x14ac:dyDescent="0.2">
      <c r="A1781" t="str">
        <f>ObesityDataSet_raw_and_data_sin!A1781</f>
        <v>Male</v>
      </c>
      <c r="B1781">
        <f>ObesityDataSet_raw_and_data_sin!C1781</f>
        <v>1.6035010000000001</v>
      </c>
      <c r="C1781">
        <f>ObesityDataSet_raw_and_data_sin!D1781</f>
        <v>101.038263</v>
      </c>
      <c r="D1781" t="str">
        <f>ObesityDataSet_raw_and_data_sin!Q1781</f>
        <v>Obesity_Type_II</v>
      </c>
      <c r="E1781" t="b">
        <f t="shared" si="109"/>
        <v>0</v>
      </c>
      <c r="F1781">
        <f>C1781/(B1781*B1781)</f>
        <v>39.295914593578416</v>
      </c>
      <c r="G1781" t="str">
        <f t="shared" si="110"/>
        <v>Obese</v>
      </c>
      <c r="H1781" t="str">
        <f t="shared" si="111"/>
        <v>OK</v>
      </c>
      <c r="I1781" t="str">
        <f t="shared" si="108"/>
        <v>OK</v>
      </c>
    </row>
    <row r="1782" spans="1:9" x14ac:dyDescent="0.2">
      <c r="A1782" t="str">
        <f>ObesityDataSet_raw_and_data_sin!A1782</f>
        <v>Male</v>
      </c>
      <c r="B1782">
        <f>ObesityDataSet_raw_and_data_sin!C1782</f>
        <v>1.6902619999999999</v>
      </c>
      <c r="C1782">
        <f>ObesityDataSet_raw_and_data_sin!D1782</f>
        <v>103.18091800000001</v>
      </c>
      <c r="D1782" t="str">
        <f>ObesityDataSet_raw_and_data_sin!Q1782</f>
        <v>Obesity_Type_II</v>
      </c>
      <c r="E1782" t="b">
        <f t="shared" si="109"/>
        <v>0</v>
      </c>
      <c r="F1782">
        <f>C1782/(B1782*B1782)</f>
        <v>36.115308724521782</v>
      </c>
      <c r="G1782" t="str">
        <f t="shared" si="110"/>
        <v>Obese</v>
      </c>
      <c r="H1782" t="str">
        <f t="shared" si="111"/>
        <v>OK</v>
      </c>
      <c r="I1782" t="str">
        <f t="shared" si="108"/>
        <v>OK</v>
      </c>
    </row>
    <row r="1783" spans="1:9" x14ac:dyDescent="0.2">
      <c r="A1783" t="str">
        <f>ObesityDataSet_raw_and_data_sin!A1783</f>
        <v>Male</v>
      </c>
      <c r="B1783">
        <f>ObesityDataSet_raw_and_data_sin!C1783</f>
        <v>1.7129049999999999</v>
      </c>
      <c r="C1783">
        <f>ObesityDataSet_raw_and_data_sin!D1783</f>
        <v>103.276087</v>
      </c>
      <c r="D1783" t="str">
        <f>ObesityDataSet_raw_and_data_sin!Q1783</f>
        <v>Obesity_Type_II</v>
      </c>
      <c r="E1783" t="b">
        <f t="shared" si="109"/>
        <v>0</v>
      </c>
      <c r="F1783">
        <f>C1783/(B1783*B1783)</f>
        <v>35.19923464882163</v>
      </c>
      <c r="G1783" t="str">
        <f t="shared" si="110"/>
        <v>Obese</v>
      </c>
      <c r="H1783" t="str">
        <f t="shared" si="111"/>
        <v>OK</v>
      </c>
      <c r="I1783" t="str">
        <f t="shared" si="108"/>
        <v>OK</v>
      </c>
    </row>
    <row r="1784" spans="1:9" x14ac:dyDescent="0.2">
      <c r="A1784" t="str">
        <f>ObesityDataSet_raw_and_data_sin!A1784</f>
        <v>Male</v>
      </c>
      <c r="B1784">
        <f>ObesityDataSet_raw_and_data_sin!C1784</f>
        <v>1.695735</v>
      </c>
      <c r="C1784">
        <f>ObesityDataSet_raw_and_data_sin!D1784</f>
        <v>102.784864</v>
      </c>
      <c r="D1784" t="str">
        <f>ObesityDataSet_raw_and_data_sin!Q1784</f>
        <v>Obesity_Type_II</v>
      </c>
      <c r="E1784" t="b">
        <f t="shared" si="109"/>
        <v>0</v>
      </c>
      <c r="F1784">
        <f>C1784/(B1784*B1784)</f>
        <v>35.744826826076952</v>
      </c>
      <c r="G1784" t="str">
        <f t="shared" si="110"/>
        <v>Obese</v>
      </c>
      <c r="H1784" t="str">
        <f t="shared" si="111"/>
        <v>OK</v>
      </c>
      <c r="I1784" t="str">
        <f t="shared" si="108"/>
        <v>OK</v>
      </c>
    </row>
    <row r="1785" spans="1:9" x14ac:dyDescent="0.2">
      <c r="A1785" t="str">
        <f>ObesityDataSet_raw_and_data_sin!A1785</f>
        <v>Male</v>
      </c>
      <c r="B1785">
        <f>ObesityDataSet_raw_and_data_sin!C1785</f>
        <v>1.829971</v>
      </c>
      <c r="C1785">
        <f>ObesityDataSet_raw_and_data_sin!D1785</f>
        <v>121.04172</v>
      </c>
      <c r="D1785" t="str">
        <f>ObesityDataSet_raw_and_data_sin!Q1785</f>
        <v>Obesity_Type_II</v>
      </c>
      <c r="E1785" t="b">
        <f t="shared" si="109"/>
        <v>0</v>
      </c>
      <c r="F1785">
        <f>C1785/(B1785*B1785)</f>
        <v>36.144870371209464</v>
      </c>
      <c r="G1785" t="str">
        <f t="shared" si="110"/>
        <v>Obese</v>
      </c>
      <c r="H1785" t="str">
        <f t="shared" si="111"/>
        <v>OK</v>
      </c>
      <c r="I1785" t="str">
        <f t="shared" si="108"/>
        <v>OK</v>
      </c>
    </row>
    <row r="1786" spans="1:9" x14ac:dyDescent="0.2">
      <c r="A1786" t="str">
        <f>ObesityDataSet_raw_and_data_sin!A1786</f>
        <v>Male</v>
      </c>
      <c r="B1786">
        <f>ObesityDataSet_raw_and_data_sin!C1786</f>
        <v>1.84629</v>
      </c>
      <c r="C1786">
        <f>ObesityDataSet_raw_and_data_sin!D1786</f>
        <v>121.248035</v>
      </c>
      <c r="D1786" t="str">
        <f>ObesityDataSet_raw_and_data_sin!Q1786</f>
        <v>Obesity_Type_II</v>
      </c>
      <c r="E1786" t="b">
        <f t="shared" si="109"/>
        <v>0</v>
      </c>
      <c r="F1786">
        <f>C1786/(B1786*B1786)</f>
        <v>35.569263609251415</v>
      </c>
      <c r="G1786" t="str">
        <f t="shared" si="110"/>
        <v>Obese</v>
      </c>
      <c r="H1786" t="str">
        <f t="shared" si="111"/>
        <v>OK</v>
      </c>
      <c r="I1786" t="str">
        <f t="shared" si="108"/>
        <v>OK</v>
      </c>
    </row>
    <row r="1787" spans="1:9" x14ac:dyDescent="0.2">
      <c r="A1787" t="str">
        <f>ObesityDataSet_raw_and_data_sin!A1787</f>
        <v>Male</v>
      </c>
      <c r="B1787">
        <f>ObesityDataSet_raw_and_data_sin!C1787</f>
        <v>1.774983</v>
      </c>
      <c r="C1787">
        <f>ObesityDataSet_raw_and_data_sin!D1787</f>
        <v>119.08180400000001</v>
      </c>
      <c r="D1787" t="str">
        <f>ObesityDataSet_raw_and_data_sin!Q1787</f>
        <v>Obesity_Type_II</v>
      </c>
      <c r="E1787" t="b">
        <f t="shared" si="109"/>
        <v>0</v>
      </c>
      <c r="F1787">
        <f>C1787/(B1787*B1787)</f>
        <v>37.796972040893266</v>
      </c>
      <c r="G1787" t="str">
        <f t="shared" si="110"/>
        <v>Obese</v>
      </c>
      <c r="H1787" t="str">
        <f t="shared" si="111"/>
        <v>OK</v>
      </c>
      <c r="I1787" t="str">
        <f t="shared" si="108"/>
        <v>OK</v>
      </c>
    </row>
    <row r="1788" spans="1:9" x14ac:dyDescent="0.2">
      <c r="A1788" t="str">
        <f>ObesityDataSet_raw_and_data_sin!A1788</f>
        <v>Male</v>
      </c>
      <c r="B1788">
        <f>ObesityDataSet_raw_and_data_sin!C1788</f>
        <v>1.7896799999999999</v>
      </c>
      <c r="C1788">
        <f>ObesityDataSet_raw_and_data_sin!D1788</f>
        <v>118.436166</v>
      </c>
      <c r="D1788" t="str">
        <f>ObesityDataSet_raw_and_data_sin!Q1788</f>
        <v>Obesity_Type_II</v>
      </c>
      <c r="E1788" t="b">
        <f t="shared" si="109"/>
        <v>0</v>
      </c>
      <c r="F1788">
        <f>C1788/(B1788*B1788)</f>
        <v>36.977161527350702</v>
      </c>
      <c r="G1788" t="str">
        <f t="shared" si="110"/>
        <v>Obese</v>
      </c>
      <c r="H1788" t="str">
        <f t="shared" si="111"/>
        <v>OK</v>
      </c>
      <c r="I1788" t="str">
        <f t="shared" si="108"/>
        <v>OK</v>
      </c>
    </row>
    <row r="1789" spans="1:9" x14ac:dyDescent="0.2">
      <c r="A1789" t="str">
        <f>ObesityDataSet_raw_and_data_sin!A1789</f>
        <v>Male</v>
      </c>
      <c r="B1789">
        <f>ObesityDataSet_raw_and_data_sin!C1789</f>
        <v>1.8526640000000001</v>
      </c>
      <c r="C1789">
        <f>ObesityDataSet_raw_and_data_sin!D1789</f>
        <v>121.31025700000001</v>
      </c>
      <c r="D1789" t="str">
        <f>ObesityDataSet_raw_and_data_sin!Q1789</f>
        <v>Obesity_Type_II</v>
      </c>
      <c r="E1789" t="b">
        <f t="shared" si="109"/>
        <v>0</v>
      </c>
      <c r="F1789">
        <f>C1789/(B1789*B1789)</f>
        <v>35.343064035169718</v>
      </c>
      <c r="G1789" t="str">
        <f t="shared" si="110"/>
        <v>Obese</v>
      </c>
      <c r="H1789" t="str">
        <f t="shared" si="111"/>
        <v>OK</v>
      </c>
      <c r="I1789" t="str">
        <f t="shared" si="108"/>
        <v>OK</v>
      </c>
    </row>
    <row r="1790" spans="1:9" x14ac:dyDescent="0.2">
      <c r="A1790" t="str">
        <f>ObesityDataSet_raw_and_data_sin!A1790</f>
        <v>Male</v>
      </c>
      <c r="B1790">
        <f>ObesityDataSet_raw_and_data_sin!C1790</f>
        <v>1.8725609999999999</v>
      </c>
      <c r="C1790">
        <f>ObesityDataSet_raw_and_data_sin!D1790</f>
        <v>121.47107699999999</v>
      </c>
      <c r="D1790" t="str">
        <f>ObesityDataSet_raw_and_data_sin!Q1790</f>
        <v>Obesity_Type_II</v>
      </c>
      <c r="E1790" t="b">
        <f t="shared" si="109"/>
        <v>0</v>
      </c>
      <c r="F1790">
        <f>C1790/(B1790*B1790)</f>
        <v>34.641838603860705</v>
      </c>
      <c r="G1790" t="str">
        <f t="shared" si="110"/>
        <v>Obese</v>
      </c>
      <c r="H1790" t="str">
        <f t="shared" si="111"/>
        <v>OK</v>
      </c>
      <c r="I1790" t="str">
        <f t="shared" si="108"/>
        <v>OK</v>
      </c>
    </row>
    <row r="1791" spans="1:9" x14ac:dyDescent="0.2">
      <c r="A1791" t="str">
        <f>ObesityDataSet_raw_and_data_sin!A1791</f>
        <v>Male</v>
      </c>
      <c r="B1791">
        <f>ObesityDataSet_raw_and_data_sin!C1791</f>
        <v>1.81955</v>
      </c>
      <c r="C1791">
        <f>ObesityDataSet_raw_and_data_sin!D1791</f>
        <v>120.77543900000001</v>
      </c>
      <c r="D1791" t="str">
        <f>ObesityDataSet_raw_and_data_sin!Q1791</f>
        <v>Obesity_Type_II</v>
      </c>
      <c r="E1791" t="b">
        <f t="shared" si="109"/>
        <v>0</v>
      </c>
      <c r="F1791">
        <f>C1791/(B1791*B1791)</f>
        <v>36.479647770776438</v>
      </c>
      <c r="G1791" t="str">
        <f t="shared" si="110"/>
        <v>Obese</v>
      </c>
      <c r="H1791" t="str">
        <f t="shared" si="111"/>
        <v>OK</v>
      </c>
      <c r="I1791" t="str">
        <f t="shared" si="108"/>
        <v>OK</v>
      </c>
    </row>
    <row r="1792" spans="1:9" x14ac:dyDescent="0.2">
      <c r="A1792" t="str">
        <f>ObesityDataSet_raw_and_data_sin!A1792</f>
        <v>Male</v>
      </c>
      <c r="B1792">
        <f>ObesityDataSet_raw_and_data_sin!C1792</f>
        <v>1.8155140000000001</v>
      </c>
      <c r="C1792">
        <f>ObesityDataSet_raw_and_data_sin!D1792</f>
        <v>120.337664</v>
      </c>
      <c r="D1792" t="str">
        <f>ObesityDataSet_raw_and_data_sin!Q1792</f>
        <v>Obesity_Type_II</v>
      </c>
      <c r="E1792" t="b">
        <f t="shared" si="109"/>
        <v>0</v>
      </c>
      <c r="F1792">
        <f>C1792/(B1792*B1792)</f>
        <v>36.50920466882468</v>
      </c>
      <c r="G1792" t="str">
        <f t="shared" si="110"/>
        <v>Obese</v>
      </c>
      <c r="H1792" t="str">
        <f t="shared" si="111"/>
        <v>OK</v>
      </c>
      <c r="I1792" t="str">
        <f t="shared" si="108"/>
        <v>OK</v>
      </c>
    </row>
    <row r="1793" spans="1:9" x14ac:dyDescent="0.2">
      <c r="A1793" t="str">
        <f>ObesityDataSet_raw_and_data_sin!A1793</f>
        <v>Male</v>
      </c>
      <c r="B1793">
        <f>ObesityDataSet_raw_and_data_sin!C1793</f>
        <v>1.6140749999999999</v>
      </c>
      <c r="C1793">
        <f>ObesityDataSet_raw_and_data_sin!D1793</f>
        <v>100.245302</v>
      </c>
      <c r="D1793" t="str">
        <f>ObesityDataSet_raw_and_data_sin!Q1793</f>
        <v>Obesity_Type_II</v>
      </c>
      <c r="E1793" t="b">
        <f t="shared" si="109"/>
        <v>0</v>
      </c>
      <c r="F1793">
        <f>C1793/(B1793*B1793)</f>
        <v>38.478364715900327</v>
      </c>
      <c r="G1793" t="str">
        <f t="shared" si="110"/>
        <v>Obese</v>
      </c>
      <c r="H1793" t="str">
        <f t="shared" si="111"/>
        <v>OK</v>
      </c>
      <c r="I1793" t="str">
        <f t="shared" si="108"/>
        <v>OK</v>
      </c>
    </row>
    <row r="1794" spans="1:9" x14ac:dyDescent="0.2">
      <c r="A1794" t="str">
        <f>ObesityDataSet_raw_and_data_sin!A1794</f>
        <v>Male</v>
      </c>
      <c r="B1794">
        <f>ObesityDataSet_raw_and_data_sin!C1794</f>
        <v>1.609418</v>
      </c>
      <c r="C1794">
        <f>ObesityDataSet_raw_and_data_sin!D1794</f>
        <v>100.078367</v>
      </c>
      <c r="D1794" t="str">
        <f>ObesityDataSet_raw_and_data_sin!Q1794</f>
        <v>Obesity_Type_II</v>
      </c>
      <c r="E1794" t="b">
        <f t="shared" si="109"/>
        <v>0</v>
      </c>
      <c r="F1794">
        <f>C1794/(B1794*B1794)</f>
        <v>38.636920275769228</v>
      </c>
      <c r="G1794" t="str">
        <f t="shared" si="110"/>
        <v>Obese</v>
      </c>
      <c r="H1794" t="str">
        <f t="shared" si="111"/>
        <v>OK</v>
      </c>
      <c r="I1794" t="str">
        <f t="shared" ref="I1794:I1857" si="112">IF(AND(LEFT(D1794,10)="Overweight",G1794&lt;&gt;"Overweight"),"ERROR","OK")</f>
        <v>OK</v>
      </c>
    </row>
    <row r="1795" spans="1:9" x14ac:dyDescent="0.2">
      <c r="A1795" t="str">
        <f>ObesityDataSet_raw_and_data_sin!A1795</f>
        <v>Male</v>
      </c>
      <c r="B1795">
        <f>ObesityDataSet_raw_and_data_sin!C1795</f>
        <v>1.6501889999999999</v>
      </c>
      <c r="C1795">
        <f>ObesityDataSet_raw_and_data_sin!D1795</f>
        <v>101.141277</v>
      </c>
      <c r="D1795" t="str">
        <f>ObesityDataSet_raw_and_data_sin!Q1795</f>
        <v>Obesity_Type_II</v>
      </c>
      <c r="E1795" t="b">
        <f t="shared" ref="E1795:E1858" si="113">IF(AND(A1795="Female", B1795&lt;1.5), TRUE, IF(AND(A1795="Male",B1795&lt;1.6),TRUE, FALSE))</f>
        <v>0</v>
      </c>
      <c r="F1795">
        <f>C1795/(B1795*B1795)</f>
        <v>37.141638359382476</v>
      </c>
      <c r="G1795" t="str">
        <f t="shared" ref="G1795:G1858" si="114">IF(E1795=TRUE,IF(F1795&lt;23,"Normal",IF(F1795&lt;25,"Overweight","Obese")),IF(F1795&lt;25,"Normal",IF(F1795&lt;30,"Overweight","Obese")))</f>
        <v>Obese</v>
      </c>
      <c r="H1795" t="str">
        <f t="shared" ref="H1795:H1858" si="115">IF(AND(D1795="Normal_Weight",G1795&lt;&gt;"Normal"),"ERROR","OK")</f>
        <v>OK</v>
      </c>
      <c r="I1795" t="str">
        <f t="shared" si="112"/>
        <v>OK</v>
      </c>
    </row>
    <row r="1796" spans="1:9" x14ac:dyDescent="0.2">
      <c r="A1796" t="str">
        <f>ObesityDataSet_raw_and_data_sin!A1796</f>
        <v>Male</v>
      </c>
      <c r="B1796">
        <f>ObesityDataSet_raw_and_data_sin!C1796</f>
        <v>1.6538759999999999</v>
      </c>
      <c r="C1796">
        <f>ObesityDataSet_raw_and_data_sin!D1796</f>
        <v>102.583895</v>
      </c>
      <c r="D1796" t="str">
        <f>ObesityDataSet_raw_and_data_sin!Q1796</f>
        <v>Obesity_Type_II</v>
      </c>
      <c r="E1796" t="b">
        <f t="shared" si="113"/>
        <v>0</v>
      </c>
      <c r="F1796">
        <f>C1796/(B1796*B1796)</f>
        <v>37.503629072594066</v>
      </c>
      <c r="G1796" t="str">
        <f t="shared" si="114"/>
        <v>Obese</v>
      </c>
      <c r="H1796" t="str">
        <f t="shared" si="115"/>
        <v>OK</v>
      </c>
      <c r="I1796" t="str">
        <f t="shared" si="112"/>
        <v>OK</v>
      </c>
    </row>
    <row r="1797" spans="1:9" x14ac:dyDescent="0.2">
      <c r="A1797" t="str">
        <f>ObesityDataSet_raw_and_data_sin!A1797</f>
        <v>Male</v>
      </c>
      <c r="B1797">
        <f>ObesityDataSet_raw_and_data_sin!C1797</f>
        <v>1.657132</v>
      </c>
      <c r="C1797">
        <f>ObesityDataSet_raw_and_data_sin!D1797</f>
        <v>105.58049099999999</v>
      </c>
      <c r="D1797" t="str">
        <f>ObesityDataSet_raw_and_data_sin!Q1797</f>
        <v>Obesity_Type_II</v>
      </c>
      <c r="E1797" t="b">
        <f t="shared" si="113"/>
        <v>0</v>
      </c>
      <c r="F1797">
        <f>C1797/(B1797*B1797)</f>
        <v>38.447620761168636</v>
      </c>
      <c r="G1797" t="str">
        <f t="shared" si="114"/>
        <v>Obese</v>
      </c>
      <c r="H1797" t="str">
        <f t="shared" si="115"/>
        <v>OK</v>
      </c>
      <c r="I1797" t="str">
        <f t="shared" si="112"/>
        <v>OK</v>
      </c>
    </row>
    <row r="1798" spans="1:9" x14ac:dyDescent="0.2">
      <c r="A1798" t="str">
        <f>ObesityDataSet_raw_and_data_sin!A1798</f>
        <v>Male</v>
      </c>
      <c r="B1798">
        <f>ObesityDataSet_raw_and_data_sin!C1798</f>
        <v>1.6447510000000001</v>
      </c>
      <c r="C1798">
        <f>ObesityDataSet_raw_and_data_sin!D1798</f>
        <v>101.067988</v>
      </c>
      <c r="D1798" t="str">
        <f>ObesityDataSet_raw_and_data_sin!Q1798</f>
        <v>Obesity_Type_II</v>
      </c>
      <c r="E1798" t="b">
        <f t="shared" si="113"/>
        <v>0</v>
      </c>
      <c r="F1798">
        <f>C1798/(B1798*B1798)</f>
        <v>37.360553513974367</v>
      </c>
      <c r="G1798" t="str">
        <f t="shared" si="114"/>
        <v>Obese</v>
      </c>
      <c r="H1798" t="str">
        <f t="shared" si="115"/>
        <v>OK</v>
      </c>
      <c r="I1798" t="str">
        <f t="shared" si="112"/>
        <v>OK</v>
      </c>
    </row>
    <row r="1799" spans="1:9" x14ac:dyDescent="0.2">
      <c r="A1799" t="str">
        <f>ObesityDataSet_raw_and_data_sin!A1799</f>
        <v>Male</v>
      </c>
      <c r="B1799">
        <f>ObesityDataSet_raw_and_data_sin!C1799</f>
        <v>1.6607609999999999</v>
      </c>
      <c r="C1799">
        <f>ObesityDataSet_raw_and_data_sin!D1799</f>
        <v>104.32146299999999</v>
      </c>
      <c r="D1799" t="str">
        <f>ObesityDataSet_raw_and_data_sin!Q1799</f>
        <v>Obesity_Type_II</v>
      </c>
      <c r="E1799" t="b">
        <f t="shared" si="113"/>
        <v>0</v>
      </c>
      <c r="F1799">
        <f>C1799/(B1799*B1799)</f>
        <v>37.82329793041324</v>
      </c>
      <c r="G1799" t="str">
        <f t="shared" si="114"/>
        <v>Obese</v>
      </c>
      <c r="H1799" t="str">
        <f t="shared" si="115"/>
        <v>OK</v>
      </c>
      <c r="I1799" t="str">
        <f t="shared" si="112"/>
        <v>OK</v>
      </c>
    </row>
    <row r="1800" spans="1:9" x14ac:dyDescent="0.2">
      <c r="A1800" t="str">
        <f>ObesityDataSet_raw_and_data_sin!A1800</f>
        <v>Male</v>
      </c>
      <c r="B1800">
        <f>ObesityDataSet_raw_and_data_sin!C1800</f>
        <v>1.6915100000000001</v>
      </c>
      <c r="C1800">
        <f>ObesityDataSet_raw_and_data_sin!D1800</f>
        <v>102.59518</v>
      </c>
      <c r="D1800" t="str">
        <f>ObesityDataSet_raw_and_data_sin!Q1800</f>
        <v>Obesity_Type_II</v>
      </c>
      <c r="E1800" t="b">
        <f t="shared" si="113"/>
        <v>0</v>
      </c>
      <c r="F1800">
        <f>C1800/(B1800*B1800)</f>
        <v>35.857319300962153</v>
      </c>
      <c r="G1800" t="str">
        <f t="shared" si="114"/>
        <v>Obese</v>
      </c>
      <c r="H1800" t="str">
        <f t="shared" si="115"/>
        <v>OK</v>
      </c>
      <c r="I1800" t="str">
        <f t="shared" si="112"/>
        <v>OK</v>
      </c>
    </row>
    <row r="1801" spans="1:9" x14ac:dyDescent="0.2">
      <c r="A1801" t="str">
        <f>ObesityDataSet_raw_and_data_sin!A1801</f>
        <v>Female</v>
      </c>
      <c r="B1801">
        <f>ObesityDataSet_raw_and_data_sin!C1801</f>
        <v>1.611462</v>
      </c>
      <c r="C1801">
        <f>ObesityDataSet_raw_and_data_sin!D1801</f>
        <v>102.09322299999999</v>
      </c>
      <c r="D1801" t="str">
        <f>ObesityDataSet_raw_and_data_sin!Q1801</f>
        <v>Obesity_Type_III</v>
      </c>
      <c r="E1801" t="b">
        <f t="shared" si="113"/>
        <v>0</v>
      </c>
      <c r="F1801">
        <f>C1801/(B1801*B1801)</f>
        <v>39.314863909858197</v>
      </c>
      <c r="G1801" t="str">
        <f t="shared" si="114"/>
        <v>Obese</v>
      </c>
      <c r="H1801" t="str">
        <f t="shared" si="115"/>
        <v>OK</v>
      </c>
      <c r="I1801" t="str">
        <f t="shared" si="112"/>
        <v>OK</v>
      </c>
    </row>
    <row r="1802" spans="1:9" x14ac:dyDescent="0.2">
      <c r="A1802" t="str">
        <f>ObesityDataSet_raw_and_data_sin!A1802</f>
        <v>Female</v>
      </c>
      <c r="B1802">
        <f>ObesityDataSet_raw_and_data_sin!C1802</f>
        <v>1.5847819999999999</v>
      </c>
      <c r="C1802">
        <f>ObesityDataSet_raw_and_data_sin!D1802</f>
        <v>105.05559700000001</v>
      </c>
      <c r="D1802" t="str">
        <f>ObesityDataSet_raw_and_data_sin!Q1802</f>
        <v>Obesity_Type_III</v>
      </c>
      <c r="E1802" t="b">
        <f t="shared" si="113"/>
        <v>0</v>
      </c>
      <c r="F1802">
        <f>C1802/(B1802*B1802)</f>
        <v>41.829255555314724</v>
      </c>
      <c r="G1802" t="str">
        <f t="shared" si="114"/>
        <v>Obese</v>
      </c>
      <c r="H1802" t="str">
        <f t="shared" si="115"/>
        <v>OK</v>
      </c>
      <c r="I1802" t="str">
        <f t="shared" si="112"/>
        <v>OK</v>
      </c>
    </row>
    <row r="1803" spans="1:9" x14ac:dyDescent="0.2">
      <c r="A1803" t="str">
        <f>ObesityDataSet_raw_and_data_sin!A1803</f>
        <v>Female</v>
      </c>
      <c r="B1803">
        <f>ObesityDataSet_raw_and_data_sin!C1803</f>
        <v>1.792378</v>
      </c>
      <c r="C1803">
        <f>ObesityDataSet_raw_and_data_sin!D1803</f>
        <v>137.859737</v>
      </c>
      <c r="D1803" t="str">
        <f>ObesityDataSet_raw_and_data_sin!Q1803</f>
        <v>Obesity_Type_III</v>
      </c>
      <c r="E1803" t="b">
        <f t="shared" si="113"/>
        <v>0</v>
      </c>
      <c r="F1803">
        <f>C1803/(B1803*B1803)</f>
        <v>42.911948634659879</v>
      </c>
      <c r="G1803" t="str">
        <f t="shared" si="114"/>
        <v>Obese</v>
      </c>
      <c r="H1803" t="str">
        <f t="shared" si="115"/>
        <v>OK</v>
      </c>
      <c r="I1803" t="str">
        <f t="shared" si="112"/>
        <v>OK</v>
      </c>
    </row>
    <row r="1804" spans="1:9" x14ac:dyDescent="0.2">
      <c r="A1804" t="str">
        <f>ObesityDataSet_raw_and_data_sin!A1804</f>
        <v>Female</v>
      </c>
      <c r="B1804">
        <f>ObesityDataSet_raw_and_data_sin!C1804</f>
        <v>1.802257</v>
      </c>
      <c r="C1804">
        <f>ObesityDataSet_raw_and_data_sin!D1804</f>
        <v>149.93584799999999</v>
      </c>
      <c r="D1804" t="str">
        <f>ObesityDataSet_raw_and_data_sin!Q1804</f>
        <v>Obesity_Type_III</v>
      </c>
      <c r="E1804" t="b">
        <f t="shared" si="113"/>
        <v>0</v>
      </c>
      <c r="F1804">
        <f>C1804/(B1804*B1804)</f>
        <v>46.160663035809279</v>
      </c>
      <c r="G1804" t="str">
        <f t="shared" si="114"/>
        <v>Obese</v>
      </c>
      <c r="H1804" t="str">
        <f t="shared" si="115"/>
        <v>OK</v>
      </c>
      <c r="I1804" t="str">
        <f t="shared" si="112"/>
        <v>OK</v>
      </c>
    </row>
    <row r="1805" spans="1:9" x14ac:dyDescent="0.2">
      <c r="A1805" t="str">
        <f>ObesityDataSet_raw_and_data_sin!A1805</f>
        <v>Female</v>
      </c>
      <c r="B1805">
        <f>ObesityDataSet_raw_and_data_sin!C1805</f>
        <v>1.65632</v>
      </c>
      <c r="C1805">
        <f>ObesityDataSet_raw_and_data_sin!D1805</f>
        <v>111.93301</v>
      </c>
      <c r="D1805" t="str">
        <f>ObesityDataSet_raw_and_data_sin!Q1805</f>
        <v>Obesity_Type_III</v>
      </c>
      <c r="E1805" t="b">
        <f t="shared" si="113"/>
        <v>0</v>
      </c>
      <c r="F1805">
        <f>C1805/(B1805*B1805)</f>
        <v>40.800895076806832</v>
      </c>
      <c r="G1805" t="str">
        <f t="shared" si="114"/>
        <v>Obese</v>
      </c>
      <c r="H1805" t="str">
        <f t="shared" si="115"/>
        <v>OK</v>
      </c>
      <c r="I1805" t="str">
        <f t="shared" si="112"/>
        <v>OK</v>
      </c>
    </row>
    <row r="1806" spans="1:9" x14ac:dyDescent="0.2">
      <c r="A1806" t="str">
        <f>ObesityDataSet_raw_and_data_sin!A1806</f>
        <v>Female</v>
      </c>
      <c r="B1806">
        <f>ObesityDataSet_raw_and_data_sin!C1806</f>
        <v>1.600762</v>
      </c>
      <c r="C1806">
        <f>ObesityDataSet_raw_and_data_sin!D1806</f>
        <v>105.44826399999999</v>
      </c>
      <c r="D1806" t="str">
        <f>ObesityDataSet_raw_and_data_sin!Q1806</f>
        <v>Obesity_Type_III</v>
      </c>
      <c r="E1806" t="b">
        <f t="shared" si="113"/>
        <v>0</v>
      </c>
      <c r="F1806">
        <f>C1806/(B1806*B1806)</f>
        <v>41.151521966582955</v>
      </c>
      <c r="G1806" t="str">
        <f t="shared" si="114"/>
        <v>Obese</v>
      </c>
      <c r="H1806" t="str">
        <f t="shared" si="115"/>
        <v>OK</v>
      </c>
      <c r="I1806" t="str">
        <f t="shared" si="112"/>
        <v>OK</v>
      </c>
    </row>
    <row r="1807" spans="1:9" x14ac:dyDescent="0.2">
      <c r="A1807" t="str">
        <f>ObesityDataSet_raw_and_data_sin!A1807</f>
        <v>Female</v>
      </c>
      <c r="B1807">
        <f>ObesityDataSet_raw_and_data_sin!C1807</f>
        <v>1.678658</v>
      </c>
      <c r="C1807">
        <f>ObesityDataSet_raw_and_data_sin!D1807</f>
        <v>104.95483400000001</v>
      </c>
      <c r="D1807" t="str">
        <f>ObesityDataSet_raw_and_data_sin!Q1807</f>
        <v>Obesity_Type_III</v>
      </c>
      <c r="E1807" t="b">
        <f t="shared" si="113"/>
        <v>0</v>
      </c>
      <c r="F1807">
        <f>C1807/(B1807*B1807)</f>
        <v>37.245859187261523</v>
      </c>
      <c r="G1807" t="str">
        <f t="shared" si="114"/>
        <v>Obese</v>
      </c>
      <c r="H1807" t="str">
        <f t="shared" si="115"/>
        <v>OK</v>
      </c>
      <c r="I1807" t="str">
        <f t="shared" si="112"/>
        <v>OK</v>
      </c>
    </row>
    <row r="1808" spans="1:9" x14ac:dyDescent="0.2">
      <c r="A1808" t="str">
        <f>ObesityDataSet_raw_and_data_sin!A1808</f>
        <v>Female</v>
      </c>
      <c r="B1808">
        <f>ObesityDataSet_raw_and_data_sin!C1808</f>
        <v>1.6782010000000001</v>
      </c>
      <c r="C1808">
        <f>ObesityDataSet_raw_and_data_sin!D1808</f>
        <v>109.90047199999999</v>
      </c>
      <c r="D1808" t="str">
        <f>ObesityDataSet_raw_and_data_sin!Q1808</f>
        <v>Obesity_Type_III</v>
      </c>
      <c r="E1808" t="b">
        <f t="shared" si="113"/>
        <v>0</v>
      </c>
      <c r="F1808">
        <f>C1808/(B1808*B1808)</f>
        <v>39.022187068237983</v>
      </c>
      <c r="G1808" t="str">
        <f t="shared" si="114"/>
        <v>Obese</v>
      </c>
      <c r="H1808" t="str">
        <f t="shared" si="115"/>
        <v>OK</v>
      </c>
      <c r="I1808" t="str">
        <f t="shared" si="112"/>
        <v>OK</v>
      </c>
    </row>
    <row r="1809" spans="1:9" x14ac:dyDescent="0.2">
      <c r="A1809" t="str">
        <f>ObesityDataSet_raw_and_data_sin!A1809</f>
        <v>Female</v>
      </c>
      <c r="B1809">
        <f>ObesityDataSet_raw_and_data_sin!C1809</f>
        <v>1.6556299999999999</v>
      </c>
      <c r="C1809">
        <f>ObesityDataSet_raw_and_data_sin!D1809</f>
        <v>121.20517100000001</v>
      </c>
      <c r="D1809" t="str">
        <f>ObesityDataSet_raw_and_data_sin!Q1809</f>
        <v>Obesity_Type_III</v>
      </c>
      <c r="E1809" t="b">
        <f t="shared" si="113"/>
        <v>0</v>
      </c>
      <c r="F1809">
        <f>C1809/(B1809*B1809)</f>
        <v>44.217539677282787</v>
      </c>
      <c r="G1809" t="str">
        <f t="shared" si="114"/>
        <v>Obese</v>
      </c>
      <c r="H1809" t="str">
        <f t="shared" si="115"/>
        <v>OK</v>
      </c>
      <c r="I1809" t="str">
        <f t="shared" si="112"/>
        <v>OK</v>
      </c>
    </row>
    <row r="1810" spans="1:9" x14ac:dyDescent="0.2">
      <c r="A1810" t="str">
        <f>ObesityDataSet_raw_and_data_sin!A1810</f>
        <v>Female</v>
      </c>
      <c r="B1810">
        <f>ObesityDataSet_raw_and_data_sin!C1810</f>
        <v>1.694952</v>
      </c>
      <c r="C1810">
        <f>ObesityDataSet_raw_and_data_sin!D1810</f>
        <v>133.76472999999999</v>
      </c>
      <c r="D1810" t="str">
        <f>ObesityDataSet_raw_and_data_sin!Q1810</f>
        <v>Obesity_Type_III</v>
      </c>
      <c r="E1810" t="b">
        <f t="shared" si="113"/>
        <v>0</v>
      </c>
      <c r="F1810">
        <f>C1810/(B1810*B1810)</f>
        <v>46.561483585186799</v>
      </c>
      <c r="G1810" t="str">
        <f t="shared" si="114"/>
        <v>Obese</v>
      </c>
      <c r="H1810" t="str">
        <f t="shared" si="115"/>
        <v>OK</v>
      </c>
      <c r="I1810" t="str">
        <f t="shared" si="112"/>
        <v>OK</v>
      </c>
    </row>
    <row r="1811" spans="1:9" x14ac:dyDescent="0.2">
      <c r="A1811" t="str">
        <f>ObesityDataSet_raw_and_data_sin!A1811</f>
        <v>Female</v>
      </c>
      <c r="B1811">
        <f>ObesityDataSet_raw_and_data_sin!C1811</f>
        <v>1.622771</v>
      </c>
      <c r="C1811">
        <f>ObesityDataSet_raw_and_data_sin!D1811</f>
        <v>109.95971400000001</v>
      </c>
      <c r="D1811" t="str">
        <f>ObesityDataSet_raw_and_data_sin!Q1811</f>
        <v>Obesity_Type_III</v>
      </c>
      <c r="E1811" t="b">
        <f t="shared" si="113"/>
        <v>0</v>
      </c>
      <c r="F1811">
        <f>C1811/(B1811*B1811)</f>
        <v>41.756022761867811</v>
      </c>
      <c r="G1811" t="str">
        <f t="shared" si="114"/>
        <v>Obese</v>
      </c>
      <c r="H1811" t="str">
        <f t="shared" si="115"/>
        <v>OK</v>
      </c>
      <c r="I1811" t="str">
        <f t="shared" si="112"/>
        <v>OK</v>
      </c>
    </row>
    <row r="1812" spans="1:9" x14ac:dyDescent="0.2">
      <c r="A1812" t="str">
        <f>ObesityDataSet_raw_and_data_sin!A1812</f>
        <v>Female</v>
      </c>
      <c r="B1812">
        <f>ObesityDataSet_raw_and_data_sin!C1812</f>
        <v>1.5838890000000001</v>
      </c>
      <c r="C1812">
        <f>ObesityDataSet_raw_and_data_sin!D1812</f>
        <v>110.545378</v>
      </c>
      <c r="D1812" t="str">
        <f>ObesityDataSet_raw_and_data_sin!Q1812</f>
        <v>Obesity_Type_III</v>
      </c>
      <c r="E1812" t="b">
        <f t="shared" si="113"/>
        <v>0</v>
      </c>
      <c r="F1812">
        <f>C1812/(B1812*B1812)</f>
        <v>44.064729017968581</v>
      </c>
      <c r="G1812" t="str">
        <f t="shared" si="114"/>
        <v>Obese</v>
      </c>
      <c r="H1812" t="str">
        <f t="shared" si="115"/>
        <v>OK</v>
      </c>
      <c r="I1812" t="str">
        <f t="shared" si="112"/>
        <v>OK</v>
      </c>
    </row>
    <row r="1813" spans="1:9" x14ac:dyDescent="0.2">
      <c r="A1813" t="str">
        <f>ObesityDataSet_raw_and_data_sin!A1813</f>
        <v>Female</v>
      </c>
      <c r="B1813">
        <f>ObesityDataSet_raw_and_data_sin!C1813</f>
        <v>1.7290449999999999</v>
      </c>
      <c r="C1813">
        <f>ObesityDataSet_raw_and_data_sin!D1813</f>
        <v>131.529267</v>
      </c>
      <c r="D1813" t="str">
        <f>ObesityDataSet_raw_and_data_sin!Q1813</f>
        <v>Obesity_Type_III</v>
      </c>
      <c r="E1813" t="b">
        <f t="shared" si="113"/>
        <v>0</v>
      </c>
      <c r="F1813">
        <f>C1813/(B1813*B1813)</f>
        <v>43.995656962866576</v>
      </c>
      <c r="G1813" t="str">
        <f t="shared" si="114"/>
        <v>Obese</v>
      </c>
      <c r="H1813" t="str">
        <f t="shared" si="115"/>
        <v>OK</v>
      </c>
      <c r="I1813" t="str">
        <f t="shared" si="112"/>
        <v>OK</v>
      </c>
    </row>
    <row r="1814" spans="1:9" x14ac:dyDescent="0.2">
      <c r="A1814" t="str">
        <f>ObesityDataSet_raw_and_data_sin!A1814</f>
        <v>Female</v>
      </c>
      <c r="B1814">
        <f>ObesityDataSet_raw_and_data_sin!C1814</f>
        <v>1.664622</v>
      </c>
      <c r="C1814">
        <f>ObesityDataSet_raw_and_data_sin!D1814</f>
        <v>114.465425</v>
      </c>
      <c r="D1814" t="str">
        <f>ObesityDataSet_raw_and_data_sin!Q1814</f>
        <v>Obesity_Type_III</v>
      </c>
      <c r="E1814" t="b">
        <f t="shared" si="113"/>
        <v>0</v>
      </c>
      <c r="F1814">
        <f>C1814/(B1814*B1814)</f>
        <v>41.308846213676674</v>
      </c>
      <c r="G1814" t="str">
        <f t="shared" si="114"/>
        <v>Obese</v>
      </c>
      <c r="H1814" t="str">
        <f t="shared" si="115"/>
        <v>OK</v>
      </c>
      <c r="I1814" t="str">
        <f t="shared" si="112"/>
        <v>OK</v>
      </c>
    </row>
    <row r="1815" spans="1:9" x14ac:dyDescent="0.2">
      <c r="A1815" t="str">
        <f>ObesityDataSet_raw_and_data_sin!A1815</f>
        <v>Female</v>
      </c>
      <c r="B1815">
        <f>ObesityDataSet_raw_and_data_sin!C1815</f>
        <v>1.747773</v>
      </c>
      <c r="C1815">
        <f>ObesityDataSet_raw_and_data_sin!D1815</f>
        <v>127.902844</v>
      </c>
      <c r="D1815" t="str">
        <f>ObesityDataSet_raw_and_data_sin!Q1815</f>
        <v>Obesity_Type_III</v>
      </c>
      <c r="E1815" t="b">
        <f t="shared" si="113"/>
        <v>0</v>
      </c>
      <c r="F1815">
        <f>C1815/(B1815*B1815)</f>
        <v>41.870693047524078</v>
      </c>
      <c r="G1815" t="str">
        <f t="shared" si="114"/>
        <v>Obese</v>
      </c>
      <c r="H1815" t="str">
        <f t="shared" si="115"/>
        <v>OK</v>
      </c>
      <c r="I1815" t="str">
        <f t="shared" si="112"/>
        <v>OK</v>
      </c>
    </row>
    <row r="1816" spans="1:9" x14ac:dyDescent="0.2">
      <c r="A1816" t="str">
        <f>ObesityDataSet_raw_and_data_sin!A1816</f>
        <v>Female</v>
      </c>
      <c r="B1816">
        <f>ObesityDataSet_raw_and_data_sin!C1816</f>
        <v>1.730113</v>
      </c>
      <c r="C1816">
        <f>ObesityDataSet_raw_and_data_sin!D1816</f>
        <v>152.09436199999999</v>
      </c>
      <c r="D1816" t="str">
        <f>ObesityDataSet_raw_and_data_sin!Q1816</f>
        <v>Obesity_Type_III</v>
      </c>
      <c r="E1816" t="b">
        <f t="shared" si="113"/>
        <v>0</v>
      </c>
      <c r="F1816">
        <f>C1816/(B1816*B1816)</f>
        <v>50.811752805664327</v>
      </c>
      <c r="G1816" t="str">
        <f t="shared" si="114"/>
        <v>Obese</v>
      </c>
      <c r="H1816" t="str">
        <f t="shared" si="115"/>
        <v>OK</v>
      </c>
      <c r="I1816" t="str">
        <f t="shared" si="112"/>
        <v>OK</v>
      </c>
    </row>
    <row r="1817" spans="1:9" x14ac:dyDescent="0.2">
      <c r="A1817" t="str">
        <f>ObesityDataSet_raw_and_data_sin!A1817</f>
        <v>Female</v>
      </c>
      <c r="B1817">
        <f>ObesityDataSet_raw_and_data_sin!C1817</f>
        <v>1.7466520000000001</v>
      </c>
      <c r="C1817">
        <f>ObesityDataSet_raw_and_data_sin!D1817</f>
        <v>133.800129</v>
      </c>
      <c r="D1817" t="str">
        <f>ObesityDataSet_raw_and_data_sin!Q1817</f>
        <v>Obesity_Type_III</v>
      </c>
      <c r="E1817" t="b">
        <f t="shared" si="113"/>
        <v>0</v>
      </c>
      <c r="F1817">
        <f>C1817/(B1817*B1817)</f>
        <v>43.857488800198389</v>
      </c>
      <c r="G1817" t="str">
        <f t="shared" si="114"/>
        <v>Obese</v>
      </c>
      <c r="H1817" t="str">
        <f t="shared" si="115"/>
        <v>OK</v>
      </c>
      <c r="I1817" t="str">
        <f t="shared" si="112"/>
        <v>OK</v>
      </c>
    </row>
    <row r="1818" spans="1:9" x14ac:dyDescent="0.2">
      <c r="A1818" t="str">
        <f>ObesityDataSet_raw_and_data_sin!A1818</f>
        <v>Female</v>
      </c>
      <c r="B1818">
        <f>ObesityDataSet_raw_and_data_sin!C1818</f>
        <v>1.719365</v>
      </c>
      <c r="C1818">
        <f>ObesityDataSet_raw_and_data_sin!D1818</f>
        <v>114.511537</v>
      </c>
      <c r="D1818" t="str">
        <f>ObesityDataSet_raw_and_data_sin!Q1818</f>
        <v>Obesity_Type_III</v>
      </c>
      <c r="E1818" t="b">
        <f t="shared" si="113"/>
        <v>0</v>
      </c>
      <c r="F1818">
        <f>C1818/(B1818*B1818)</f>
        <v>38.735849097317953</v>
      </c>
      <c r="G1818" t="str">
        <f t="shared" si="114"/>
        <v>Obese</v>
      </c>
      <c r="H1818" t="str">
        <f t="shared" si="115"/>
        <v>OK</v>
      </c>
      <c r="I1818" t="str">
        <f t="shared" si="112"/>
        <v>OK</v>
      </c>
    </row>
    <row r="1819" spans="1:9" x14ac:dyDescent="0.2">
      <c r="A1819" t="str">
        <f>ObesityDataSet_raw_and_data_sin!A1819</f>
        <v>Female</v>
      </c>
      <c r="B1819">
        <f>ObesityDataSet_raw_and_data_sin!C1819</f>
        <v>1.632377</v>
      </c>
      <c r="C1819">
        <f>ObesityDataSet_raw_and_data_sin!D1819</f>
        <v>111.94665500000001</v>
      </c>
      <c r="D1819" t="str">
        <f>ObesityDataSet_raw_and_data_sin!Q1819</f>
        <v>Obesity_Type_III</v>
      </c>
      <c r="E1819" t="b">
        <f t="shared" si="113"/>
        <v>0</v>
      </c>
      <c r="F1819">
        <f>C1819/(B1819*B1819)</f>
        <v>42.011693393118179</v>
      </c>
      <c r="G1819" t="str">
        <f t="shared" si="114"/>
        <v>Obese</v>
      </c>
      <c r="H1819" t="str">
        <f t="shared" si="115"/>
        <v>OK</v>
      </c>
      <c r="I1819" t="str">
        <f t="shared" si="112"/>
        <v>OK</v>
      </c>
    </row>
    <row r="1820" spans="1:9" x14ac:dyDescent="0.2">
      <c r="A1820" t="str">
        <f>ObesityDataSet_raw_and_data_sin!A1820</f>
        <v>Female</v>
      </c>
      <c r="B1820">
        <f>ObesityDataSet_raw_and_data_sin!C1820</f>
        <v>1.6425719999999999</v>
      </c>
      <c r="C1820">
        <f>ObesityDataSet_raw_and_data_sin!D1820</f>
        <v>111.86816899999999</v>
      </c>
      <c r="D1820" t="str">
        <f>ObesityDataSet_raw_and_data_sin!Q1820</f>
        <v>Obesity_Type_III</v>
      </c>
      <c r="E1820" t="b">
        <f t="shared" si="113"/>
        <v>0</v>
      </c>
      <c r="F1820">
        <f>C1820/(B1820*B1820)</f>
        <v>41.462711425088827</v>
      </c>
      <c r="G1820" t="str">
        <f t="shared" si="114"/>
        <v>Obese</v>
      </c>
      <c r="H1820" t="str">
        <f t="shared" si="115"/>
        <v>OK</v>
      </c>
      <c r="I1820" t="str">
        <f t="shared" si="112"/>
        <v>OK</v>
      </c>
    </row>
    <row r="1821" spans="1:9" x14ac:dyDescent="0.2">
      <c r="A1821" t="str">
        <f>ObesityDataSet_raw_and_data_sin!A1821</f>
        <v>Female</v>
      </c>
      <c r="B1821">
        <f>ObesityDataSet_raw_and_data_sin!C1821</f>
        <v>1.6548750000000001</v>
      </c>
      <c r="C1821">
        <f>ObesityDataSet_raw_and_data_sin!D1821</f>
        <v>104.758713</v>
      </c>
      <c r="D1821" t="str">
        <f>ObesityDataSet_raw_and_data_sin!Q1821</f>
        <v>Obesity_Type_III</v>
      </c>
      <c r="E1821" t="b">
        <f t="shared" si="113"/>
        <v>0</v>
      </c>
      <c r="F1821">
        <f>C1821/(B1821*B1821)</f>
        <v>38.252494727867912</v>
      </c>
      <c r="G1821" t="str">
        <f t="shared" si="114"/>
        <v>Obese</v>
      </c>
      <c r="H1821" t="str">
        <f t="shared" si="115"/>
        <v>OK</v>
      </c>
      <c r="I1821" t="str">
        <f t="shared" si="112"/>
        <v>OK</v>
      </c>
    </row>
    <row r="1822" spans="1:9" x14ac:dyDescent="0.2">
      <c r="A1822" t="str">
        <f>ObesityDataSet_raw_and_data_sin!A1822</f>
        <v>Female</v>
      </c>
      <c r="B1822">
        <f>ObesityDataSet_raw_and_data_sin!C1822</f>
        <v>1.627567</v>
      </c>
      <c r="C1822">
        <f>ObesityDataSet_raw_and_data_sin!D1822</f>
        <v>107.482662</v>
      </c>
      <c r="D1822" t="str">
        <f>ObesityDataSet_raw_and_data_sin!Q1822</f>
        <v>Obesity_Type_III</v>
      </c>
      <c r="E1822" t="b">
        <f t="shared" si="113"/>
        <v>0</v>
      </c>
      <c r="F1822">
        <f>C1822/(B1822*B1822)</f>
        <v>40.575199388580685</v>
      </c>
      <c r="G1822" t="str">
        <f t="shared" si="114"/>
        <v>Obese</v>
      </c>
      <c r="H1822" t="str">
        <f t="shared" si="115"/>
        <v>OK</v>
      </c>
      <c r="I1822" t="str">
        <f t="shared" si="112"/>
        <v>OK</v>
      </c>
    </row>
    <row r="1823" spans="1:9" x14ac:dyDescent="0.2">
      <c r="A1823" t="str">
        <f>ObesityDataSet_raw_and_data_sin!A1823</f>
        <v>Female</v>
      </c>
      <c r="B1823">
        <f>ObesityDataSet_raw_and_data_sin!C1823</f>
        <v>1.7362759999999999</v>
      </c>
      <c r="C1823">
        <f>ObesityDataSet_raw_and_data_sin!D1823</f>
        <v>130.92713800000001</v>
      </c>
      <c r="D1823" t="str">
        <f>ObesityDataSet_raw_and_data_sin!Q1823</f>
        <v>Obesity_Type_III</v>
      </c>
      <c r="E1823" t="b">
        <f t="shared" si="113"/>
        <v>0</v>
      </c>
      <c r="F1823">
        <f>C1823/(B1823*B1823)</f>
        <v>43.430232085883006</v>
      </c>
      <c r="G1823" t="str">
        <f t="shared" si="114"/>
        <v>Obese</v>
      </c>
      <c r="H1823" t="str">
        <f t="shared" si="115"/>
        <v>OK</v>
      </c>
      <c r="I1823" t="str">
        <f t="shared" si="112"/>
        <v>OK</v>
      </c>
    </row>
    <row r="1824" spans="1:9" x14ac:dyDescent="0.2">
      <c r="A1824" t="str">
        <f>ObesityDataSet_raw_and_data_sin!A1824</f>
        <v>Female</v>
      </c>
      <c r="B1824">
        <f>ObesityDataSet_raw_and_data_sin!C1824</f>
        <v>1.7370559999999999</v>
      </c>
      <c r="C1824">
        <f>ObesityDataSet_raw_and_data_sin!D1824</f>
        <v>132.52701099999999</v>
      </c>
      <c r="D1824" t="str">
        <f>ObesityDataSet_raw_and_data_sin!Q1824</f>
        <v>Obesity_Type_III</v>
      </c>
      <c r="E1824" t="b">
        <f t="shared" si="113"/>
        <v>0</v>
      </c>
      <c r="F1824">
        <f>C1824/(B1824*B1824)</f>
        <v>43.921459555574955</v>
      </c>
      <c r="G1824" t="str">
        <f t="shared" si="114"/>
        <v>Obese</v>
      </c>
      <c r="H1824" t="str">
        <f t="shared" si="115"/>
        <v>OK</v>
      </c>
      <c r="I1824" t="str">
        <f t="shared" si="112"/>
        <v>OK</v>
      </c>
    </row>
    <row r="1825" spans="1:9" x14ac:dyDescent="0.2">
      <c r="A1825" t="str">
        <f>ObesityDataSet_raw_and_data_sin!A1825</f>
        <v>Female</v>
      </c>
      <c r="B1825">
        <f>ObesityDataSet_raw_and_data_sin!C1825</f>
        <v>1.5809679999999999</v>
      </c>
      <c r="C1825">
        <f>ObesityDataSet_raw_and_data_sin!D1825</f>
        <v>102.003378</v>
      </c>
      <c r="D1825" t="str">
        <f>ObesityDataSet_raw_and_data_sin!Q1825</f>
        <v>Obesity_Type_III</v>
      </c>
      <c r="E1825" t="b">
        <f t="shared" si="113"/>
        <v>0</v>
      </c>
      <c r="F1825">
        <f>C1825/(B1825*B1825)</f>
        <v>40.810169183456232</v>
      </c>
      <c r="G1825" t="str">
        <f t="shared" si="114"/>
        <v>Obese</v>
      </c>
      <c r="H1825" t="str">
        <f t="shared" si="115"/>
        <v>OK</v>
      </c>
      <c r="I1825" t="str">
        <f t="shared" si="112"/>
        <v>OK</v>
      </c>
    </row>
    <row r="1826" spans="1:9" x14ac:dyDescent="0.2">
      <c r="A1826" t="str">
        <f>ObesityDataSet_raw_and_data_sin!A1826</f>
        <v>Female</v>
      </c>
      <c r="B1826">
        <f>ObesityDataSet_raw_and_data_sin!C1826</f>
        <v>1.6071279999999999</v>
      </c>
      <c r="C1826">
        <f>ObesityDataSet_raw_and_data_sin!D1826</f>
        <v>103.026858</v>
      </c>
      <c r="D1826" t="str">
        <f>ObesityDataSet_raw_and_data_sin!Q1826</f>
        <v>Obesity_Type_III</v>
      </c>
      <c r="E1826" t="b">
        <f t="shared" si="113"/>
        <v>0</v>
      </c>
      <c r="F1826">
        <f>C1826/(B1826*B1826)</f>
        <v>39.88866671445868</v>
      </c>
      <c r="G1826" t="str">
        <f t="shared" si="114"/>
        <v>Obese</v>
      </c>
      <c r="H1826" t="str">
        <f t="shared" si="115"/>
        <v>OK</v>
      </c>
      <c r="I1826" t="str">
        <f t="shared" si="112"/>
        <v>OK</v>
      </c>
    </row>
    <row r="1827" spans="1:9" x14ac:dyDescent="0.2">
      <c r="A1827" t="str">
        <f>ObesityDataSet_raw_and_data_sin!A1827</f>
        <v>Female</v>
      </c>
      <c r="B1827">
        <f>ObesityDataSet_raw_and_data_sin!C1827</f>
        <v>1.821566</v>
      </c>
      <c r="C1827">
        <f>ObesityDataSet_raw_and_data_sin!D1827</f>
        <v>142.10246799999999</v>
      </c>
      <c r="D1827" t="str">
        <f>ObesityDataSet_raw_and_data_sin!Q1827</f>
        <v>Obesity_Type_III</v>
      </c>
      <c r="E1827" t="b">
        <f t="shared" si="113"/>
        <v>0</v>
      </c>
      <c r="F1827">
        <f>C1827/(B1827*B1827)</f>
        <v>42.826422559906042</v>
      </c>
      <c r="G1827" t="str">
        <f t="shared" si="114"/>
        <v>Obese</v>
      </c>
      <c r="H1827" t="str">
        <f t="shared" si="115"/>
        <v>OK</v>
      </c>
      <c r="I1827" t="str">
        <f t="shared" si="112"/>
        <v>OK</v>
      </c>
    </row>
    <row r="1828" spans="1:9" x14ac:dyDescent="0.2">
      <c r="A1828" t="str">
        <f>ObesityDataSet_raw_and_data_sin!A1828</f>
        <v>Female</v>
      </c>
      <c r="B1828">
        <f>ObesityDataSet_raw_and_data_sin!C1828</f>
        <v>1.8277300000000001</v>
      </c>
      <c r="C1828">
        <f>ObesityDataSet_raw_and_data_sin!D1828</f>
        <v>152.72054499999999</v>
      </c>
      <c r="D1828" t="str">
        <f>ObesityDataSet_raw_and_data_sin!Q1828</f>
        <v>Obesity_Type_III</v>
      </c>
      <c r="E1828" t="b">
        <f t="shared" si="113"/>
        <v>0</v>
      </c>
      <c r="F1828">
        <f>C1828/(B1828*B1828)</f>
        <v>45.716543226629597</v>
      </c>
      <c r="G1828" t="str">
        <f t="shared" si="114"/>
        <v>Obese</v>
      </c>
      <c r="H1828" t="str">
        <f t="shared" si="115"/>
        <v>OK</v>
      </c>
      <c r="I1828" t="str">
        <f t="shared" si="112"/>
        <v>OK</v>
      </c>
    </row>
    <row r="1829" spans="1:9" x14ac:dyDescent="0.2">
      <c r="A1829" t="str">
        <f>ObesityDataSet_raw_and_data_sin!A1829</f>
        <v>Female</v>
      </c>
      <c r="B1829">
        <f>ObesityDataSet_raw_and_data_sin!C1829</f>
        <v>1.656504</v>
      </c>
      <c r="C1829">
        <f>ObesityDataSet_raw_and_data_sin!D1829</f>
        <v>111.993054</v>
      </c>
      <c r="D1829" t="str">
        <f>ObesityDataSet_raw_and_data_sin!Q1829</f>
        <v>Obesity_Type_III</v>
      </c>
      <c r="E1829" t="b">
        <f t="shared" si="113"/>
        <v>0</v>
      </c>
      <c r="F1829">
        <f>C1829/(B1829*B1829)</f>
        <v>40.813713353606452</v>
      </c>
      <c r="G1829" t="str">
        <f t="shared" si="114"/>
        <v>Obese</v>
      </c>
      <c r="H1829" t="str">
        <f t="shared" si="115"/>
        <v>OK</v>
      </c>
      <c r="I1829" t="str">
        <f t="shared" si="112"/>
        <v>OK</v>
      </c>
    </row>
    <row r="1830" spans="1:9" x14ac:dyDescent="0.2">
      <c r="A1830" t="str">
        <f>ObesityDataSet_raw_and_data_sin!A1830</f>
        <v>Female</v>
      </c>
      <c r="B1830">
        <f>ObesityDataSet_raw_and_data_sin!C1830</f>
        <v>1.6377250000000001</v>
      </c>
      <c r="C1830">
        <f>ObesityDataSet_raw_and_data_sin!D1830</f>
        <v>111.208963</v>
      </c>
      <c r="D1830" t="str">
        <f>ObesityDataSet_raw_and_data_sin!Q1830</f>
        <v>Obesity_Type_III</v>
      </c>
      <c r="E1830" t="b">
        <f t="shared" si="113"/>
        <v>0</v>
      </c>
      <c r="F1830">
        <f>C1830/(B1830*B1830)</f>
        <v>41.462724291027371</v>
      </c>
      <c r="G1830" t="str">
        <f t="shared" si="114"/>
        <v>Obese</v>
      </c>
      <c r="H1830" t="str">
        <f t="shared" si="115"/>
        <v>OK</v>
      </c>
      <c r="I1830" t="str">
        <f t="shared" si="112"/>
        <v>OK</v>
      </c>
    </row>
    <row r="1831" spans="1:9" x14ac:dyDescent="0.2">
      <c r="A1831" t="str">
        <f>ObesityDataSet_raw_and_data_sin!A1831</f>
        <v>Female</v>
      </c>
      <c r="B1831">
        <f>ObesityDataSet_raw_and_data_sin!C1831</f>
        <v>1.6697010000000001</v>
      </c>
      <c r="C1831">
        <f>ObesityDataSet_raw_and_data_sin!D1831</f>
        <v>104.58578300000001</v>
      </c>
      <c r="D1831" t="str">
        <f>ObesityDataSet_raw_and_data_sin!Q1831</f>
        <v>Obesity_Type_III</v>
      </c>
      <c r="E1831" t="b">
        <f t="shared" si="113"/>
        <v>0</v>
      </c>
      <c r="F1831">
        <f>C1831/(B1831*B1831)</f>
        <v>37.514160973213095</v>
      </c>
      <c r="G1831" t="str">
        <f t="shared" si="114"/>
        <v>Obese</v>
      </c>
      <c r="H1831" t="str">
        <f t="shared" si="115"/>
        <v>OK</v>
      </c>
      <c r="I1831" t="str">
        <f t="shared" si="112"/>
        <v>OK</v>
      </c>
    </row>
    <row r="1832" spans="1:9" x14ac:dyDescent="0.2">
      <c r="A1832" t="str">
        <f>ObesityDataSet_raw_and_data_sin!A1832</f>
        <v>Female</v>
      </c>
      <c r="B1832">
        <f>ObesityDataSet_raw_and_data_sin!C1832</f>
        <v>1.668709</v>
      </c>
      <c r="C1832">
        <f>ObesityDataSet_raw_and_data_sin!D1832</f>
        <v>104.754958</v>
      </c>
      <c r="D1832" t="str">
        <f>ObesityDataSet_raw_and_data_sin!Q1832</f>
        <v>Obesity_Type_III</v>
      </c>
      <c r="E1832" t="b">
        <f t="shared" si="113"/>
        <v>0</v>
      </c>
      <c r="F1832">
        <f>C1832/(B1832*B1832)</f>
        <v>37.619530445104111</v>
      </c>
      <c r="G1832" t="str">
        <f t="shared" si="114"/>
        <v>Obese</v>
      </c>
      <c r="H1832" t="str">
        <f t="shared" si="115"/>
        <v>OK</v>
      </c>
      <c r="I1832" t="str">
        <f t="shared" si="112"/>
        <v>OK</v>
      </c>
    </row>
    <row r="1833" spans="1:9" x14ac:dyDescent="0.2">
      <c r="A1833" t="str">
        <f>ObesityDataSet_raw_and_data_sin!A1833</f>
        <v>Female</v>
      </c>
      <c r="B1833">
        <f>ObesityDataSet_raw_and_data_sin!C1833</f>
        <v>1.668642</v>
      </c>
      <c r="C1833">
        <f>ObesityDataSet_raw_and_data_sin!D1833</f>
        <v>124.704781</v>
      </c>
      <c r="D1833" t="str">
        <f>ObesityDataSet_raw_and_data_sin!Q1833</f>
        <v>Obesity_Type_III</v>
      </c>
      <c r="E1833" t="b">
        <f t="shared" si="113"/>
        <v>0</v>
      </c>
      <c r="F1833">
        <f>C1833/(B1833*B1833)</f>
        <v>44.787493971340552</v>
      </c>
      <c r="G1833" t="str">
        <f t="shared" si="114"/>
        <v>Obese</v>
      </c>
      <c r="H1833" t="str">
        <f t="shared" si="115"/>
        <v>OK</v>
      </c>
      <c r="I1833" t="str">
        <f t="shared" si="112"/>
        <v>OK</v>
      </c>
    </row>
    <row r="1834" spans="1:9" x14ac:dyDescent="0.2">
      <c r="A1834" t="str">
        <f>ObesityDataSet_raw_and_data_sin!A1834</f>
        <v>Female</v>
      </c>
      <c r="B1834">
        <f>ObesityDataSet_raw_and_data_sin!C1834</f>
        <v>1.6906140000000001</v>
      </c>
      <c r="C1834">
        <f>ObesityDataSet_raw_and_data_sin!D1834</f>
        <v>129.76914099999999</v>
      </c>
      <c r="D1834" t="str">
        <f>ObesityDataSet_raw_and_data_sin!Q1834</f>
        <v>Obesity_Type_III</v>
      </c>
      <c r="E1834" t="b">
        <f t="shared" si="113"/>
        <v>0</v>
      </c>
      <c r="F1834">
        <f>C1834/(B1834*B1834)</f>
        <v>45.402786517424367</v>
      </c>
      <c r="G1834" t="str">
        <f t="shared" si="114"/>
        <v>Obese</v>
      </c>
      <c r="H1834" t="str">
        <f t="shared" si="115"/>
        <v>OK</v>
      </c>
      <c r="I1834" t="str">
        <f t="shared" si="112"/>
        <v>OK</v>
      </c>
    </row>
    <row r="1835" spans="1:9" x14ac:dyDescent="0.2">
      <c r="A1835" t="str">
        <f>ObesityDataSet_raw_and_data_sin!A1835</f>
        <v>Female</v>
      </c>
      <c r="B1835">
        <f>ObesityDataSet_raw_and_data_sin!C1835</f>
        <v>1.6224179999999999</v>
      </c>
      <c r="C1835">
        <f>ObesityDataSet_raw_and_data_sin!D1835</f>
        <v>110.676343</v>
      </c>
      <c r="D1835" t="str">
        <f>ObesityDataSet_raw_and_data_sin!Q1835</f>
        <v>Obesity_Type_III</v>
      </c>
      <c r="E1835" t="b">
        <f t="shared" si="113"/>
        <v>0</v>
      </c>
      <c r="F1835">
        <f>C1835/(B1835*B1835)</f>
        <v>42.046445609005417</v>
      </c>
      <c r="G1835" t="str">
        <f t="shared" si="114"/>
        <v>Obese</v>
      </c>
      <c r="H1835" t="str">
        <f t="shared" si="115"/>
        <v>OK</v>
      </c>
      <c r="I1835" t="str">
        <f t="shared" si="112"/>
        <v>OK</v>
      </c>
    </row>
    <row r="1836" spans="1:9" x14ac:dyDescent="0.2">
      <c r="A1836" t="str">
        <f>ObesityDataSet_raw_and_data_sin!A1836</f>
        <v>Female</v>
      </c>
      <c r="B1836">
        <f>ObesityDataSet_raw_and_data_sin!C1836</f>
        <v>1.643332</v>
      </c>
      <c r="C1836">
        <f>ObesityDataSet_raw_and_data_sin!D1836</f>
        <v>110.824698</v>
      </c>
      <c r="D1836" t="str">
        <f>ObesityDataSet_raw_and_data_sin!Q1836</f>
        <v>Obesity_Type_III</v>
      </c>
      <c r="E1836" t="b">
        <f t="shared" si="113"/>
        <v>0</v>
      </c>
      <c r="F1836">
        <f>C1836/(B1836*B1836)</f>
        <v>41.03797590350559</v>
      </c>
      <c r="G1836" t="str">
        <f t="shared" si="114"/>
        <v>Obese</v>
      </c>
      <c r="H1836" t="str">
        <f t="shared" si="115"/>
        <v>OK</v>
      </c>
      <c r="I1836" t="str">
        <f t="shared" si="112"/>
        <v>OK</v>
      </c>
    </row>
    <row r="1837" spans="1:9" x14ac:dyDescent="0.2">
      <c r="A1837" t="str">
        <f>ObesityDataSet_raw_and_data_sin!A1837</f>
        <v>Female</v>
      </c>
      <c r="B1837">
        <f>ObesityDataSet_raw_and_data_sin!C1837</f>
        <v>1.7333829999999999</v>
      </c>
      <c r="C1837">
        <f>ObesityDataSet_raw_and_data_sin!D1837</f>
        <v>135.524857</v>
      </c>
      <c r="D1837" t="str">
        <f>ObesityDataSet_raw_and_data_sin!Q1837</f>
        <v>Obesity_Type_III</v>
      </c>
      <c r="E1837" t="b">
        <f t="shared" si="113"/>
        <v>0</v>
      </c>
      <c r="F1837">
        <f>C1837/(B1837*B1837)</f>
        <v>45.105540549296478</v>
      </c>
      <c r="G1837" t="str">
        <f t="shared" si="114"/>
        <v>Obese</v>
      </c>
      <c r="H1837" t="str">
        <f t="shared" si="115"/>
        <v>OK</v>
      </c>
      <c r="I1837" t="str">
        <f t="shared" si="112"/>
        <v>OK</v>
      </c>
    </row>
    <row r="1838" spans="1:9" x14ac:dyDescent="0.2">
      <c r="A1838" t="str">
        <f>ObesityDataSet_raw_and_data_sin!A1838</f>
        <v>Female</v>
      </c>
      <c r="B1838">
        <f>ObesityDataSet_raw_and_data_sin!C1838</f>
        <v>1.748313</v>
      </c>
      <c r="C1838">
        <f>ObesityDataSet_raw_and_data_sin!D1838</f>
        <v>133.57378700000001</v>
      </c>
      <c r="D1838" t="str">
        <f>ObesityDataSet_raw_and_data_sin!Q1838</f>
        <v>Obesity_Type_III</v>
      </c>
      <c r="E1838" t="b">
        <f t="shared" si="113"/>
        <v>0</v>
      </c>
      <c r="F1838">
        <f>C1838/(B1838*B1838)</f>
        <v>43.700143715694701</v>
      </c>
      <c r="G1838" t="str">
        <f t="shared" si="114"/>
        <v>Obese</v>
      </c>
      <c r="H1838" t="str">
        <f t="shared" si="115"/>
        <v>OK</v>
      </c>
      <c r="I1838" t="str">
        <f t="shared" si="112"/>
        <v>OK</v>
      </c>
    </row>
    <row r="1839" spans="1:9" x14ac:dyDescent="0.2">
      <c r="A1839" t="str">
        <f>ObesityDataSet_raw_and_data_sin!A1839</f>
        <v>Female</v>
      </c>
      <c r="B1839">
        <f>ObesityDataSet_raw_and_data_sin!C1839</f>
        <v>1.8129630000000001</v>
      </c>
      <c r="C1839">
        <f>ObesityDataSet_raw_and_data_sin!D1839</f>
        <v>138.73061899999999</v>
      </c>
      <c r="D1839" t="str">
        <f>ObesityDataSet_raw_and_data_sin!Q1839</f>
        <v>Obesity_Type_III</v>
      </c>
      <c r="E1839" t="b">
        <f t="shared" si="113"/>
        <v>0</v>
      </c>
      <c r="F1839">
        <f>C1839/(B1839*B1839)</f>
        <v>42.207967780526872</v>
      </c>
      <c r="G1839" t="str">
        <f t="shared" si="114"/>
        <v>Obese</v>
      </c>
      <c r="H1839" t="str">
        <f t="shared" si="115"/>
        <v>OK</v>
      </c>
      <c r="I1839" t="str">
        <f t="shared" si="112"/>
        <v>OK</v>
      </c>
    </row>
    <row r="1840" spans="1:9" x14ac:dyDescent="0.2">
      <c r="A1840" t="str">
        <f>ObesityDataSet_raw_and_data_sin!A1840</f>
        <v>Female</v>
      </c>
      <c r="B1840">
        <f>ObesityDataSet_raw_and_data_sin!C1840</f>
        <v>1.8073399999999999</v>
      </c>
      <c r="C1840">
        <f>ObesityDataSet_raw_and_data_sin!D1840</f>
        <v>155.87209300000001</v>
      </c>
      <c r="D1840" t="str">
        <f>ObesityDataSet_raw_and_data_sin!Q1840</f>
        <v>Obesity_Type_III</v>
      </c>
      <c r="E1840" t="b">
        <f t="shared" si="113"/>
        <v>0</v>
      </c>
      <c r="F1840">
        <f>C1840/(B1840*B1840)</f>
        <v>47.718704652597346</v>
      </c>
      <c r="G1840" t="str">
        <f t="shared" si="114"/>
        <v>Obese</v>
      </c>
      <c r="H1840" t="str">
        <f t="shared" si="115"/>
        <v>OK</v>
      </c>
      <c r="I1840" t="str">
        <f t="shared" si="112"/>
        <v>OK</v>
      </c>
    </row>
    <row r="1841" spans="1:9" x14ac:dyDescent="0.2">
      <c r="A1841" t="str">
        <f>ObesityDataSet_raw_and_data_sin!A1841</f>
        <v>Female</v>
      </c>
      <c r="B1841">
        <f>ObesityDataSet_raw_and_data_sin!C1841</f>
        <v>1.745644</v>
      </c>
      <c r="C1841">
        <f>ObesityDataSet_raw_and_data_sin!D1841</f>
        <v>133.66558699999999</v>
      </c>
      <c r="D1841" t="str">
        <f>ObesityDataSet_raw_and_data_sin!Q1841</f>
        <v>Obesity_Type_III</v>
      </c>
      <c r="E1841" t="b">
        <f t="shared" si="113"/>
        <v>0</v>
      </c>
      <c r="F1841">
        <f>C1841/(B1841*B1841)</f>
        <v>43.864001718316715</v>
      </c>
      <c r="G1841" t="str">
        <f t="shared" si="114"/>
        <v>Obese</v>
      </c>
      <c r="H1841" t="str">
        <f t="shared" si="115"/>
        <v>OK</v>
      </c>
      <c r="I1841" t="str">
        <f t="shared" si="112"/>
        <v>OK</v>
      </c>
    </row>
    <row r="1842" spans="1:9" x14ac:dyDescent="0.2">
      <c r="A1842" t="str">
        <f>ObesityDataSet_raw_and_data_sin!A1842</f>
        <v>Female</v>
      </c>
      <c r="B1842">
        <f>ObesityDataSet_raw_and_data_sin!C1842</f>
        <v>1.753266</v>
      </c>
      <c r="C1842">
        <f>ObesityDataSet_raw_and_data_sin!D1842</f>
        <v>133.85243199999999</v>
      </c>
      <c r="D1842" t="str">
        <f>ObesityDataSet_raw_and_data_sin!Q1842</f>
        <v>Obesity_Type_III</v>
      </c>
      <c r="E1842" t="b">
        <f t="shared" si="113"/>
        <v>0</v>
      </c>
      <c r="F1842">
        <f>C1842/(B1842*B1842)</f>
        <v>43.544232946117518</v>
      </c>
      <c r="G1842" t="str">
        <f t="shared" si="114"/>
        <v>Obese</v>
      </c>
      <c r="H1842" t="str">
        <f t="shared" si="115"/>
        <v>OK</v>
      </c>
      <c r="I1842" t="str">
        <f t="shared" si="112"/>
        <v>OK</v>
      </c>
    </row>
    <row r="1843" spans="1:9" x14ac:dyDescent="0.2">
      <c r="A1843" t="str">
        <f>ObesityDataSet_raw_and_data_sin!A1843</f>
        <v>Female</v>
      </c>
      <c r="B1843">
        <f>ObesityDataSet_raw_and_data_sin!C1843</f>
        <v>1.632193</v>
      </c>
      <c r="C1843">
        <f>ObesityDataSet_raw_and_data_sin!D1843</f>
        <v>111.886611</v>
      </c>
      <c r="D1843" t="str">
        <f>ObesityDataSet_raw_and_data_sin!Q1843</f>
        <v>Obesity_Type_III</v>
      </c>
      <c r="E1843" t="b">
        <f t="shared" si="113"/>
        <v>0</v>
      </c>
      <c r="F1843">
        <f>C1843/(B1843*B1843)</f>
        <v>41.998627449566428</v>
      </c>
      <c r="G1843" t="str">
        <f t="shared" si="114"/>
        <v>Obese</v>
      </c>
      <c r="H1843" t="str">
        <f t="shared" si="115"/>
        <v>OK</v>
      </c>
      <c r="I1843" t="str">
        <f t="shared" si="112"/>
        <v>OK</v>
      </c>
    </row>
    <row r="1844" spans="1:9" x14ac:dyDescent="0.2">
      <c r="A1844" t="str">
        <f>ObesityDataSet_raw_and_data_sin!A1844</f>
        <v>Female</v>
      </c>
      <c r="B1844">
        <f>ObesityDataSet_raw_and_data_sin!C1844</f>
        <v>1.6410979999999999</v>
      </c>
      <c r="C1844">
        <f>ObesityDataSet_raw_and_data_sin!D1844</f>
        <v>111.81834499999999</v>
      </c>
      <c r="D1844" t="str">
        <f>ObesityDataSet_raw_and_data_sin!Q1844</f>
        <v>Obesity_Type_III</v>
      </c>
      <c r="E1844" t="b">
        <f t="shared" si="113"/>
        <v>0</v>
      </c>
      <c r="F1844">
        <f>C1844/(B1844*B1844)</f>
        <v>41.518726852031101</v>
      </c>
      <c r="G1844" t="str">
        <f t="shared" si="114"/>
        <v>Obese</v>
      </c>
      <c r="H1844" t="str">
        <f t="shared" si="115"/>
        <v>OK</v>
      </c>
      <c r="I1844" t="str">
        <f t="shared" si="112"/>
        <v>OK</v>
      </c>
    </row>
    <row r="1845" spans="1:9" x14ac:dyDescent="0.2">
      <c r="A1845" t="str">
        <f>ObesityDataSet_raw_and_data_sin!A1845</f>
        <v>Female</v>
      </c>
      <c r="B1845">
        <f>ObesityDataSet_raw_and_data_sin!C1845</f>
        <v>1.640741</v>
      </c>
      <c r="C1845">
        <f>ObesityDataSet_raw_and_data_sin!D1845</f>
        <v>104.808542</v>
      </c>
      <c r="D1845" t="str">
        <f>ObesityDataSet_raw_and_data_sin!Q1845</f>
        <v>Obesity_Type_III</v>
      </c>
      <c r="E1845" t="b">
        <f t="shared" si="113"/>
        <v>0</v>
      </c>
      <c r="F1845">
        <f>C1845/(B1845*B1845)</f>
        <v>38.932887796534551</v>
      </c>
      <c r="G1845" t="str">
        <f t="shared" si="114"/>
        <v>Obese</v>
      </c>
      <c r="H1845" t="str">
        <f t="shared" si="115"/>
        <v>OK</v>
      </c>
      <c r="I1845" t="str">
        <f t="shared" si="112"/>
        <v>OK</v>
      </c>
    </row>
    <row r="1846" spans="1:9" x14ac:dyDescent="0.2">
      <c r="A1846" t="str">
        <f>ObesityDataSet_raw_and_data_sin!A1846</f>
        <v>Female</v>
      </c>
      <c r="B1846">
        <f>ObesityDataSet_raw_and_data_sin!C1846</f>
        <v>1.618573</v>
      </c>
      <c r="C1846">
        <f>ObesityDataSet_raw_and_data_sin!D1846</f>
        <v>104.92864299999999</v>
      </c>
      <c r="D1846" t="str">
        <f>ObesityDataSet_raw_and_data_sin!Q1846</f>
        <v>Obesity_Type_III</v>
      </c>
      <c r="E1846" t="b">
        <f t="shared" si="113"/>
        <v>0</v>
      </c>
      <c r="F1846">
        <f>C1846/(B1846*B1846)</f>
        <v>40.052485637195488</v>
      </c>
      <c r="G1846" t="str">
        <f t="shared" si="114"/>
        <v>Obese</v>
      </c>
      <c r="H1846" t="str">
        <f t="shared" si="115"/>
        <v>OK</v>
      </c>
      <c r="I1846" t="str">
        <f t="shared" si="112"/>
        <v>OK</v>
      </c>
    </row>
    <row r="1847" spans="1:9" x14ac:dyDescent="0.2">
      <c r="A1847" t="str">
        <f>ObesityDataSet_raw_and_data_sin!A1847</f>
        <v>Female</v>
      </c>
      <c r="B1847">
        <f>ObesityDataSet_raw_and_data_sin!C1847</f>
        <v>1.7574419999999999</v>
      </c>
      <c r="C1847">
        <f>ObesityDataSet_raw_and_data_sin!D1847</f>
        <v>133.365094</v>
      </c>
      <c r="D1847" t="str">
        <f>ObesityDataSet_raw_and_data_sin!Q1847</f>
        <v>Obesity_Type_III</v>
      </c>
      <c r="E1847" t="b">
        <f t="shared" si="113"/>
        <v>0</v>
      </c>
      <c r="F1847">
        <f>C1847/(B1847*B1847)</f>
        <v>43.179754933279341</v>
      </c>
      <c r="G1847" t="str">
        <f t="shared" si="114"/>
        <v>Obese</v>
      </c>
      <c r="H1847" t="str">
        <f t="shared" si="115"/>
        <v>OK</v>
      </c>
      <c r="I1847" t="str">
        <f t="shared" si="112"/>
        <v>OK</v>
      </c>
    </row>
    <row r="1848" spans="1:9" x14ac:dyDescent="0.2">
      <c r="A1848" t="str">
        <f>ObesityDataSet_raw_and_data_sin!A1848</f>
        <v>Female</v>
      </c>
      <c r="B1848">
        <f>ObesityDataSet_raw_and_data_sin!C1848</f>
        <v>1.7633430000000001</v>
      </c>
      <c r="C1848">
        <f>ObesityDataSet_raw_and_data_sin!D1848</f>
        <v>133.952675</v>
      </c>
      <c r="D1848" t="str">
        <f>ObesityDataSet_raw_and_data_sin!Q1848</f>
        <v>Obesity_Type_III</v>
      </c>
      <c r="E1848" t="b">
        <f t="shared" si="113"/>
        <v>0</v>
      </c>
      <c r="F1848">
        <f>C1848/(B1848*B1848)</f>
        <v>43.08020830022258</v>
      </c>
      <c r="G1848" t="str">
        <f t="shared" si="114"/>
        <v>Obese</v>
      </c>
      <c r="H1848" t="str">
        <f t="shared" si="115"/>
        <v>OK</v>
      </c>
      <c r="I1848" t="str">
        <f t="shared" si="112"/>
        <v>OK</v>
      </c>
    </row>
    <row r="1849" spans="1:9" x14ac:dyDescent="0.2">
      <c r="A1849" t="str">
        <f>ObesityDataSet_raw_and_data_sin!A1849</f>
        <v>Female</v>
      </c>
      <c r="B1849">
        <f>ObesityDataSet_raw_and_data_sin!C1849</f>
        <v>1.6100859999999999</v>
      </c>
      <c r="C1849">
        <f>ObesityDataSet_raw_and_data_sin!D1849</f>
        <v>102.38745</v>
      </c>
      <c r="D1849" t="str">
        <f>ObesityDataSet_raw_and_data_sin!Q1849</f>
        <v>Obesity_Type_III</v>
      </c>
      <c r="E1849" t="b">
        <f t="shared" si="113"/>
        <v>0</v>
      </c>
      <c r="F1849">
        <f>C1849/(B1849*B1849)</f>
        <v>39.495587589126757</v>
      </c>
      <c r="G1849" t="str">
        <f t="shared" si="114"/>
        <v>Obese</v>
      </c>
      <c r="H1849" t="str">
        <f t="shared" si="115"/>
        <v>OK</v>
      </c>
      <c r="I1849" t="str">
        <f t="shared" si="112"/>
        <v>OK</v>
      </c>
    </row>
    <row r="1850" spans="1:9" x14ac:dyDescent="0.2">
      <c r="A1850" t="str">
        <f>ObesityDataSet_raw_and_data_sin!A1850</f>
        <v>Female</v>
      </c>
      <c r="B1850">
        <f>ObesityDataSet_raw_and_data_sin!C1850</f>
        <v>1.664463</v>
      </c>
      <c r="C1850">
        <f>ObesityDataSet_raw_and_data_sin!D1850</f>
        <v>102.781971</v>
      </c>
      <c r="D1850" t="str">
        <f>ObesityDataSet_raw_and_data_sin!Q1850</f>
        <v>Obesity_Type_III</v>
      </c>
      <c r="E1850" t="b">
        <f t="shared" si="113"/>
        <v>0</v>
      </c>
      <c r="F1850">
        <f>C1850/(B1850*B1850)</f>
        <v>37.099550754103163</v>
      </c>
      <c r="G1850" t="str">
        <f t="shared" si="114"/>
        <v>Obese</v>
      </c>
      <c r="H1850" t="str">
        <f t="shared" si="115"/>
        <v>OK</v>
      </c>
      <c r="I1850" t="str">
        <f t="shared" si="112"/>
        <v>OK</v>
      </c>
    </row>
    <row r="1851" spans="1:9" x14ac:dyDescent="0.2">
      <c r="A1851" t="str">
        <f>ObesityDataSet_raw_and_data_sin!A1851</f>
        <v>Female</v>
      </c>
      <c r="B1851">
        <f>ObesityDataSet_raw_and_data_sin!C1851</f>
        <v>1.602025</v>
      </c>
      <c r="C1851">
        <f>ObesityDataSet_raw_and_data_sin!D1851</f>
        <v>104.899348</v>
      </c>
      <c r="D1851" t="str">
        <f>ObesityDataSet_raw_and_data_sin!Q1851</f>
        <v>Obesity_Type_III</v>
      </c>
      <c r="E1851" t="b">
        <f t="shared" si="113"/>
        <v>0</v>
      </c>
      <c r="F1851">
        <f>C1851/(B1851*B1851)</f>
        <v>40.87278310995751</v>
      </c>
      <c r="G1851" t="str">
        <f t="shared" si="114"/>
        <v>Obese</v>
      </c>
      <c r="H1851" t="str">
        <f t="shared" si="115"/>
        <v>OK</v>
      </c>
      <c r="I1851" t="str">
        <f t="shared" si="112"/>
        <v>OK</v>
      </c>
    </row>
    <row r="1852" spans="1:9" x14ac:dyDescent="0.2">
      <c r="A1852" t="str">
        <f>ObesityDataSet_raw_and_data_sin!A1852</f>
        <v>Female</v>
      </c>
      <c r="B1852">
        <f>ObesityDataSet_raw_and_data_sin!C1852</f>
        <v>1.6328959999999999</v>
      </c>
      <c r="C1852">
        <f>ObesityDataSet_raw_and_data_sin!D1852</f>
        <v>104.98892499999999</v>
      </c>
      <c r="D1852" t="str">
        <f>ObesityDataSet_raw_and_data_sin!Q1852</f>
        <v>Obesity_Type_III</v>
      </c>
      <c r="E1852" t="b">
        <f t="shared" si="113"/>
        <v>0</v>
      </c>
      <c r="F1852">
        <f>C1852/(B1852*B1852)</f>
        <v>39.375532364268658</v>
      </c>
      <c r="G1852" t="str">
        <f t="shared" si="114"/>
        <v>Obese</v>
      </c>
      <c r="H1852" t="str">
        <f t="shared" si="115"/>
        <v>OK</v>
      </c>
      <c r="I1852" t="str">
        <f t="shared" si="112"/>
        <v>OK</v>
      </c>
    </row>
    <row r="1853" spans="1:9" x14ac:dyDescent="0.2">
      <c r="A1853" t="str">
        <f>ObesityDataSet_raw_and_data_sin!A1853</f>
        <v>Female</v>
      </c>
      <c r="B1853">
        <f>ObesityDataSet_raw_and_data_sin!C1853</f>
        <v>1.7710429999999999</v>
      </c>
      <c r="C1853">
        <f>ObesityDataSet_raw_and_data_sin!D1853</f>
        <v>137.04495900000001</v>
      </c>
      <c r="D1853" t="str">
        <f>ObesityDataSet_raw_and_data_sin!Q1853</f>
        <v>Obesity_Type_III</v>
      </c>
      <c r="E1853" t="b">
        <f t="shared" si="113"/>
        <v>0</v>
      </c>
      <c r="F1853">
        <f>C1853/(B1853*B1853)</f>
        <v>43.692294648802317</v>
      </c>
      <c r="G1853" t="str">
        <f t="shared" si="114"/>
        <v>Obese</v>
      </c>
      <c r="H1853" t="str">
        <f t="shared" si="115"/>
        <v>OK</v>
      </c>
      <c r="I1853" t="str">
        <f t="shared" si="112"/>
        <v>OK</v>
      </c>
    </row>
    <row r="1854" spans="1:9" x14ac:dyDescent="0.2">
      <c r="A1854" t="str">
        <f>ObesityDataSet_raw_and_data_sin!A1854</f>
        <v>Female</v>
      </c>
      <c r="B1854">
        <f>ObesityDataSet_raw_and_data_sin!C1854</f>
        <v>1.789555</v>
      </c>
      <c r="C1854">
        <f>ObesityDataSet_raw_and_data_sin!D1854</f>
        <v>137.767787</v>
      </c>
      <c r="D1854" t="str">
        <f>ObesityDataSet_raw_and_data_sin!Q1854</f>
        <v>Obesity_Type_III</v>
      </c>
      <c r="E1854" t="b">
        <f t="shared" si="113"/>
        <v>0</v>
      </c>
      <c r="F1854">
        <f>C1854/(B1854*B1854)</f>
        <v>43.018729633717903</v>
      </c>
      <c r="G1854" t="str">
        <f t="shared" si="114"/>
        <v>Obese</v>
      </c>
      <c r="H1854" t="str">
        <f t="shared" si="115"/>
        <v>OK</v>
      </c>
      <c r="I1854" t="str">
        <f t="shared" si="112"/>
        <v>OK</v>
      </c>
    </row>
    <row r="1855" spans="1:9" x14ac:dyDescent="0.2">
      <c r="A1855" t="str">
        <f>ObesityDataSet_raw_and_data_sin!A1855</f>
        <v>Female</v>
      </c>
      <c r="B1855">
        <f>ObesityDataSet_raw_and_data_sin!C1855</f>
        <v>1.8017460000000001</v>
      </c>
      <c r="C1855">
        <f>ObesityDataSet_raw_and_data_sin!D1855</f>
        <v>141.16626500000001</v>
      </c>
      <c r="D1855" t="str">
        <f>ObesityDataSet_raw_and_data_sin!Q1855</f>
        <v>Obesity_Type_III</v>
      </c>
      <c r="E1855" t="b">
        <f t="shared" si="113"/>
        <v>0</v>
      </c>
      <c r="F1855">
        <f>C1855/(B1855*B1855)</f>
        <v>43.485432222588209</v>
      </c>
      <c r="G1855" t="str">
        <f t="shared" si="114"/>
        <v>Obese</v>
      </c>
      <c r="H1855" t="str">
        <f t="shared" si="115"/>
        <v>OK</v>
      </c>
      <c r="I1855" t="str">
        <f t="shared" si="112"/>
        <v>OK</v>
      </c>
    </row>
    <row r="1856" spans="1:9" x14ac:dyDescent="0.2">
      <c r="A1856" t="str">
        <f>ObesityDataSet_raw_and_data_sin!A1856</f>
        <v>Female</v>
      </c>
      <c r="B1856">
        <f>ObesityDataSet_raw_and_data_sin!C1856</f>
        <v>1.7871950000000001</v>
      </c>
      <c r="C1856">
        <f>ObesityDataSet_raw_and_data_sin!D1856</f>
        <v>151.975864</v>
      </c>
      <c r="D1856" t="str">
        <f>ObesityDataSet_raw_and_data_sin!Q1856</f>
        <v>Obesity_Type_III</v>
      </c>
      <c r="E1856" t="b">
        <f t="shared" si="113"/>
        <v>0</v>
      </c>
      <c r="F1856">
        <f>C1856/(B1856*B1856)</f>
        <v>47.58069041822948</v>
      </c>
      <c r="G1856" t="str">
        <f t="shared" si="114"/>
        <v>Obese</v>
      </c>
      <c r="H1856" t="str">
        <f t="shared" si="115"/>
        <v>OK</v>
      </c>
      <c r="I1856" t="str">
        <f t="shared" si="112"/>
        <v>OK</v>
      </c>
    </row>
    <row r="1857" spans="1:9" x14ac:dyDescent="0.2">
      <c r="A1857" t="str">
        <f>ObesityDataSet_raw_and_data_sin!A1857</f>
        <v>Female</v>
      </c>
      <c r="B1857">
        <f>ObesityDataSet_raw_and_data_sin!C1857</f>
        <v>1.6441410000000001</v>
      </c>
      <c r="C1857">
        <f>ObesityDataSet_raw_and_data_sin!D1857</f>
        <v>111.942544</v>
      </c>
      <c r="D1857" t="str">
        <f>ObesityDataSet_raw_and_data_sin!Q1857</f>
        <v>Obesity_Type_III</v>
      </c>
      <c r="E1857" t="b">
        <f t="shared" si="113"/>
        <v>0</v>
      </c>
      <c r="F1857">
        <f>C1857/(B1857*B1857)</f>
        <v>41.411127334221398</v>
      </c>
      <c r="G1857" t="str">
        <f t="shared" si="114"/>
        <v>Obese</v>
      </c>
      <c r="H1857" t="str">
        <f t="shared" si="115"/>
        <v>OK</v>
      </c>
      <c r="I1857" t="str">
        <f t="shared" si="112"/>
        <v>OK</v>
      </c>
    </row>
    <row r="1858" spans="1:9" x14ac:dyDescent="0.2">
      <c r="A1858" t="str">
        <f>ObesityDataSet_raw_and_data_sin!A1858</f>
        <v>Female</v>
      </c>
      <c r="B1858">
        <f>ObesityDataSet_raw_and_data_sin!C1858</f>
        <v>1.6433549999999999</v>
      </c>
      <c r="C1858">
        <f>ObesityDataSet_raw_and_data_sin!D1858</f>
        <v>111.600553</v>
      </c>
      <c r="D1858" t="str">
        <f>ObesityDataSet_raw_and_data_sin!Q1858</f>
        <v>Obesity_Type_III</v>
      </c>
      <c r="E1858" t="b">
        <f t="shared" si="113"/>
        <v>0</v>
      </c>
      <c r="F1858">
        <f>C1858/(B1858*B1858)</f>
        <v>41.324115392363304</v>
      </c>
      <c r="G1858" t="str">
        <f t="shared" si="114"/>
        <v>Obese</v>
      </c>
      <c r="H1858" t="str">
        <f t="shared" si="115"/>
        <v>OK</v>
      </c>
      <c r="I1858" t="str">
        <f t="shared" ref="I1858:I1921" si="116">IF(AND(LEFT(D1858,10)="Overweight",G1858&lt;&gt;"Overweight"),"ERROR","OK")</f>
        <v>OK</v>
      </c>
    </row>
    <row r="1859" spans="1:9" x14ac:dyDescent="0.2">
      <c r="A1859" t="str">
        <f>ObesityDataSet_raw_and_data_sin!A1859</f>
        <v>Female</v>
      </c>
      <c r="B1859">
        <f>ObesityDataSet_raw_and_data_sin!C1859</f>
        <v>1.623707</v>
      </c>
      <c r="C1859">
        <f>ObesityDataSet_raw_and_data_sin!D1859</f>
        <v>105.037463</v>
      </c>
      <c r="D1859" t="str">
        <f>ObesityDataSet_raw_and_data_sin!Q1859</f>
        <v>Obesity_Type_III</v>
      </c>
      <c r="E1859" t="b">
        <f t="shared" ref="E1859:E1922" si="117">IF(AND(A1859="Female", B1859&lt;1.5), TRUE, IF(AND(A1859="Male",B1859&lt;1.6),TRUE, FALSE))</f>
        <v>0</v>
      </c>
      <c r="F1859">
        <f>C1859/(B1859*B1859)</f>
        <v>39.840877716621293</v>
      </c>
      <c r="G1859" t="str">
        <f t="shared" ref="G1859:G1922" si="118">IF(E1859=TRUE,IF(F1859&lt;23,"Normal",IF(F1859&lt;25,"Overweight","Obese")),IF(F1859&lt;25,"Normal",IF(F1859&lt;30,"Overweight","Obese")))</f>
        <v>Obese</v>
      </c>
      <c r="H1859" t="str">
        <f t="shared" ref="H1859:H1922" si="119">IF(AND(D1859="Normal_Weight",G1859&lt;&gt;"Normal"),"ERROR","OK")</f>
        <v>OK</v>
      </c>
      <c r="I1859" t="str">
        <f t="shared" si="116"/>
        <v>OK</v>
      </c>
    </row>
    <row r="1860" spans="1:9" x14ac:dyDescent="0.2">
      <c r="A1860" t="str">
        <f>ObesityDataSet_raw_and_data_sin!A1860</f>
        <v>Female</v>
      </c>
      <c r="B1860">
        <f>ObesityDataSet_raw_and_data_sin!C1860</f>
        <v>1.610636</v>
      </c>
      <c r="C1860">
        <f>ObesityDataSet_raw_and_data_sin!D1860</f>
        <v>105.42353199999999</v>
      </c>
      <c r="D1860" t="str">
        <f>ObesityDataSet_raw_and_data_sin!Q1860</f>
        <v>Obesity_Type_III</v>
      </c>
      <c r="E1860" t="b">
        <f t="shared" si="117"/>
        <v>0</v>
      </c>
      <c r="F1860">
        <f>C1860/(B1860*B1860)</f>
        <v>40.638976192882893</v>
      </c>
      <c r="G1860" t="str">
        <f t="shared" si="118"/>
        <v>Obese</v>
      </c>
      <c r="H1860" t="str">
        <f t="shared" si="119"/>
        <v>OK</v>
      </c>
      <c r="I1860" t="str">
        <f t="shared" si="116"/>
        <v>OK</v>
      </c>
    </row>
    <row r="1861" spans="1:9" x14ac:dyDescent="0.2">
      <c r="A1861" t="str">
        <f>ObesityDataSet_raw_and_data_sin!A1861</f>
        <v>Female</v>
      </c>
      <c r="B1861">
        <f>ObesityDataSet_raw_and_data_sin!C1861</f>
        <v>1.629491</v>
      </c>
      <c r="C1861">
        <f>ObesityDataSet_raw_and_data_sin!D1861</f>
        <v>104.839068</v>
      </c>
      <c r="D1861" t="str">
        <f>ObesityDataSet_raw_and_data_sin!Q1861</f>
        <v>Obesity_Type_III</v>
      </c>
      <c r="E1861" t="b">
        <f t="shared" si="117"/>
        <v>0</v>
      </c>
      <c r="F1861">
        <f>C1861/(B1861*B1861)</f>
        <v>39.483825082164529</v>
      </c>
      <c r="G1861" t="str">
        <f t="shared" si="118"/>
        <v>Obese</v>
      </c>
      <c r="H1861" t="str">
        <f t="shared" si="119"/>
        <v>OK</v>
      </c>
      <c r="I1861" t="str">
        <f t="shared" si="116"/>
        <v>OK</v>
      </c>
    </row>
    <row r="1862" spans="1:9" x14ac:dyDescent="0.2">
      <c r="A1862" t="str">
        <f>ObesityDataSet_raw_and_data_sin!A1862</f>
        <v>Female</v>
      </c>
      <c r="B1862">
        <f>ObesityDataSet_raw_and_data_sin!C1862</f>
        <v>1.684768</v>
      </c>
      <c r="C1862">
        <f>ObesityDataSet_raw_and_data_sin!D1862</f>
        <v>104.821175</v>
      </c>
      <c r="D1862" t="str">
        <f>ObesityDataSet_raw_and_data_sin!Q1862</f>
        <v>Obesity_Type_III</v>
      </c>
      <c r="E1862" t="b">
        <f t="shared" si="117"/>
        <v>0</v>
      </c>
      <c r="F1862">
        <f>C1862/(B1862*B1862)</f>
        <v>36.929107649394574</v>
      </c>
      <c r="G1862" t="str">
        <f t="shared" si="118"/>
        <v>Obese</v>
      </c>
      <c r="H1862" t="str">
        <f t="shared" si="119"/>
        <v>OK</v>
      </c>
      <c r="I1862" t="str">
        <f t="shared" si="116"/>
        <v>OK</v>
      </c>
    </row>
    <row r="1863" spans="1:9" x14ac:dyDescent="0.2">
      <c r="A1863" t="str">
        <f>ObesityDataSet_raw_and_data_sin!A1863</f>
        <v>Female</v>
      </c>
      <c r="B1863">
        <f>ObesityDataSet_raw_and_data_sin!C1863</f>
        <v>1.6649400000000001</v>
      </c>
      <c r="C1863">
        <f>ObesityDataSet_raw_and_data_sin!D1863</f>
        <v>110.92216999999999</v>
      </c>
      <c r="D1863" t="str">
        <f>ObesityDataSet_raw_and_data_sin!Q1863</f>
        <v>Obesity_Type_III</v>
      </c>
      <c r="E1863" t="b">
        <f t="shared" si="117"/>
        <v>0</v>
      </c>
      <c r="F1863">
        <f>C1863/(B1863*B1863)</f>
        <v>40.01484901939078</v>
      </c>
      <c r="G1863" t="str">
        <f t="shared" si="118"/>
        <v>Obese</v>
      </c>
      <c r="H1863" t="str">
        <f t="shared" si="119"/>
        <v>OK</v>
      </c>
      <c r="I1863" t="str">
        <f t="shared" si="116"/>
        <v>OK</v>
      </c>
    </row>
    <row r="1864" spans="1:9" x14ac:dyDescent="0.2">
      <c r="A1864" t="str">
        <f>ObesityDataSet_raw_and_data_sin!A1864</f>
        <v>Female</v>
      </c>
      <c r="B1864">
        <f>ObesityDataSet_raw_and_data_sin!C1864</f>
        <v>1.655646</v>
      </c>
      <c r="C1864">
        <f>ObesityDataSet_raw_and_data_sin!D1864</f>
        <v>110.21733999999999</v>
      </c>
      <c r="D1864" t="str">
        <f>ObesityDataSet_raw_and_data_sin!Q1864</f>
        <v>Obesity_Type_III</v>
      </c>
      <c r="E1864" t="b">
        <f t="shared" si="117"/>
        <v>0</v>
      </c>
      <c r="F1864">
        <f>C1864/(B1864*B1864)</f>
        <v>40.208230144038275</v>
      </c>
      <c r="G1864" t="str">
        <f t="shared" si="118"/>
        <v>Obese</v>
      </c>
      <c r="H1864" t="str">
        <f t="shared" si="119"/>
        <v>OK</v>
      </c>
      <c r="I1864" t="str">
        <f t="shared" si="116"/>
        <v>OK</v>
      </c>
    </row>
    <row r="1865" spans="1:9" x14ac:dyDescent="0.2">
      <c r="A1865" t="str">
        <f>ObesityDataSet_raw_and_data_sin!A1865</f>
        <v>Female</v>
      </c>
      <c r="B1865">
        <f>ObesityDataSet_raw_and_data_sin!C1865</f>
        <v>1.666194</v>
      </c>
      <c r="C1865">
        <f>ObesityDataSet_raw_and_data_sin!D1865</f>
        <v>124.805868</v>
      </c>
      <c r="D1865" t="str">
        <f>ObesityDataSet_raw_and_data_sin!Q1865</f>
        <v>Obesity_Type_III</v>
      </c>
      <c r="E1865" t="b">
        <f t="shared" si="117"/>
        <v>0</v>
      </c>
      <c r="F1865">
        <f>C1865/(B1865*B1865)</f>
        <v>44.955607684946138</v>
      </c>
      <c r="G1865" t="str">
        <f t="shared" si="118"/>
        <v>Obese</v>
      </c>
      <c r="H1865" t="str">
        <f t="shared" si="119"/>
        <v>OK</v>
      </c>
      <c r="I1865" t="str">
        <f t="shared" si="116"/>
        <v>OK</v>
      </c>
    </row>
    <row r="1866" spans="1:9" x14ac:dyDescent="0.2">
      <c r="A1866" t="str">
        <f>ObesityDataSet_raw_and_data_sin!A1866</f>
        <v>Female</v>
      </c>
      <c r="B1866">
        <f>ObesityDataSet_raw_and_data_sin!C1866</f>
        <v>1.707508</v>
      </c>
      <c r="C1866">
        <f>ObesityDataSet_raw_and_data_sin!D1866</f>
        <v>121.86432600000001</v>
      </c>
      <c r="D1866" t="str">
        <f>ObesityDataSet_raw_and_data_sin!Q1866</f>
        <v>Obesity_Type_III</v>
      </c>
      <c r="E1866" t="b">
        <f t="shared" si="117"/>
        <v>0</v>
      </c>
      <c r="F1866">
        <f>C1866/(B1866*B1866)</f>
        <v>41.797576050040973</v>
      </c>
      <c r="G1866" t="str">
        <f t="shared" si="118"/>
        <v>Obese</v>
      </c>
      <c r="H1866" t="str">
        <f t="shared" si="119"/>
        <v>OK</v>
      </c>
      <c r="I1866" t="str">
        <f t="shared" si="116"/>
        <v>OK</v>
      </c>
    </row>
    <row r="1867" spans="1:9" x14ac:dyDescent="0.2">
      <c r="A1867" t="str">
        <f>ObesityDataSet_raw_and_data_sin!A1867</f>
        <v>Female</v>
      </c>
      <c r="B1867">
        <f>ObesityDataSet_raw_and_data_sin!C1867</f>
        <v>1.7541739999999999</v>
      </c>
      <c r="C1867">
        <f>ObesityDataSet_raw_and_data_sin!D1867</f>
        <v>133.78395499999999</v>
      </c>
      <c r="D1867" t="str">
        <f>ObesityDataSet_raw_and_data_sin!Q1867</f>
        <v>Obesity_Type_III</v>
      </c>
      <c r="E1867" t="b">
        <f t="shared" si="117"/>
        <v>0</v>
      </c>
      <c r="F1867">
        <f>C1867/(B1867*B1867)</f>
        <v>43.476912105888246</v>
      </c>
      <c r="G1867" t="str">
        <f t="shared" si="118"/>
        <v>Obese</v>
      </c>
      <c r="H1867" t="str">
        <f t="shared" si="119"/>
        <v>OK</v>
      </c>
      <c r="I1867" t="str">
        <f t="shared" si="116"/>
        <v>OK</v>
      </c>
    </row>
    <row r="1868" spans="1:9" x14ac:dyDescent="0.2">
      <c r="A1868" t="str">
        <f>ObesityDataSet_raw_and_data_sin!A1868</f>
        <v>Female</v>
      </c>
      <c r="B1868">
        <f>ObesityDataSet_raw_and_data_sin!C1868</f>
        <v>1.7141930000000001</v>
      </c>
      <c r="C1868">
        <f>ObesityDataSet_raw_and_data_sin!D1868</f>
        <v>131.86673400000001</v>
      </c>
      <c r="D1868" t="str">
        <f>ObesityDataSet_raw_and_data_sin!Q1868</f>
        <v>Obesity_Type_III</v>
      </c>
      <c r="E1868" t="b">
        <f t="shared" si="117"/>
        <v>0</v>
      </c>
      <c r="F1868">
        <f>C1868/(B1868*B1868)</f>
        <v>44.876173183136189</v>
      </c>
      <c r="G1868" t="str">
        <f t="shared" si="118"/>
        <v>Obese</v>
      </c>
      <c r="H1868" t="str">
        <f t="shared" si="119"/>
        <v>OK</v>
      </c>
      <c r="I1868" t="str">
        <f t="shared" si="116"/>
        <v>OK</v>
      </c>
    </row>
    <row r="1869" spans="1:9" x14ac:dyDescent="0.2">
      <c r="A1869" t="str">
        <f>ObesityDataSet_raw_and_data_sin!A1869</f>
        <v>Female</v>
      </c>
      <c r="B1869">
        <f>ObesityDataSet_raw_and_data_sin!C1869</f>
        <v>1.62439</v>
      </c>
      <c r="C1869">
        <f>ObesityDataSet_raw_and_data_sin!D1869</f>
        <v>110.008636</v>
      </c>
      <c r="D1869" t="str">
        <f>ObesityDataSet_raw_and_data_sin!Q1869</f>
        <v>Obesity_Type_III</v>
      </c>
      <c r="E1869" t="b">
        <f t="shared" si="117"/>
        <v>0</v>
      </c>
      <c r="F1869">
        <f>C1869/(B1869*B1869)</f>
        <v>41.691369894421562</v>
      </c>
      <c r="G1869" t="str">
        <f t="shared" si="118"/>
        <v>Obese</v>
      </c>
      <c r="H1869" t="str">
        <f t="shared" si="119"/>
        <v>OK</v>
      </c>
      <c r="I1869" t="str">
        <f t="shared" si="116"/>
        <v>OK</v>
      </c>
    </row>
    <row r="1870" spans="1:9" x14ac:dyDescent="0.2">
      <c r="A1870" t="str">
        <f>ObesityDataSet_raw_and_data_sin!A1870</f>
        <v>Female</v>
      </c>
      <c r="B1870">
        <f>ObesityDataSet_raw_and_data_sin!C1870</f>
        <v>1.638836</v>
      </c>
      <c r="C1870">
        <f>ObesityDataSet_raw_and_data_sin!D1870</f>
        <v>110.970479</v>
      </c>
      <c r="D1870" t="str">
        <f>ObesityDataSet_raw_and_data_sin!Q1870</f>
        <v>Obesity_Type_III</v>
      </c>
      <c r="E1870" t="b">
        <f t="shared" si="117"/>
        <v>0</v>
      </c>
      <c r="F1870">
        <f>C1870/(B1870*B1870)</f>
        <v>41.317731563228982</v>
      </c>
      <c r="G1870" t="str">
        <f t="shared" si="118"/>
        <v>Obese</v>
      </c>
      <c r="H1870" t="str">
        <f t="shared" si="119"/>
        <v>OK</v>
      </c>
      <c r="I1870" t="str">
        <f t="shared" si="116"/>
        <v>OK</v>
      </c>
    </row>
    <row r="1871" spans="1:9" x14ac:dyDescent="0.2">
      <c r="A1871" t="str">
        <f>ObesityDataSet_raw_and_data_sin!A1871</f>
        <v>Female</v>
      </c>
      <c r="B1871">
        <f>ObesityDataSet_raw_and_data_sin!C1871</f>
        <v>1.621245</v>
      </c>
      <c r="C1871">
        <f>ObesityDataSet_raw_and_data_sin!D1871</f>
        <v>111.26733400000001</v>
      </c>
      <c r="D1871" t="str">
        <f>ObesityDataSet_raw_and_data_sin!Q1871</f>
        <v>Obesity_Type_III</v>
      </c>
      <c r="E1871" t="b">
        <f t="shared" si="117"/>
        <v>0</v>
      </c>
      <c r="F1871">
        <f>C1871/(B1871*B1871)</f>
        <v>42.332155515615668</v>
      </c>
      <c r="G1871" t="str">
        <f t="shared" si="118"/>
        <v>Obese</v>
      </c>
      <c r="H1871" t="str">
        <f t="shared" si="119"/>
        <v>OK</v>
      </c>
      <c r="I1871" t="str">
        <f t="shared" si="116"/>
        <v>OK</v>
      </c>
    </row>
    <row r="1872" spans="1:9" x14ac:dyDescent="0.2">
      <c r="A1872" t="str">
        <f>ObesityDataSet_raw_and_data_sin!A1872</f>
        <v>Female</v>
      </c>
      <c r="B1872">
        <f>ObesityDataSet_raw_and_data_sin!C1872</f>
        <v>1.6235139999999999</v>
      </c>
      <c r="C1872">
        <f>ObesityDataSet_raw_and_data_sin!D1872</f>
        <v>109.98014499999999</v>
      </c>
      <c r="D1872" t="str">
        <f>ObesityDataSet_raw_and_data_sin!Q1872</f>
        <v>Obesity_Type_III</v>
      </c>
      <c r="E1872" t="b">
        <f t="shared" si="117"/>
        <v>0</v>
      </c>
      <c r="F1872">
        <f>C1872/(B1872*B1872)</f>
        <v>41.725563634120057</v>
      </c>
      <c r="G1872" t="str">
        <f t="shared" si="118"/>
        <v>Obese</v>
      </c>
      <c r="H1872" t="str">
        <f t="shared" si="119"/>
        <v>OK</v>
      </c>
      <c r="I1872" t="str">
        <f t="shared" si="116"/>
        <v>OK</v>
      </c>
    </row>
    <row r="1873" spans="1:9" x14ac:dyDescent="0.2">
      <c r="A1873" t="str">
        <f>ObesityDataSet_raw_and_data_sin!A1873</f>
        <v>Female</v>
      </c>
      <c r="B1873">
        <f>ObesityDataSet_raw_and_data_sin!C1873</f>
        <v>1.7362150000000001</v>
      </c>
      <c r="C1873">
        <f>ObesityDataSet_raw_and_data_sin!D1873</f>
        <v>132.14554899999999</v>
      </c>
      <c r="D1873" t="str">
        <f>ObesityDataSet_raw_and_data_sin!Q1873</f>
        <v>Obesity_Type_III</v>
      </c>
      <c r="E1873" t="b">
        <f t="shared" si="117"/>
        <v>0</v>
      </c>
      <c r="F1873">
        <f>C1873/(B1873*B1873)</f>
        <v>43.837475039036967</v>
      </c>
      <c r="G1873" t="str">
        <f t="shared" si="118"/>
        <v>Obese</v>
      </c>
      <c r="H1873" t="str">
        <f t="shared" si="119"/>
        <v>OK</v>
      </c>
      <c r="I1873" t="str">
        <f t="shared" si="116"/>
        <v>OK</v>
      </c>
    </row>
    <row r="1874" spans="1:9" x14ac:dyDescent="0.2">
      <c r="A1874" t="str">
        <f>ObesityDataSet_raw_and_data_sin!A1874</f>
        <v>Female</v>
      </c>
      <c r="B1874">
        <f>ObesityDataSet_raw_and_data_sin!C1874</f>
        <v>1.7329509999999999</v>
      </c>
      <c r="C1874">
        <f>ObesityDataSet_raw_and_data_sin!D1874</f>
        <v>132.90488400000001</v>
      </c>
      <c r="D1874" t="str">
        <f>ObesityDataSet_raw_and_data_sin!Q1874</f>
        <v>Obesity_Type_III</v>
      </c>
      <c r="E1874" t="b">
        <f t="shared" si="117"/>
        <v>0</v>
      </c>
      <c r="F1874">
        <f>C1874/(B1874*B1874)</f>
        <v>44.255614428635795</v>
      </c>
      <c r="G1874" t="str">
        <f t="shared" si="118"/>
        <v>Obese</v>
      </c>
      <c r="H1874" t="str">
        <f t="shared" si="119"/>
        <v>OK</v>
      </c>
      <c r="I1874" t="str">
        <f t="shared" si="116"/>
        <v>OK</v>
      </c>
    </row>
    <row r="1875" spans="1:9" x14ac:dyDescent="0.2">
      <c r="A1875" t="str">
        <f>ObesityDataSet_raw_and_data_sin!A1875</f>
        <v>Female</v>
      </c>
      <c r="B1875">
        <f>ObesityDataSet_raw_and_data_sin!C1875</f>
        <v>1.6913499999999999</v>
      </c>
      <c r="C1875">
        <f>ObesityDataSet_raw_and_data_sin!D1875</f>
        <v>114.48069599999999</v>
      </c>
      <c r="D1875" t="str">
        <f>ObesityDataSet_raw_and_data_sin!Q1875</f>
        <v>Obesity_Type_III</v>
      </c>
      <c r="E1875" t="b">
        <f t="shared" si="117"/>
        <v>0</v>
      </c>
      <c r="F1875">
        <f>C1875/(B1875*B1875)</f>
        <v>40.018912771455945</v>
      </c>
      <c r="G1875" t="str">
        <f t="shared" si="118"/>
        <v>Obese</v>
      </c>
      <c r="H1875" t="str">
        <f t="shared" si="119"/>
        <v>OK</v>
      </c>
      <c r="I1875" t="str">
        <f t="shared" si="116"/>
        <v>OK</v>
      </c>
    </row>
    <row r="1876" spans="1:9" x14ac:dyDescent="0.2">
      <c r="A1876" t="str">
        <f>ObesityDataSet_raw_and_data_sin!A1876</f>
        <v>Female</v>
      </c>
      <c r="B1876">
        <f>ObesityDataSet_raw_and_data_sin!C1876</f>
        <v>1.635062</v>
      </c>
      <c r="C1876">
        <f>ObesityDataSet_raw_and_data_sin!D1876</f>
        <v>113.277388</v>
      </c>
      <c r="D1876" t="str">
        <f>ObesityDataSet_raw_and_data_sin!Q1876</f>
        <v>Obesity_Type_III</v>
      </c>
      <c r="E1876" t="b">
        <f t="shared" si="117"/>
        <v>0</v>
      </c>
      <c r="F1876">
        <f>C1876/(B1876*B1876)</f>
        <v>42.371591400156419</v>
      </c>
      <c r="G1876" t="str">
        <f t="shared" si="118"/>
        <v>Obese</v>
      </c>
      <c r="H1876" t="str">
        <f t="shared" si="119"/>
        <v>OK</v>
      </c>
      <c r="I1876" t="str">
        <f t="shared" si="116"/>
        <v>OK</v>
      </c>
    </row>
    <row r="1877" spans="1:9" x14ac:dyDescent="0.2">
      <c r="A1877" t="str">
        <f>ObesityDataSet_raw_and_data_sin!A1877</f>
        <v>Female</v>
      </c>
      <c r="B1877">
        <f>ObesityDataSet_raw_and_data_sin!C1877</f>
        <v>1.7460610000000001</v>
      </c>
      <c r="C1877">
        <f>ObesityDataSet_raw_and_data_sin!D1877</f>
        <v>128.261402</v>
      </c>
      <c r="D1877" t="str">
        <f>ObesityDataSet_raw_and_data_sin!Q1877</f>
        <v>Obesity_Type_III</v>
      </c>
      <c r="E1877" t="b">
        <f t="shared" si="117"/>
        <v>0</v>
      </c>
      <c r="F1877">
        <f>C1877/(B1877*B1877)</f>
        <v>42.070450124825932</v>
      </c>
      <c r="G1877" t="str">
        <f t="shared" si="118"/>
        <v>Obese</v>
      </c>
      <c r="H1877" t="str">
        <f t="shared" si="119"/>
        <v>OK</v>
      </c>
      <c r="I1877" t="str">
        <f t="shared" si="116"/>
        <v>OK</v>
      </c>
    </row>
    <row r="1878" spans="1:9" x14ac:dyDescent="0.2">
      <c r="A1878" t="str">
        <f>ObesityDataSet_raw_and_data_sin!A1878</f>
        <v>Female</v>
      </c>
      <c r="B1878">
        <f>ObesityDataSet_raw_and_data_sin!C1878</f>
        <v>1.746529</v>
      </c>
      <c r="C1878">
        <f>ObesityDataSet_raw_and_data_sin!D1878</f>
        <v>129.36377100000001</v>
      </c>
      <c r="D1878" t="str">
        <f>ObesityDataSet_raw_and_data_sin!Q1878</f>
        <v>Obesity_Type_III</v>
      </c>
      <c r="E1878" t="b">
        <f t="shared" si="117"/>
        <v>0</v>
      </c>
      <c r="F1878">
        <f>C1878/(B1878*B1878)</f>
        <v>42.40929612850956</v>
      </c>
      <c r="G1878" t="str">
        <f t="shared" si="118"/>
        <v>Obese</v>
      </c>
      <c r="H1878" t="str">
        <f t="shared" si="119"/>
        <v>OK</v>
      </c>
      <c r="I1878" t="str">
        <f t="shared" si="116"/>
        <v>OK</v>
      </c>
    </row>
    <row r="1879" spans="1:9" x14ac:dyDescent="0.2">
      <c r="A1879" t="str">
        <f>ObesityDataSet_raw_and_data_sin!A1879</f>
        <v>Female</v>
      </c>
      <c r="B1879">
        <f>ObesityDataSet_raw_and_data_sin!C1879</f>
        <v>1.746516</v>
      </c>
      <c r="C1879">
        <f>ObesityDataSet_raw_and_data_sin!D1879</f>
        <v>144.30226099999999</v>
      </c>
      <c r="D1879" t="str">
        <f>ObesityDataSet_raw_and_data_sin!Q1879</f>
        <v>Obesity_Type_III</v>
      </c>
      <c r="E1879" t="b">
        <f t="shared" si="117"/>
        <v>0</v>
      </c>
      <c r="F1879">
        <f>C1879/(B1879*B1879)</f>
        <v>47.307282211062713</v>
      </c>
      <c r="G1879" t="str">
        <f t="shared" si="118"/>
        <v>Obese</v>
      </c>
      <c r="H1879" t="str">
        <f t="shared" si="119"/>
        <v>OK</v>
      </c>
      <c r="I1879" t="str">
        <f t="shared" si="116"/>
        <v>OK</v>
      </c>
    </row>
    <row r="1880" spans="1:9" x14ac:dyDescent="0.2">
      <c r="A1880" t="str">
        <f>ObesityDataSet_raw_and_data_sin!A1880</f>
        <v>Female</v>
      </c>
      <c r="B1880">
        <f>ObesityDataSet_raw_and_data_sin!C1880</f>
        <v>1.751118</v>
      </c>
      <c r="C1880">
        <f>ObesityDataSet_raw_and_data_sin!D1880</f>
        <v>149.29110600000001</v>
      </c>
      <c r="D1880" t="str">
        <f>ObesityDataSet_raw_and_data_sin!Q1880</f>
        <v>Obesity_Type_III</v>
      </c>
      <c r="E1880" t="b">
        <f t="shared" si="117"/>
        <v>0</v>
      </c>
      <c r="F1880">
        <f>C1880/(B1880*B1880)</f>
        <v>48.685889717509681</v>
      </c>
      <c r="G1880" t="str">
        <f t="shared" si="118"/>
        <v>Obese</v>
      </c>
      <c r="H1880" t="str">
        <f t="shared" si="119"/>
        <v>OK</v>
      </c>
      <c r="I1880" t="str">
        <f t="shared" si="116"/>
        <v>OK</v>
      </c>
    </row>
    <row r="1881" spans="1:9" x14ac:dyDescent="0.2">
      <c r="A1881" t="str">
        <f>ObesityDataSet_raw_and_data_sin!A1881</f>
        <v>Female</v>
      </c>
      <c r="B1881">
        <f>ObesityDataSet_raw_and_data_sin!C1881</f>
        <v>1.7410140000000001</v>
      </c>
      <c r="C1881">
        <f>ObesityDataSet_raw_and_data_sin!D1881</f>
        <v>132.57927000000001</v>
      </c>
      <c r="D1881" t="str">
        <f>ObesityDataSet_raw_and_data_sin!Q1881</f>
        <v>Obesity_Type_III</v>
      </c>
      <c r="E1881" t="b">
        <f t="shared" si="117"/>
        <v>0</v>
      </c>
      <c r="F1881">
        <f>C1881/(B1881*B1881)</f>
        <v>43.739226299667827</v>
      </c>
      <c r="G1881" t="str">
        <f t="shared" si="118"/>
        <v>Obese</v>
      </c>
      <c r="H1881" t="str">
        <f t="shared" si="119"/>
        <v>OK</v>
      </c>
      <c r="I1881" t="str">
        <f t="shared" si="116"/>
        <v>OK</v>
      </c>
    </row>
    <row r="1882" spans="1:9" x14ac:dyDescent="0.2">
      <c r="A1882" t="str">
        <f>ObesityDataSet_raw_and_data_sin!A1882</f>
        <v>Female</v>
      </c>
      <c r="B1882">
        <f>ObesityDataSet_raw_and_data_sin!C1882</f>
        <v>1.7485329999999999</v>
      </c>
      <c r="C1882">
        <f>ObesityDataSet_raw_and_data_sin!D1882</f>
        <v>133.94607999999999</v>
      </c>
      <c r="D1882" t="str">
        <f>ObesityDataSet_raw_and_data_sin!Q1882</f>
        <v>Obesity_Type_III</v>
      </c>
      <c r="E1882" t="b">
        <f t="shared" si="117"/>
        <v>0</v>
      </c>
      <c r="F1882">
        <f>C1882/(B1882*B1882)</f>
        <v>43.810916854725996</v>
      </c>
      <c r="G1882" t="str">
        <f t="shared" si="118"/>
        <v>Obese</v>
      </c>
      <c r="H1882" t="str">
        <f t="shared" si="119"/>
        <v>OK</v>
      </c>
      <c r="I1882" t="str">
        <f t="shared" si="116"/>
        <v>OK</v>
      </c>
    </row>
    <row r="1883" spans="1:9" x14ac:dyDescent="0.2">
      <c r="A1883" t="str">
        <f>ObesityDataSet_raw_and_data_sin!A1883</f>
        <v>Female</v>
      </c>
      <c r="B1883">
        <f>ObesityDataSet_raw_and_data_sin!C1883</f>
        <v>1.694726</v>
      </c>
      <c r="C1883">
        <f>ObesityDataSet_raw_and_data_sin!D1883</f>
        <v>112.776612</v>
      </c>
      <c r="D1883" t="str">
        <f>ObesityDataSet_raw_and_data_sin!Q1883</f>
        <v>Obesity_Type_III</v>
      </c>
      <c r="E1883" t="b">
        <f t="shared" si="117"/>
        <v>0</v>
      </c>
      <c r="F1883">
        <f>C1883/(B1883*B1883)</f>
        <v>39.266307099330852</v>
      </c>
      <c r="G1883" t="str">
        <f t="shared" si="118"/>
        <v>Obese</v>
      </c>
      <c r="H1883" t="str">
        <f t="shared" si="119"/>
        <v>OK</v>
      </c>
      <c r="I1883" t="str">
        <f t="shared" si="116"/>
        <v>OK</v>
      </c>
    </row>
    <row r="1884" spans="1:9" x14ac:dyDescent="0.2">
      <c r="A1884" t="str">
        <f>ObesityDataSet_raw_and_data_sin!A1884</f>
        <v>Female</v>
      </c>
      <c r="B1884">
        <f>ObesityDataSet_raw_and_data_sin!C1884</f>
        <v>1.674515</v>
      </c>
      <c r="C1884">
        <f>ObesityDataSet_raw_and_data_sin!D1884</f>
        <v>112.879662</v>
      </c>
      <c r="D1884" t="str">
        <f>ObesityDataSet_raw_and_data_sin!Q1884</f>
        <v>Obesity_Type_III</v>
      </c>
      <c r="E1884" t="b">
        <f t="shared" si="117"/>
        <v>0</v>
      </c>
      <c r="F1884">
        <f>C1884/(B1884*B1884)</f>
        <v>40.256648525844405</v>
      </c>
      <c r="G1884" t="str">
        <f t="shared" si="118"/>
        <v>Obese</v>
      </c>
      <c r="H1884" t="str">
        <f t="shared" si="119"/>
        <v>OK</v>
      </c>
      <c r="I1884" t="str">
        <f t="shared" si="116"/>
        <v>OK</v>
      </c>
    </row>
    <row r="1885" spans="1:9" x14ac:dyDescent="0.2">
      <c r="A1885" t="str">
        <f>ObesityDataSet_raw_and_data_sin!A1885</f>
        <v>Female</v>
      </c>
      <c r="B1885">
        <f>ObesityDataSet_raw_and_data_sin!C1885</f>
        <v>1.631332</v>
      </c>
      <c r="C1885">
        <f>ObesityDataSet_raw_and_data_sin!D1885</f>
        <v>111.82995699999999</v>
      </c>
      <c r="D1885" t="str">
        <f>ObesityDataSet_raw_and_data_sin!Q1885</f>
        <v>Obesity_Type_III</v>
      </c>
      <c r="E1885" t="b">
        <f t="shared" si="117"/>
        <v>0</v>
      </c>
      <c r="F1885">
        <f>C1885/(B1885*B1885)</f>
        <v>42.021683483569667</v>
      </c>
      <c r="G1885" t="str">
        <f t="shared" si="118"/>
        <v>Obese</v>
      </c>
      <c r="H1885" t="str">
        <f t="shared" si="119"/>
        <v>OK</v>
      </c>
      <c r="I1885" t="str">
        <f t="shared" si="116"/>
        <v>OK</v>
      </c>
    </row>
    <row r="1886" spans="1:9" x14ac:dyDescent="0.2">
      <c r="A1886" t="str">
        <f>ObesityDataSet_raw_and_data_sin!A1886</f>
        <v>Female</v>
      </c>
      <c r="B1886">
        <f>ObesityDataSet_raw_and_data_sin!C1886</f>
        <v>1.641918</v>
      </c>
      <c r="C1886">
        <f>ObesityDataSet_raw_and_data_sin!D1886</f>
        <v>111.86899</v>
      </c>
      <c r="D1886" t="str">
        <f>ObesityDataSet_raw_and_data_sin!Q1886</f>
        <v>Obesity_Type_III</v>
      </c>
      <c r="E1886" t="b">
        <f t="shared" si="117"/>
        <v>0</v>
      </c>
      <c r="F1886">
        <f>C1886/(B1886*B1886)</f>
        <v>41.496052951559236</v>
      </c>
      <c r="G1886" t="str">
        <f t="shared" si="118"/>
        <v>Obese</v>
      </c>
      <c r="H1886" t="str">
        <f t="shared" si="119"/>
        <v>OK</v>
      </c>
      <c r="I1886" t="str">
        <f t="shared" si="116"/>
        <v>OK</v>
      </c>
    </row>
    <row r="1887" spans="1:9" x14ac:dyDescent="0.2">
      <c r="A1887" t="str">
        <f>ObesityDataSet_raw_and_data_sin!A1887</f>
        <v>Female</v>
      </c>
      <c r="B1887">
        <f>ObesityDataSet_raw_and_data_sin!C1887</f>
        <v>1.6401250000000001</v>
      </c>
      <c r="C1887">
        <f>ObesityDataSet_raw_and_data_sin!D1887</f>
        <v>111.539494</v>
      </c>
      <c r="D1887" t="str">
        <f>ObesityDataSet_raw_and_data_sin!Q1887</f>
        <v>Obesity_Type_III</v>
      </c>
      <c r="E1887" t="b">
        <f t="shared" si="117"/>
        <v>0</v>
      </c>
      <c r="F1887">
        <f>C1887/(B1887*B1887)</f>
        <v>41.464341527399405</v>
      </c>
      <c r="G1887" t="str">
        <f t="shared" si="118"/>
        <v>Obese</v>
      </c>
      <c r="H1887" t="str">
        <f t="shared" si="119"/>
        <v>OK</v>
      </c>
      <c r="I1887" t="str">
        <f t="shared" si="116"/>
        <v>OK</v>
      </c>
    </row>
    <row r="1888" spans="1:9" x14ac:dyDescent="0.2">
      <c r="A1888" t="str">
        <f>ObesityDataSet_raw_and_data_sin!A1888</f>
        <v>Female</v>
      </c>
      <c r="B1888">
        <f>ObesityDataSet_raw_and_data_sin!C1888</f>
        <v>1.649178</v>
      </c>
      <c r="C1888">
        <f>ObesityDataSet_raw_and_data_sin!D1888</f>
        <v>111.914361</v>
      </c>
      <c r="D1888" t="str">
        <f>ObesityDataSet_raw_and_data_sin!Q1888</f>
        <v>Obesity_Type_III</v>
      </c>
      <c r="E1888" t="b">
        <f t="shared" si="117"/>
        <v>0</v>
      </c>
      <c r="F1888">
        <f>C1888/(B1888*B1888)</f>
        <v>41.148191655283519</v>
      </c>
      <c r="G1888" t="str">
        <f t="shared" si="118"/>
        <v>Obese</v>
      </c>
      <c r="H1888" t="str">
        <f t="shared" si="119"/>
        <v>OK</v>
      </c>
      <c r="I1888" t="str">
        <f t="shared" si="116"/>
        <v>OK</v>
      </c>
    </row>
    <row r="1889" spans="1:9" x14ac:dyDescent="0.2">
      <c r="A1889" t="str">
        <f>ObesityDataSet_raw_and_data_sin!A1889</f>
        <v>Female</v>
      </c>
      <c r="B1889">
        <f>ObesityDataSet_raw_and_data_sin!C1889</f>
        <v>1.6034040000000001</v>
      </c>
      <c r="C1889">
        <f>ObesityDataSet_raw_and_data_sin!D1889</f>
        <v>105.031908</v>
      </c>
      <c r="D1889" t="str">
        <f>ObesityDataSet_raw_and_data_sin!Q1889</f>
        <v>Obesity_Type_III</v>
      </c>
      <c r="E1889" t="b">
        <f t="shared" si="117"/>
        <v>0</v>
      </c>
      <c r="F1889">
        <f>C1889/(B1889*B1889)</f>
        <v>40.854070078326686</v>
      </c>
      <c r="G1889" t="str">
        <f t="shared" si="118"/>
        <v>Obese</v>
      </c>
      <c r="H1889" t="str">
        <f t="shared" si="119"/>
        <v>OK</v>
      </c>
      <c r="I1889" t="str">
        <f t="shared" si="116"/>
        <v>OK</v>
      </c>
    </row>
    <row r="1890" spans="1:9" x14ac:dyDescent="0.2">
      <c r="A1890" t="str">
        <f>ObesityDataSet_raw_and_data_sin!A1890</f>
        <v>Female</v>
      </c>
      <c r="B1890">
        <f>ObesityDataSet_raw_and_data_sin!C1890</f>
        <v>1.644199</v>
      </c>
      <c r="C1890">
        <f>ObesityDataSet_raw_and_data_sin!D1890</f>
        <v>105.036075</v>
      </c>
      <c r="D1890" t="str">
        <f>ObesityDataSet_raw_and_data_sin!Q1890</f>
        <v>Obesity_Type_III</v>
      </c>
      <c r="E1890" t="b">
        <f t="shared" si="117"/>
        <v>0</v>
      </c>
      <c r="F1890">
        <f>C1890/(B1890*B1890)</f>
        <v>38.853462260008293</v>
      </c>
      <c r="G1890" t="str">
        <f t="shared" si="118"/>
        <v>Obese</v>
      </c>
      <c r="H1890" t="str">
        <f t="shared" si="119"/>
        <v>OK</v>
      </c>
      <c r="I1890" t="str">
        <f t="shared" si="116"/>
        <v>OK</v>
      </c>
    </row>
    <row r="1891" spans="1:9" x14ac:dyDescent="0.2">
      <c r="A1891" t="str">
        <f>ObesityDataSet_raw_and_data_sin!A1891</f>
        <v>Female</v>
      </c>
      <c r="B1891">
        <f>ObesityDataSet_raw_and_data_sin!C1891</f>
        <v>1.6289089999999999</v>
      </c>
      <c r="C1891">
        <f>ObesityDataSet_raw_and_data_sin!D1891</f>
        <v>106.875927</v>
      </c>
      <c r="D1891" t="str">
        <f>ObesityDataSet_raw_and_data_sin!Q1891</f>
        <v>Obesity_Type_III</v>
      </c>
      <c r="E1891" t="b">
        <f t="shared" si="117"/>
        <v>0</v>
      </c>
      <c r="F1891">
        <f>C1891/(B1891*B1891)</f>
        <v>40.279702006388675</v>
      </c>
      <c r="G1891" t="str">
        <f t="shared" si="118"/>
        <v>Obese</v>
      </c>
      <c r="H1891" t="str">
        <f t="shared" si="119"/>
        <v>OK</v>
      </c>
      <c r="I1891" t="str">
        <f t="shared" si="116"/>
        <v>OK</v>
      </c>
    </row>
    <row r="1892" spans="1:9" x14ac:dyDescent="0.2">
      <c r="A1892" t="str">
        <f>ObesityDataSet_raw_and_data_sin!A1892</f>
        <v>Female</v>
      </c>
      <c r="B1892">
        <f>ObesityDataSet_raw_and_data_sin!C1892</f>
        <v>1.6280190000000001</v>
      </c>
      <c r="C1892">
        <f>ObesityDataSet_raw_and_data_sin!D1892</f>
        <v>108.265922</v>
      </c>
      <c r="D1892" t="str">
        <f>ObesityDataSet_raw_and_data_sin!Q1892</f>
        <v>Obesity_Type_III</v>
      </c>
      <c r="E1892" t="b">
        <f t="shared" si="117"/>
        <v>0</v>
      </c>
      <c r="F1892">
        <f>C1892/(B1892*B1892)</f>
        <v>40.848192168641773</v>
      </c>
      <c r="G1892" t="str">
        <f t="shared" si="118"/>
        <v>Obese</v>
      </c>
      <c r="H1892" t="str">
        <f t="shared" si="119"/>
        <v>OK</v>
      </c>
      <c r="I1892" t="str">
        <f t="shared" si="116"/>
        <v>OK</v>
      </c>
    </row>
    <row r="1893" spans="1:9" x14ac:dyDescent="0.2">
      <c r="A1893" t="str">
        <f>ObesityDataSet_raw_and_data_sin!A1893</f>
        <v>Female</v>
      </c>
      <c r="B1893">
        <f>ObesityDataSet_raw_and_data_sin!C1893</f>
        <v>1.71818</v>
      </c>
      <c r="C1893">
        <f>ObesityDataSet_raw_and_data_sin!D1893</f>
        <v>133.46676299999999</v>
      </c>
      <c r="D1893" t="str">
        <f>ObesityDataSet_raw_and_data_sin!Q1893</f>
        <v>Obesity_Type_III</v>
      </c>
      <c r="E1893" t="b">
        <f t="shared" si="117"/>
        <v>0</v>
      </c>
      <c r="F1893">
        <f>C1893/(B1893*B1893)</f>
        <v>45.210135499690246</v>
      </c>
      <c r="G1893" t="str">
        <f t="shared" si="118"/>
        <v>Obese</v>
      </c>
      <c r="H1893" t="str">
        <f t="shared" si="119"/>
        <v>OK</v>
      </c>
      <c r="I1893" t="str">
        <f t="shared" si="116"/>
        <v>OK</v>
      </c>
    </row>
    <row r="1894" spans="1:9" x14ac:dyDescent="0.2">
      <c r="A1894" t="str">
        <f>ObesityDataSet_raw_and_data_sin!A1894</f>
        <v>Female</v>
      </c>
      <c r="B1894">
        <f>ObesityDataSet_raw_and_data_sin!C1894</f>
        <v>1.7085809999999999</v>
      </c>
      <c r="C1894">
        <f>ObesityDataSet_raw_and_data_sin!D1894</f>
        <v>131.27485100000001</v>
      </c>
      <c r="D1894" t="str">
        <f>ObesityDataSet_raw_and_data_sin!Q1894</f>
        <v>Obesity_Type_III</v>
      </c>
      <c r="E1894" t="b">
        <f t="shared" si="117"/>
        <v>0</v>
      </c>
      <c r="F1894">
        <f>C1894/(B1894*B1894)</f>
        <v>44.968705818107772</v>
      </c>
      <c r="G1894" t="str">
        <f t="shared" si="118"/>
        <v>Obese</v>
      </c>
      <c r="H1894" t="str">
        <f t="shared" si="119"/>
        <v>OK</v>
      </c>
      <c r="I1894" t="str">
        <f t="shared" si="116"/>
        <v>OK</v>
      </c>
    </row>
    <row r="1895" spans="1:9" x14ac:dyDescent="0.2">
      <c r="A1895" t="str">
        <f>ObesityDataSet_raw_and_data_sin!A1895</f>
        <v>Female</v>
      </c>
      <c r="B1895">
        <f>ObesityDataSet_raw_and_data_sin!C1895</f>
        <v>1.7249829999999999</v>
      </c>
      <c r="C1895">
        <f>ObesityDataSet_raw_and_data_sin!D1895</f>
        <v>132.94066000000001</v>
      </c>
      <c r="D1895" t="str">
        <f>ObesityDataSet_raw_and_data_sin!Q1895</f>
        <v>Obesity_Type_III</v>
      </c>
      <c r="E1895" t="b">
        <f t="shared" si="117"/>
        <v>0</v>
      </c>
      <c r="F1895">
        <f>C1895/(B1895*B1895)</f>
        <v>44.677430898856699</v>
      </c>
      <c r="G1895" t="str">
        <f t="shared" si="118"/>
        <v>Obese</v>
      </c>
      <c r="H1895" t="str">
        <f t="shared" si="119"/>
        <v>OK</v>
      </c>
      <c r="I1895" t="str">
        <f t="shared" si="116"/>
        <v>OK</v>
      </c>
    </row>
    <row r="1896" spans="1:9" x14ac:dyDescent="0.2">
      <c r="A1896" t="str">
        <f>ObesityDataSet_raw_and_data_sin!A1896</f>
        <v>Female</v>
      </c>
      <c r="B1896">
        <f>ObesityDataSet_raw_and_data_sin!C1896</f>
        <v>1.7399910000000001</v>
      </c>
      <c r="C1896">
        <f>ObesityDataSet_raw_and_data_sin!D1896</f>
        <v>133.485478</v>
      </c>
      <c r="D1896" t="str">
        <f>ObesityDataSet_raw_and_data_sin!Q1896</f>
        <v>Obesity_Type_III</v>
      </c>
      <c r="E1896" t="b">
        <f t="shared" si="117"/>
        <v>0</v>
      </c>
      <c r="F1896">
        <f>C1896/(B1896*B1896)</f>
        <v>44.089991707943248</v>
      </c>
      <c r="G1896" t="str">
        <f t="shared" si="118"/>
        <v>Obese</v>
      </c>
      <c r="H1896" t="str">
        <f t="shared" si="119"/>
        <v>OK</v>
      </c>
      <c r="I1896" t="str">
        <f t="shared" si="116"/>
        <v>OK</v>
      </c>
    </row>
    <row r="1897" spans="1:9" x14ac:dyDescent="0.2">
      <c r="A1897" t="str">
        <f>ObesityDataSet_raw_and_data_sin!A1897</f>
        <v>Female</v>
      </c>
      <c r="B1897">
        <f>ObesityDataSet_raw_and_data_sin!C1897</f>
        <v>1.568543</v>
      </c>
      <c r="C1897">
        <f>ObesityDataSet_raw_and_data_sin!D1897</f>
        <v>102.000122</v>
      </c>
      <c r="D1897" t="str">
        <f>ObesityDataSet_raw_and_data_sin!Q1897</f>
        <v>Obesity_Type_III</v>
      </c>
      <c r="E1897" t="b">
        <f t="shared" si="117"/>
        <v>0</v>
      </c>
      <c r="F1897">
        <f>C1897/(B1897*B1897)</f>
        <v>41.457950946265747</v>
      </c>
      <c r="G1897" t="str">
        <f t="shared" si="118"/>
        <v>Obese</v>
      </c>
      <c r="H1897" t="str">
        <f t="shared" si="119"/>
        <v>OK</v>
      </c>
      <c r="I1897" t="str">
        <f t="shared" si="116"/>
        <v>OK</v>
      </c>
    </row>
    <row r="1898" spans="1:9" x14ac:dyDescent="0.2">
      <c r="A1898" t="str">
        <f>ObesityDataSet_raw_and_data_sin!A1898</f>
        <v>Female</v>
      </c>
      <c r="B1898">
        <f>ObesityDataSet_raw_and_data_sin!C1898</f>
        <v>1.579893</v>
      </c>
      <c r="C1898">
        <f>ObesityDataSet_raw_and_data_sin!D1898</f>
        <v>102.134646</v>
      </c>
      <c r="D1898" t="str">
        <f>ObesityDataSet_raw_and_data_sin!Q1898</f>
        <v>Obesity_Type_III</v>
      </c>
      <c r="E1898" t="b">
        <f t="shared" si="117"/>
        <v>0</v>
      </c>
      <c r="F1898">
        <f>C1898/(B1898*B1898)</f>
        <v>40.918314706014506</v>
      </c>
      <c r="G1898" t="str">
        <f t="shared" si="118"/>
        <v>Obese</v>
      </c>
      <c r="H1898" t="str">
        <f t="shared" si="119"/>
        <v>OK</v>
      </c>
      <c r="I1898" t="str">
        <f t="shared" si="116"/>
        <v>OK</v>
      </c>
    </row>
    <row r="1899" spans="1:9" x14ac:dyDescent="0.2">
      <c r="A1899" t="str">
        <f>ObesityDataSet_raw_and_data_sin!A1899</f>
        <v>Female</v>
      </c>
      <c r="B1899">
        <f>ObesityDataSet_raw_and_data_sin!C1899</f>
        <v>1.7827139999999999</v>
      </c>
      <c r="C1899">
        <f>ObesityDataSet_raw_and_data_sin!D1899</f>
        <v>154.61844600000001</v>
      </c>
      <c r="D1899" t="str">
        <f>ObesityDataSet_raw_and_data_sin!Q1899</f>
        <v>Obesity_Type_III</v>
      </c>
      <c r="E1899" t="b">
        <f t="shared" si="117"/>
        <v>0</v>
      </c>
      <c r="F1899">
        <f>C1899/(B1899*B1899)</f>
        <v>48.651692580518642</v>
      </c>
      <c r="G1899" t="str">
        <f t="shared" si="118"/>
        <v>Obese</v>
      </c>
      <c r="H1899" t="str">
        <f t="shared" si="119"/>
        <v>OK</v>
      </c>
      <c r="I1899" t="str">
        <f t="shared" si="116"/>
        <v>OK</v>
      </c>
    </row>
    <row r="1900" spans="1:9" x14ac:dyDescent="0.2">
      <c r="A1900" t="str">
        <f>ObesityDataSet_raw_and_data_sin!A1900</f>
        <v>Female</v>
      </c>
      <c r="B1900">
        <f>ObesityDataSet_raw_and_data_sin!C1900</f>
        <v>1.7938240000000001</v>
      </c>
      <c r="C1900">
        <f>ObesityDataSet_raw_and_data_sin!D1900</f>
        <v>160.935351</v>
      </c>
      <c r="D1900" t="str">
        <f>ObesityDataSet_raw_and_data_sin!Q1900</f>
        <v>Obesity_Type_III</v>
      </c>
      <c r="E1900" t="b">
        <f t="shared" si="117"/>
        <v>0</v>
      </c>
      <c r="F1900">
        <f>C1900/(B1900*B1900)</f>
        <v>50.014023179654735</v>
      </c>
      <c r="G1900" t="str">
        <f t="shared" si="118"/>
        <v>Obese</v>
      </c>
      <c r="H1900" t="str">
        <f t="shared" si="119"/>
        <v>OK</v>
      </c>
      <c r="I1900" t="str">
        <f t="shared" si="116"/>
        <v>OK</v>
      </c>
    </row>
    <row r="1901" spans="1:9" x14ac:dyDescent="0.2">
      <c r="A1901" t="str">
        <f>ObesityDataSet_raw_and_data_sin!A1901</f>
        <v>Female</v>
      </c>
      <c r="B1901">
        <f>ObesityDataSet_raw_and_data_sin!C1901</f>
        <v>1.6595569999999999</v>
      </c>
      <c r="C1901">
        <f>ObesityDataSet_raw_and_data_sin!D1901</f>
        <v>111.99909599999999</v>
      </c>
      <c r="D1901" t="str">
        <f>ObesityDataSet_raw_and_data_sin!Q1901</f>
        <v>Obesity_Type_III</v>
      </c>
      <c r="E1901" t="b">
        <f t="shared" si="117"/>
        <v>0</v>
      </c>
      <c r="F1901">
        <f>C1901/(B1901*B1901)</f>
        <v>40.665879579188449</v>
      </c>
      <c r="G1901" t="str">
        <f t="shared" si="118"/>
        <v>Obese</v>
      </c>
      <c r="H1901" t="str">
        <f t="shared" si="119"/>
        <v>OK</v>
      </c>
      <c r="I1901" t="str">
        <f t="shared" si="116"/>
        <v>OK</v>
      </c>
    </row>
    <row r="1902" spans="1:9" x14ac:dyDescent="0.2">
      <c r="A1902" t="str">
        <f>ObesityDataSet_raw_and_data_sin!A1902</f>
        <v>Female</v>
      </c>
      <c r="B1902">
        <f>ObesityDataSet_raw_and_data_sin!C1902</f>
        <v>1.6578200000000001</v>
      </c>
      <c r="C1902">
        <f>ObesityDataSet_raw_and_data_sin!D1902</f>
        <v>111.95611</v>
      </c>
      <c r="D1902" t="str">
        <f>ObesityDataSet_raw_and_data_sin!Q1902</f>
        <v>Obesity_Type_III</v>
      </c>
      <c r="E1902" t="b">
        <f t="shared" si="117"/>
        <v>0</v>
      </c>
      <c r="F1902">
        <f>C1902/(B1902*B1902)</f>
        <v>40.735499950301325</v>
      </c>
      <c r="G1902" t="str">
        <f t="shared" si="118"/>
        <v>Obese</v>
      </c>
      <c r="H1902" t="str">
        <f t="shared" si="119"/>
        <v>OK</v>
      </c>
      <c r="I1902" t="str">
        <f t="shared" si="116"/>
        <v>OK</v>
      </c>
    </row>
    <row r="1903" spans="1:9" x14ac:dyDescent="0.2">
      <c r="A1903" t="str">
        <f>ObesityDataSet_raw_and_data_sin!A1903</f>
        <v>Female</v>
      </c>
      <c r="B1903">
        <f>ObesityDataSet_raw_and_data_sin!C1903</f>
        <v>1.6840820000000001</v>
      </c>
      <c r="C1903">
        <f>ObesityDataSet_raw_and_data_sin!D1903</f>
        <v>104.592372</v>
      </c>
      <c r="D1903" t="str">
        <f>ObesityDataSet_raw_and_data_sin!Q1903</f>
        <v>Obesity_Type_III</v>
      </c>
      <c r="E1903" t="b">
        <f t="shared" si="117"/>
        <v>0</v>
      </c>
      <c r="F1903">
        <f>C1903/(B1903*B1903)</f>
        <v>36.878525139664994</v>
      </c>
      <c r="G1903" t="str">
        <f t="shared" si="118"/>
        <v>Obese</v>
      </c>
      <c r="H1903" t="str">
        <f t="shared" si="119"/>
        <v>OK</v>
      </c>
      <c r="I1903" t="str">
        <f t="shared" si="116"/>
        <v>OK</v>
      </c>
    </row>
    <row r="1904" spans="1:9" x14ac:dyDescent="0.2">
      <c r="A1904" t="str">
        <f>ObesityDataSet_raw_and_data_sin!A1904</f>
        <v>Female</v>
      </c>
      <c r="B1904">
        <f>ObesityDataSet_raw_and_data_sin!C1904</f>
        <v>1.6839500000000001</v>
      </c>
      <c r="C1904">
        <f>ObesityDataSet_raw_and_data_sin!D1904</f>
        <v>104.846817</v>
      </c>
      <c r="D1904" t="str">
        <f>ObesityDataSet_raw_and_data_sin!Q1904</f>
        <v>Obesity_Type_III</v>
      </c>
      <c r="E1904" t="b">
        <f t="shared" si="117"/>
        <v>0</v>
      </c>
      <c r="F1904">
        <f>C1904/(B1904*B1904)</f>
        <v>36.974036529117278</v>
      </c>
      <c r="G1904" t="str">
        <f t="shared" si="118"/>
        <v>Obese</v>
      </c>
      <c r="H1904" t="str">
        <f t="shared" si="119"/>
        <v>OK</v>
      </c>
      <c r="I1904" t="str">
        <f t="shared" si="116"/>
        <v>OK</v>
      </c>
    </row>
    <row r="1905" spans="1:9" x14ac:dyDescent="0.2">
      <c r="A1905" t="str">
        <f>ObesityDataSet_raw_and_data_sin!A1905</f>
        <v>Female</v>
      </c>
      <c r="B1905">
        <f>ObesityDataSet_raw_and_data_sin!C1905</f>
        <v>1.716521</v>
      </c>
      <c r="C1905">
        <f>ObesityDataSet_raw_and_data_sin!D1905</f>
        <v>127.642324</v>
      </c>
      <c r="D1905" t="str">
        <f>ObesityDataSet_raw_and_data_sin!Q1905</f>
        <v>Obesity_Type_III</v>
      </c>
      <c r="E1905" t="b">
        <f t="shared" si="117"/>
        <v>0</v>
      </c>
      <c r="F1905">
        <f>C1905/(B1905*B1905)</f>
        <v>43.320799282749441</v>
      </c>
      <c r="G1905" t="str">
        <f t="shared" si="118"/>
        <v>Obese</v>
      </c>
      <c r="H1905" t="str">
        <f t="shared" si="119"/>
        <v>OK</v>
      </c>
      <c r="I1905" t="str">
        <f t="shared" si="116"/>
        <v>OK</v>
      </c>
    </row>
    <row r="1906" spans="1:9" x14ac:dyDescent="0.2">
      <c r="A1906" t="str">
        <f>ObesityDataSet_raw_and_data_sin!A1906</f>
        <v>Female</v>
      </c>
      <c r="B1906">
        <f>ObesityDataSet_raw_and_data_sin!C1906</f>
        <v>1.6807620000000001</v>
      </c>
      <c r="C1906">
        <f>ObesityDataSet_raw_and_data_sin!D1906</f>
        <v>125.418548</v>
      </c>
      <c r="D1906" t="str">
        <f>ObesityDataSet_raw_and_data_sin!Q1906</f>
        <v>Obesity_Type_III</v>
      </c>
      <c r="E1906" t="b">
        <f t="shared" si="117"/>
        <v>0</v>
      </c>
      <c r="F1906">
        <f>C1906/(B1906*B1906)</f>
        <v>44.396560664400205</v>
      </c>
      <c r="G1906" t="str">
        <f t="shared" si="118"/>
        <v>Obese</v>
      </c>
      <c r="H1906" t="str">
        <f t="shared" si="119"/>
        <v>OK</v>
      </c>
      <c r="I1906" t="str">
        <f t="shared" si="116"/>
        <v>OK</v>
      </c>
    </row>
    <row r="1907" spans="1:9" x14ac:dyDescent="0.2">
      <c r="A1907" t="str">
        <f>ObesityDataSet_raw_and_data_sin!A1907</f>
        <v>Female</v>
      </c>
      <c r="B1907">
        <f>ObesityDataSet_raw_and_data_sin!C1907</f>
        <v>1.6233029999999999</v>
      </c>
      <c r="C1907">
        <f>ObesityDataSet_raw_and_data_sin!D1907</f>
        <v>110.81746</v>
      </c>
      <c r="D1907" t="str">
        <f>ObesityDataSet_raw_and_data_sin!Q1907</f>
        <v>Obesity_Type_III</v>
      </c>
      <c r="E1907" t="b">
        <f t="shared" si="117"/>
        <v>0</v>
      </c>
      <c r="F1907">
        <f>C1907/(B1907*B1907)</f>
        <v>42.054164496199292</v>
      </c>
      <c r="G1907" t="str">
        <f t="shared" si="118"/>
        <v>Obese</v>
      </c>
      <c r="H1907" t="str">
        <f t="shared" si="119"/>
        <v>OK</v>
      </c>
      <c r="I1907" t="str">
        <f t="shared" si="116"/>
        <v>OK</v>
      </c>
    </row>
    <row r="1908" spans="1:9" x14ac:dyDescent="0.2">
      <c r="A1908" t="str">
        <f>ObesityDataSet_raw_and_data_sin!A1908</f>
        <v>Female</v>
      </c>
      <c r="B1908">
        <f>ObesityDataSet_raw_and_data_sin!C1908</f>
        <v>1.631856</v>
      </c>
      <c r="C1908">
        <f>ObesityDataSet_raw_and_data_sin!D1908</f>
        <v>110.804337</v>
      </c>
      <c r="D1908" t="str">
        <f>ObesityDataSet_raw_and_data_sin!Q1908</f>
        <v>Obesity_Type_III</v>
      </c>
      <c r="E1908" t="b">
        <f t="shared" si="117"/>
        <v>0</v>
      </c>
      <c r="F1908">
        <f>C1908/(B1908*B1908)</f>
        <v>41.609557207123046</v>
      </c>
      <c r="G1908" t="str">
        <f t="shared" si="118"/>
        <v>Obese</v>
      </c>
      <c r="H1908" t="str">
        <f t="shared" si="119"/>
        <v>OK</v>
      </c>
      <c r="I1908" t="str">
        <f t="shared" si="116"/>
        <v>OK</v>
      </c>
    </row>
    <row r="1909" spans="1:9" x14ac:dyDescent="0.2">
      <c r="A1909" t="str">
        <f>ObesityDataSet_raw_and_data_sin!A1909</f>
        <v>Female</v>
      </c>
      <c r="B1909">
        <f>ObesityDataSet_raw_and_data_sin!C1909</f>
        <v>1.747479</v>
      </c>
      <c r="C1909">
        <f>ObesityDataSet_raw_and_data_sin!D1909</f>
        <v>136.516648</v>
      </c>
      <c r="D1909" t="str">
        <f>ObesityDataSet_raw_and_data_sin!Q1909</f>
        <v>Obesity_Type_III</v>
      </c>
      <c r="E1909" t="b">
        <f t="shared" si="117"/>
        <v>0</v>
      </c>
      <c r="F1909">
        <f>C1909/(B1909*B1909)</f>
        <v>44.705575026154719</v>
      </c>
      <c r="G1909" t="str">
        <f t="shared" si="118"/>
        <v>Obese</v>
      </c>
      <c r="H1909" t="str">
        <f t="shared" si="119"/>
        <v>OK</v>
      </c>
      <c r="I1909" t="str">
        <f t="shared" si="116"/>
        <v>OK</v>
      </c>
    </row>
    <row r="1910" spans="1:9" x14ac:dyDescent="0.2">
      <c r="A1910" t="str">
        <f>ObesityDataSet_raw_and_data_sin!A1910</f>
        <v>Female</v>
      </c>
      <c r="B1910">
        <f>ObesityDataSet_raw_and_data_sin!C1910</f>
        <v>1.7824530000000001</v>
      </c>
      <c r="C1910">
        <f>ObesityDataSet_raw_and_data_sin!D1910</f>
        <v>137.85261800000001</v>
      </c>
      <c r="D1910" t="str">
        <f>ObesityDataSet_raw_and_data_sin!Q1910</f>
        <v>Obesity_Type_III</v>
      </c>
      <c r="E1910" t="b">
        <f t="shared" si="117"/>
        <v>0</v>
      </c>
      <c r="F1910">
        <f>C1910/(B1910*B1910)</f>
        <v>43.388920389625568</v>
      </c>
      <c r="G1910" t="str">
        <f t="shared" si="118"/>
        <v>Obese</v>
      </c>
      <c r="H1910" t="str">
        <f t="shared" si="119"/>
        <v>OK</v>
      </c>
      <c r="I1910" t="str">
        <f t="shared" si="116"/>
        <v>OK</v>
      </c>
    </row>
    <row r="1911" spans="1:9" x14ac:dyDescent="0.2">
      <c r="A1911" t="str">
        <f>ObesityDataSet_raw_and_data_sin!A1911</f>
        <v>Female</v>
      </c>
      <c r="B1911">
        <f>ObesityDataSet_raw_and_data_sin!C1911</f>
        <v>1.809871</v>
      </c>
      <c r="C1911">
        <f>ObesityDataSet_raw_and_data_sin!D1911</f>
        <v>152.39473899999999</v>
      </c>
      <c r="D1911" t="str">
        <f>ObesityDataSet_raw_and_data_sin!Q1911</f>
        <v>Obesity_Type_III</v>
      </c>
      <c r="E1911" t="b">
        <f t="shared" si="117"/>
        <v>0</v>
      </c>
      <c r="F1911">
        <f>C1911/(B1911*B1911)</f>
        <v>46.523751987882399</v>
      </c>
      <c r="G1911" t="str">
        <f t="shared" si="118"/>
        <v>Obese</v>
      </c>
      <c r="H1911" t="str">
        <f t="shared" si="119"/>
        <v>OK</v>
      </c>
      <c r="I1911" t="str">
        <f t="shared" si="116"/>
        <v>OK</v>
      </c>
    </row>
    <row r="1912" spans="1:9" x14ac:dyDescent="0.2">
      <c r="A1912" t="str">
        <f>ObesityDataSet_raw_and_data_sin!A1912</f>
        <v>Female</v>
      </c>
      <c r="B1912">
        <f>ObesityDataSet_raw_and_data_sin!C1912</f>
        <v>1.803677</v>
      </c>
      <c r="C1912">
        <f>ObesityDataSet_raw_and_data_sin!D1912</f>
        <v>160.63940500000001</v>
      </c>
      <c r="D1912" t="str">
        <f>ObesityDataSet_raw_and_data_sin!Q1912</f>
        <v>Obesity_Type_III</v>
      </c>
      <c r="E1912" t="b">
        <f t="shared" si="117"/>
        <v>0</v>
      </c>
      <c r="F1912">
        <f>C1912/(B1912*B1912)</f>
        <v>49.378120166451424</v>
      </c>
      <c r="G1912" t="str">
        <f t="shared" si="118"/>
        <v>Obese</v>
      </c>
      <c r="H1912" t="str">
        <f t="shared" si="119"/>
        <v>OK</v>
      </c>
      <c r="I1912" t="str">
        <f t="shared" si="116"/>
        <v>OK</v>
      </c>
    </row>
    <row r="1913" spans="1:9" x14ac:dyDescent="0.2">
      <c r="A1913" t="str">
        <f>ObesityDataSet_raw_and_data_sin!A1913</f>
        <v>Female</v>
      </c>
      <c r="B1913">
        <f>ObesityDataSet_raw_and_data_sin!C1913</f>
        <v>1.7456020000000001</v>
      </c>
      <c r="C1913">
        <f>ObesityDataSet_raw_and_data_sin!D1913</f>
        <v>133.554686</v>
      </c>
      <c r="D1913" t="str">
        <f>ObesityDataSet_raw_and_data_sin!Q1913</f>
        <v>Obesity_Type_III</v>
      </c>
      <c r="E1913" t="b">
        <f t="shared" si="117"/>
        <v>0</v>
      </c>
      <c r="F1913">
        <f>C1913/(B1913*B1913)</f>
        <v>43.829717245866924</v>
      </c>
      <c r="G1913" t="str">
        <f t="shared" si="118"/>
        <v>Obese</v>
      </c>
      <c r="H1913" t="str">
        <f t="shared" si="119"/>
        <v>OK</v>
      </c>
      <c r="I1913" t="str">
        <f t="shared" si="116"/>
        <v>OK</v>
      </c>
    </row>
    <row r="1914" spans="1:9" x14ac:dyDescent="0.2">
      <c r="A1914" t="str">
        <f>ObesityDataSet_raw_and_data_sin!A1914</f>
        <v>Female</v>
      </c>
      <c r="B1914">
        <f>ObesityDataSet_raw_and_data_sin!C1914</f>
        <v>1.7510380000000001</v>
      </c>
      <c r="C1914">
        <f>ObesityDataSet_raw_and_data_sin!D1914</f>
        <v>133.84303299999999</v>
      </c>
      <c r="D1914" t="str">
        <f>ObesityDataSet_raw_and_data_sin!Q1914</f>
        <v>Obesity_Type_III</v>
      </c>
      <c r="E1914" t="b">
        <f t="shared" si="117"/>
        <v>0</v>
      </c>
      <c r="F1914">
        <f>C1914/(B1914*B1914)</f>
        <v>43.652048351249732</v>
      </c>
      <c r="G1914" t="str">
        <f t="shared" si="118"/>
        <v>Obese</v>
      </c>
      <c r="H1914" t="str">
        <f t="shared" si="119"/>
        <v>OK</v>
      </c>
      <c r="I1914" t="str">
        <f t="shared" si="116"/>
        <v>OK</v>
      </c>
    </row>
    <row r="1915" spans="1:9" x14ac:dyDescent="0.2">
      <c r="A1915" t="str">
        <f>ObesityDataSet_raw_and_data_sin!A1915</f>
        <v>Female</v>
      </c>
      <c r="B1915">
        <f>ObesityDataSet_raw_and_data_sin!C1915</f>
        <v>1.6315470000000001</v>
      </c>
      <c r="C1915">
        <f>ObesityDataSet_raw_and_data_sin!D1915</f>
        <v>111.58862499999999</v>
      </c>
      <c r="D1915" t="str">
        <f>ObesityDataSet_raw_and_data_sin!Q1915</f>
        <v>Obesity_Type_III</v>
      </c>
      <c r="E1915" t="b">
        <f t="shared" si="117"/>
        <v>0</v>
      </c>
      <c r="F1915">
        <f>C1915/(B1915*B1915)</f>
        <v>41.919949245498998</v>
      </c>
      <c r="G1915" t="str">
        <f t="shared" si="118"/>
        <v>Obese</v>
      </c>
      <c r="H1915" t="str">
        <f t="shared" si="119"/>
        <v>OK</v>
      </c>
      <c r="I1915" t="str">
        <f t="shared" si="116"/>
        <v>OK</v>
      </c>
    </row>
    <row r="1916" spans="1:9" x14ac:dyDescent="0.2">
      <c r="A1916" t="str">
        <f>ObesityDataSet_raw_and_data_sin!A1916</f>
        <v>Female</v>
      </c>
      <c r="B1916">
        <f>ObesityDataSet_raw_and_data_sin!C1916</f>
        <v>1.6359049999999999</v>
      </c>
      <c r="C1916">
        <f>ObesityDataSet_raw_and_data_sin!D1916</f>
        <v>111.57107600000001</v>
      </c>
      <c r="D1916" t="str">
        <f>ObesityDataSet_raw_and_data_sin!Q1916</f>
        <v>Obesity_Type_III</v>
      </c>
      <c r="E1916" t="b">
        <f t="shared" si="117"/>
        <v>0</v>
      </c>
      <c r="F1916">
        <f>C1916/(B1916*B1916)</f>
        <v>41.690342391609654</v>
      </c>
      <c r="G1916" t="str">
        <f t="shared" si="118"/>
        <v>Obese</v>
      </c>
      <c r="H1916" t="str">
        <f t="shared" si="119"/>
        <v>OK</v>
      </c>
      <c r="I1916" t="str">
        <f t="shared" si="116"/>
        <v>OK</v>
      </c>
    </row>
    <row r="1917" spans="1:9" x14ac:dyDescent="0.2">
      <c r="A1917" t="str">
        <f>ObesityDataSet_raw_and_data_sin!A1917</f>
        <v>Female</v>
      </c>
      <c r="B1917">
        <f>ObesityDataSet_raw_and_data_sin!C1917</f>
        <v>1.6169750000000001</v>
      </c>
      <c r="C1917">
        <f>ObesityDataSet_raw_and_data_sin!D1917</f>
        <v>104.84621799999999</v>
      </c>
      <c r="D1917" t="str">
        <f>ObesityDataSet_raw_and_data_sin!Q1917</f>
        <v>Obesity_Type_III</v>
      </c>
      <c r="E1917" t="b">
        <f t="shared" si="117"/>
        <v>0</v>
      </c>
      <c r="F1917">
        <f>C1917/(B1917*B1917)</f>
        <v>40.100164904227576</v>
      </c>
      <c r="G1917" t="str">
        <f t="shared" si="118"/>
        <v>Obese</v>
      </c>
      <c r="H1917" t="str">
        <f t="shared" si="119"/>
        <v>OK</v>
      </c>
      <c r="I1917" t="str">
        <f t="shared" si="116"/>
        <v>OK</v>
      </c>
    </row>
    <row r="1918" spans="1:9" x14ac:dyDescent="0.2">
      <c r="A1918" t="str">
        <f>ObesityDataSet_raw_and_data_sin!A1918</f>
        <v>Female</v>
      </c>
      <c r="B1918">
        <f>ObesityDataSet_raw_and_data_sin!C1918</f>
        <v>1.62788</v>
      </c>
      <c r="C1918">
        <f>ObesityDataSet_raw_and_data_sin!D1918</f>
        <v>104.92057</v>
      </c>
      <c r="D1918" t="str">
        <f>ObesityDataSet_raw_and_data_sin!Q1918</f>
        <v>Obesity_Type_III</v>
      </c>
      <c r="E1918" t="b">
        <f t="shared" si="117"/>
        <v>0</v>
      </c>
      <c r="F1918">
        <f>C1918/(B1918*B1918)</f>
        <v>39.592768110666348</v>
      </c>
      <c r="G1918" t="str">
        <f t="shared" si="118"/>
        <v>Obese</v>
      </c>
      <c r="H1918" t="str">
        <f t="shared" si="119"/>
        <v>OK</v>
      </c>
      <c r="I1918" t="str">
        <f t="shared" si="116"/>
        <v>OK</v>
      </c>
    </row>
    <row r="1919" spans="1:9" x14ac:dyDescent="0.2">
      <c r="A1919" t="str">
        <f>ObesityDataSet_raw_and_data_sin!A1919</f>
        <v>Female</v>
      </c>
      <c r="B1919">
        <f>ObesityDataSet_raw_and_data_sin!C1919</f>
        <v>1.76416</v>
      </c>
      <c r="C1919">
        <f>ObesityDataSet_raw_and_data_sin!D1919</f>
        <v>133.88862900000001</v>
      </c>
      <c r="D1919" t="str">
        <f>ObesityDataSet_raw_and_data_sin!Q1919</f>
        <v>Obesity_Type_III</v>
      </c>
      <c r="E1919" t="b">
        <f t="shared" si="117"/>
        <v>0</v>
      </c>
      <c r="F1919">
        <f>C1919/(B1919*B1919)</f>
        <v>43.019737184303658</v>
      </c>
      <c r="G1919" t="str">
        <f t="shared" si="118"/>
        <v>Obese</v>
      </c>
      <c r="H1919" t="str">
        <f t="shared" si="119"/>
        <v>OK</v>
      </c>
      <c r="I1919" t="str">
        <f t="shared" si="116"/>
        <v>OK</v>
      </c>
    </row>
    <row r="1920" spans="1:9" x14ac:dyDescent="0.2">
      <c r="A1920" t="str">
        <f>ObesityDataSet_raw_and_data_sin!A1920</f>
        <v>Female</v>
      </c>
      <c r="B1920">
        <f>ObesityDataSet_raw_and_data_sin!C1920</f>
        <v>1.7638469999999999</v>
      </c>
      <c r="C1920">
        <f>ObesityDataSet_raw_and_data_sin!D1920</f>
        <v>133.937873</v>
      </c>
      <c r="D1920" t="str">
        <f>ObesityDataSet_raw_and_data_sin!Q1920</f>
        <v>Obesity_Type_III</v>
      </c>
      <c r="E1920" t="b">
        <f t="shared" si="117"/>
        <v>0</v>
      </c>
      <c r="F1920">
        <f>C1920/(B1920*B1920)</f>
        <v>43.050834703641577</v>
      </c>
      <c r="G1920" t="str">
        <f t="shared" si="118"/>
        <v>Obese</v>
      </c>
      <c r="H1920" t="str">
        <f t="shared" si="119"/>
        <v>OK</v>
      </c>
      <c r="I1920" t="str">
        <f t="shared" si="116"/>
        <v>OK</v>
      </c>
    </row>
    <row r="1921" spans="1:9" x14ac:dyDescent="0.2">
      <c r="A1921" t="str">
        <f>ObesityDataSet_raw_and_data_sin!A1921</f>
        <v>Female</v>
      </c>
      <c r="B1921">
        <f>ObesityDataSet_raw_and_data_sin!C1921</f>
        <v>1.608808</v>
      </c>
      <c r="C1921">
        <f>ObesityDataSet_raw_and_data_sin!D1921</f>
        <v>102.08396399999999</v>
      </c>
      <c r="D1921" t="str">
        <f>ObesityDataSet_raw_and_data_sin!Q1921</f>
        <v>Obesity_Type_III</v>
      </c>
      <c r="E1921" t="b">
        <f t="shared" si="117"/>
        <v>0</v>
      </c>
      <c r="F1921">
        <f>C1921/(B1921*B1921)</f>
        <v>39.441106590220421</v>
      </c>
      <c r="G1921" t="str">
        <f t="shared" si="118"/>
        <v>Obese</v>
      </c>
      <c r="H1921" t="str">
        <f t="shared" si="119"/>
        <v>OK</v>
      </c>
      <c r="I1921" t="str">
        <f t="shared" si="116"/>
        <v>OK</v>
      </c>
    </row>
    <row r="1922" spans="1:9" x14ac:dyDescent="0.2">
      <c r="A1922" t="str">
        <f>ObesityDataSet_raw_and_data_sin!A1922</f>
        <v>Female</v>
      </c>
      <c r="B1922">
        <f>ObesityDataSet_raw_and_data_sin!C1922</f>
        <v>1.6104879999999999</v>
      </c>
      <c r="C1922">
        <f>ObesityDataSet_raw_and_data_sin!D1922</f>
        <v>102.174953</v>
      </c>
      <c r="D1922" t="str">
        <f>ObesityDataSet_raw_and_data_sin!Q1922</f>
        <v>Obesity_Type_III</v>
      </c>
      <c r="E1922" t="b">
        <f t="shared" si="117"/>
        <v>0</v>
      </c>
      <c r="F1922">
        <f>C1922/(B1922*B1922)</f>
        <v>39.393943733321969</v>
      </c>
      <c r="G1922" t="str">
        <f t="shared" si="118"/>
        <v>Obese</v>
      </c>
      <c r="H1922" t="str">
        <f t="shared" si="119"/>
        <v>OK</v>
      </c>
      <c r="I1922" t="str">
        <f t="shared" ref="I1922:I1985" si="120">IF(AND(LEFT(D1922,10)="Overweight",G1922&lt;&gt;"Overweight"),"ERROR","OK")</f>
        <v>OK</v>
      </c>
    </row>
    <row r="1923" spans="1:9" x14ac:dyDescent="0.2">
      <c r="A1923" t="str">
        <f>ObesityDataSet_raw_and_data_sin!A1923</f>
        <v>Female</v>
      </c>
      <c r="B1923">
        <f>ObesityDataSet_raw_and_data_sin!C1923</f>
        <v>1.6212310000000001</v>
      </c>
      <c r="C1923">
        <f>ObesityDataSet_raw_and_data_sin!D1923</f>
        <v>104.98679199999999</v>
      </c>
      <c r="D1923" t="str">
        <f>ObesityDataSet_raw_and_data_sin!Q1923</f>
        <v>Obesity_Type_III</v>
      </c>
      <c r="E1923" t="b">
        <f t="shared" ref="E1923:E1986" si="121">IF(AND(A1923="Female", B1923&lt;1.5), TRUE, IF(AND(A1923="Male",B1923&lt;1.6),TRUE, FALSE))</f>
        <v>0</v>
      </c>
      <c r="F1923">
        <f>C1923/(B1923*B1923)</f>
        <v>39.943385031533651</v>
      </c>
      <c r="G1923" t="str">
        <f t="shared" ref="G1923:G1986" si="122">IF(E1923=TRUE,IF(F1923&lt;23,"Normal",IF(F1923&lt;25,"Overweight","Obese")),IF(F1923&lt;25,"Normal",IF(F1923&lt;30,"Overweight","Obese")))</f>
        <v>Obese</v>
      </c>
      <c r="H1923" t="str">
        <f t="shared" ref="H1923:H1986" si="123">IF(AND(D1923="Normal_Weight",G1923&lt;&gt;"Normal"),"ERROR","OK")</f>
        <v>OK</v>
      </c>
      <c r="I1923" t="str">
        <f t="shared" si="120"/>
        <v>OK</v>
      </c>
    </row>
    <row r="1924" spans="1:9" x14ac:dyDescent="0.2">
      <c r="A1924" t="str">
        <f>ObesityDataSet_raw_and_data_sin!A1924</f>
        <v>Female</v>
      </c>
      <c r="B1924">
        <f>ObesityDataSet_raw_and_data_sin!C1924</f>
        <v>1.6423920000000001</v>
      </c>
      <c r="C1924">
        <f>ObesityDataSet_raw_and_data_sin!D1924</f>
        <v>104.98808200000001</v>
      </c>
      <c r="D1924" t="str">
        <f>ObesityDataSet_raw_and_data_sin!Q1924</f>
        <v>Obesity_Type_III</v>
      </c>
      <c r="E1924" t="b">
        <f t="shared" si="121"/>
        <v>0</v>
      </c>
      <c r="F1924">
        <f>C1924/(B1924*B1924)</f>
        <v>38.921212379039751</v>
      </c>
      <c r="G1924" t="str">
        <f t="shared" si="122"/>
        <v>Obese</v>
      </c>
      <c r="H1924" t="str">
        <f t="shared" si="123"/>
        <v>OK</v>
      </c>
      <c r="I1924" t="str">
        <f t="shared" si="120"/>
        <v>OK</v>
      </c>
    </row>
    <row r="1925" spans="1:9" x14ac:dyDescent="0.2">
      <c r="A1925" t="str">
        <f>ObesityDataSet_raw_and_data_sin!A1925</f>
        <v>Female</v>
      </c>
      <c r="B1925">
        <f>ObesityDataSet_raw_and_data_sin!C1925</f>
        <v>1.8019829999999999</v>
      </c>
      <c r="C1925">
        <f>ObesityDataSet_raw_and_data_sin!D1925</f>
        <v>138.034526</v>
      </c>
      <c r="D1925" t="str">
        <f>ObesityDataSet_raw_and_data_sin!Q1925</f>
        <v>Obesity_Type_III</v>
      </c>
      <c r="E1925" t="b">
        <f t="shared" si="121"/>
        <v>0</v>
      </c>
      <c r="F1925">
        <f>C1925/(B1925*B1925)</f>
        <v>42.509534498563816</v>
      </c>
      <c r="G1925" t="str">
        <f t="shared" si="122"/>
        <v>Obese</v>
      </c>
      <c r="H1925" t="str">
        <f t="shared" si="123"/>
        <v>OK</v>
      </c>
      <c r="I1925" t="str">
        <f t="shared" si="120"/>
        <v>OK</v>
      </c>
    </row>
    <row r="1926" spans="1:9" x14ac:dyDescent="0.2">
      <c r="A1926" t="str">
        <f>ObesityDataSet_raw_and_data_sin!A1926</f>
        <v>Female</v>
      </c>
      <c r="B1926">
        <f>ObesityDataSet_raw_and_data_sin!C1926</f>
        <v>1.787614</v>
      </c>
      <c r="C1926">
        <f>ObesityDataSet_raw_and_data_sin!D1926</f>
        <v>137.85825399999999</v>
      </c>
      <c r="D1926" t="str">
        <f>ObesityDataSet_raw_and_data_sin!Q1926</f>
        <v>Obesity_Type_III</v>
      </c>
      <c r="E1926" t="b">
        <f t="shared" si="121"/>
        <v>0</v>
      </c>
      <c r="F1926">
        <f>C1926/(B1926*B1926)</f>
        <v>43.140510428659226</v>
      </c>
      <c r="G1926" t="str">
        <f t="shared" si="122"/>
        <v>Obese</v>
      </c>
      <c r="H1926" t="str">
        <f t="shared" si="123"/>
        <v>OK</v>
      </c>
      <c r="I1926" t="str">
        <f t="shared" si="120"/>
        <v>OK</v>
      </c>
    </row>
    <row r="1927" spans="1:9" x14ac:dyDescent="0.2">
      <c r="A1927" t="str">
        <f>ObesityDataSet_raw_and_data_sin!A1927</f>
        <v>Female</v>
      </c>
      <c r="B1927">
        <f>ObesityDataSet_raw_and_data_sin!C1927</f>
        <v>1.8014779999999999</v>
      </c>
      <c r="C1927">
        <f>ObesityDataSet_raw_and_data_sin!D1927</f>
        <v>151.417292</v>
      </c>
      <c r="D1927" t="str">
        <f>ObesityDataSet_raw_and_data_sin!Q1927</f>
        <v>Obesity_Type_III</v>
      </c>
      <c r="E1927" t="b">
        <f t="shared" si="121"/>
        <v>0</v>
      </c>
      <c r="F1927">
        <f>C1927/(B1927*B1927)</f>
        <v>46.657079348937309</v>
      </c>
      <c r="G1927" t="str">
        <f t="shared" si="122"/>
        <v>Obese</v>
      </c>
      <c r="H1927" t="str">
        <f t="shared" si="123"/>
        <v>OK</v>
      </c>
      <c r="I1927" t="str">
        <f t="shared" si="120"/>
        <v>OK</v>
      </c>
    </row>
    <row r="1928" spans="1:9" x14ac:dyDescent="0.2">
      <c r="A1928" t="str">
        <f>ObesityDataSet_raw_and_data_sin!A1928</f>
        <v>Female</v>
      </c>
      <c r="B1928">
        <f>ObesityDataSet_raw_and_data_sin!C1928</f>
        <v>1.8075760000000001</v>
      </c>
      <c r="C1928">
        <f>ObesityDataSet_raw_and_data_sin!D1928</f>
        <v>152.56767099999999</v>
      </c>
      <c r="D1928" t="str">
        <f>ObesityDataSet_raw_and_data_sin!Q1928</f>
        <v>Obesity_Type_III</v>
      </c>
      <c r="E1928" t="b">
        <f t="shared" si="121"/>
        <v>0</v>
      </c>
      <c r="F1928">
        <f>C1928/(B1928*B1928)</f>
        <v>46.694892925522147</v>
      </c>
      <c r="G1928" t="str">
        <f t="shared" si="122"/>
        <v>Obese</v>
      </c>
      <c r="H1928" t="str">
        <f t="shared" si="123"/>
        <v>OK</v>
      </c>
      <c r="I1928" t="str">
        <f t="shared" si="120"/>
        <v>OK</v>
      </c>
    </row>
    <row r="1929" spans="1:9" x14ac:dyDescent="0.2">
      <c r="A1929" t="str">
        <f>ObesityDataSet_raw_and_data_sin!A1929</f>
        <v>Female</v>
      </c>
      <c r="B1929">
        <f>ObesityDataSet_raw_and_data_sin!C1929</f>
        <v>1.6501250000000001</v>
      </c>
      <c r="C1929">
        <f>ObesityDataSet_raw_and_data_sin!D1929</f>
        <v>111.939671</v>
      </c>
      <c r="D1929" t="str">
        <f>ObesityDataSet_raw_and_data_sin!Q1929</f>
        <v>Obesity_Type_III</v>
      </c>
      <c r="E1929" t="b">
        <f t="shared" si="121"/>
        <v>0</v>
      </c>
      <c r="F1929">
        <f>C1929/(B1929*B1929)</f>
        <v>41.110270843316492</v>
      </c>
      <c r="G1929" t="str">
        <f t="shared" si="122"/>
        <v>Obese</v>
      </c>
      <c r="H1929" t="str">
        <f t="shared" si="123"/>
        <v>OK</v>
      </c>
      <c r="I1929" t="str">
        <f t="shared" si="120"/>
        <v>OK</v>
      </c>
    </row>
    <row r="1930" spans="1:9" x14ac:dyDescent="0.2">
      <c r="A1930" t="str">
        <f>ObesityDataSet_raw_and_data_sin!A1930</f>
        <v>Female</v>
      </c>
      <c r="B1930">
        <f>ObesityDataSet_raw_and_data_sin!C1930</f>
        <v>1.652674</v>
      </c>
      <c r="C1930">
        <f>ObesityDataSet_raw_and_data_sin!D1930</f>
        <v>111.919155</v>
      </c>
      <c r="D1930" t="str">
        <f>ObesityDataSet_raw_and_data_sin!Q1930</f>
        <v>Obesity_Type_III</v>
      </c>
      <c r="E1930" t="b">
        <f t="shared" si="121"/>
        <v>0</v>
      </c>
      <c r="F1930">
        <f>C1930/(B1930*B1930)</f>
        <v>40.97604451715118</v>
      </c>
      <c r="G1930" t="str">
        <f t="shared" si="122"/>
        <v>Obese</v>
      </c>
      <c r="H1930" t="str">
        <f t="shared" si="123"/>
        <v>OK</v>
      </c>
      <c r="I1930" t="str">
        <f t="shared" si="120"/>
        <v>OK</v>
      </c>
    </row>
    <row r="1931" spans="1:9" x14ac:dyDescent="0.2">
      <c r="A1931" t="str">
        <f>ObesityDataSet_raw_and_data_sin!A1931</f>
        <v>Female</v>
      </c>
      <c r="B1931">
        <f>ObesityDataSet_raw_and_data_sin!C1931</f>
        <v>1.663632</v>
      </c>
      <c r="C1931">
        <f>ObesityDataSet_raw_and_data_sin!D1931</f>
        <v>105.12210899999999</v>
      </c>
      <c r="D1931" t="str">
        <f>ObesityDataSet_raw_and_data_sin!Q1931</f>
        <v>Obesity_Type_III</v>
      </c>
      <c r="E1931" t="b">
        <f t="shared" si="121"/>
        <v>0</v>
      </c>
      <c r="F1931">
        <f>C1931/(B1931*B1931)</f>
        <v>37.982149111505414</v>
      </c>
      <c r="G1931" t="str">
        <f t="shared" si="122"/>
        <v>Obese</v>
      </c>
      <c r="H1931" t="str">
        <f t="shared" si="123"/>
        <v>OK</v>
      </c>
      <c r="I1931" t="str">
        <f t="shared" si="120"/>
        <v>OK</v>
      </c>
    </row>
    <row r="1932" spans="1:9" x14ac:dyDescent="0.2">
      <c r="A1932" t="str">
        <f>ObesityDataSet_raw_and_data_sin!A1932</f>
        <v>Female</v>
      </c>
      <c r="B1932">
        <f>ObesityDataSet_raw_and_data_sin!C1932</f>
        <v>1.627818</v>
      </c>
      <c r="C1932">
        <f>ObesityDataSet_raw_and_data_sin!D1932</f>
        <v>105.428628</v>
      </c>
      <c r="D1932" t="str">
        <f>ObesityDataSet_raw_and_data_sin!Q1932</f>
        <v>Obesity_Type_III</v>
      </c>
      <c r="E1932" t="b">
        <f t="shared" si="121"/>
        <v>0</v>
      </c>
      <c r="F1932">
        <f>C1932/(B1932*B1932)</f>
        <v>39.787519260488978</v>
      </c>
      <c r="G1932" t="str">
        <f t="shared" si="122"/>
        <v>Obese</v>
      </c>
      <c r="H1932" t="str">
        <f t="shared" si="123"/>
        <v>OK</v>
      </c>
      <c r="I1932" t="str">
        <f t="shared" si="120"/>
        <v>OK</v>
      </c>
    </row>
    <row r="1933" spans="1:9" x14ac:dyDescent="0.2">
      <c r="A1933" t="str">
        <f>ObesityDataSet_raw_and_data_sin!A1933</f>
        <v>Female</v>
      </c>
      <c r="B1933">
        <f>ObesityDataSet_raw_and_data_sin!C1933</f>
        <v>1.6687700000000001</v>
      </c>
      <c r="C1933">
        <f>ObesityDataSet_raw_and_data_sin!D1933</f>
        <v>104.77414400000001</v>
      </c>
      <c r="D1933" t="str">
        <f>ObesityDataSet_raw_and_data_sin!Q1933</f>
        <v>Obesity_Type_III</v>
      </c>
      <c r="E1933" t="b">
        <f t="shared" si="121"/>
        <v>0</v>
      </c>
      <c r="F1933">
        <f>C1933/(B1933*B1933)</f>
        <v>37.623669776372509</v>
      </c>
      <c r="G1933" t="str">
        <f t="shared" si="122"/>
        <v>Obese</v>
      </c>
      <c r="H1933" t="str">
        <f t="shared" si="123"/>
        <v>OK</v>
      </c>
      <c r="I1933" t="str">
        <f t="shared" si="120"/>
        <v>OK</v>
      </c>
    </row>
    <row r="1934" spans="1:9" x14ac:dyDescent="0.2">
      <c r="A1934" t="str">
        <f>ObesityDataSet_raw_and_data_sin!A1934</f>
        <v>Female</v>
      </c>
      <c r="B1934">
        <f>ObesityDataSet_raw_and_data_sin!C1934</f>
        <v>1.6420980000000001</v>
      </c>
      <c r="C1934">
        <f>ObesityDataSet_raw_and_data_sin!D1934</f>
        <v>104.966758</v>
      </c>
      <c r="D1934" t="str">
        <f>ObesityDataSet_raw_and_data_sin!Q1934</f>
        <v>Obesity_Type_III</v>
      </c>
      <c r="E1934" t="b">
        <f t="shared" si="121"/>
        <v>0</v>
      </c>
      <c r="F1934">
        <f>C1934/(B1934*B1934)</f>
        <v>38.927242405827243</v>
      </c>
      <c r="G1934" t="str">
        <f t="shared" si="122"/>
        <v>Obese</v>
      </c>
      <c r="H1934" t="str">
        <f t="shared" si="123"/>
        <v>OK</v>
      </c>
      <c r="I1934" t="str">
        <f t="shared" si="120"/>
        <v>OK</v>
      </c>
    </row>
    <row r="1935" spans="1:9" x14ac:dyDescent="0.2">
      <c r="A1935" t="str">
        <f>ObesityDataSet_raw_and_data_sin!A1935</f>
        <v>Female</v>
      </c>
      <c r="B1935">
        <f>ObesityDataSet_raw_and_data_sin!C1935</f>
        <v>1.65757</v>
      </c>
      <c r="C1935">
        <f>ObesityDataSet_raw_and_data_sin!D1935</f>
        <v>109.93123300000001</v>
      </c>
      <c r="D1935" t="str">
        <f>ObesityDataSet_raw_and_data_sin!Q1935</f>
        <v>Obesity_Type_III</v>
      </c>
      <c r="E1935" t="b">
        <f t="shared" si="121"/>
        <v>0</v>
      </c>
      <c r="F1935">
        <f>C1935/(B1935*B1935)</f>
        <v>40.01080996903557</v>
      </c>
      <c r="G1935" t="str">
        <f t="shared" si="122"/>
        <v>Obese</v>
      </c>
      <c r="H1935" t="str">
        <f t="shared" si="123"/>
        <v>OK</v>
      </c>
      <c r="I1935" t="str">
        <f t="shared" si="120"/>
        <v>OK</v>
      </c>
    </row>
    <row r="1936" spans="1:9" x14ac:dyDescent="0.2">
      <c r="A1936" t="str">
        <f>ObesityDataSet_raw_and_data_sin!A1936</f>
        <v>Female</v>
      </c>
      <c r="B1936">
        <f>ObesityDataSet_raw_and_data_sin!C1936</f>
        <v>1.643111</v>
      </c>
      <c r="C1936">
        <f>ObesityDataSet_raw_and_data_sin!D1936</f>
        <v>109.91001199999999</v>
      </c>
      <c r="D1936" t="str">
        <f>ObesityDataSet_raw_and_data_sin!Q1936</f>
        <v>Obesity_Type_III</v>
      </c>
      <c r="E1936" t="b">
        <f t="shared" si="121"/>
        <v>0</v>
      </c>
      <c r="F1936">
        <f>C1936/(B1936*B1936)</f>
        <v>40.710219977674477</v>
      </c>
      <c r="G1936" t="str">
        <f t="shared" si="122"/>
        <v>Obese</v>
      </c>
      <c r="H1936" t="str">
        <f t="shared" si="123"/>
        <v>OK</v>
      </c>
      <c r="I1936" t="str">
        <f t="shared" si="120"/>
        <v>OK</v>
      </c>
    </row>
    <row r="1937" spans="1:9" x14ac:dyDescent="0.2">
      <c r="A1937" t="str">
        <f>ObesityDataSet_raw_and_data_sin!A1937</f>
        <v>Female</v>
      </c>
      <c r="B1937">
        <f>ObesityDataSet_raw_and_data_sin!C1937</f>
        <v>1.675562</v>
      </c>
      <c r="C1937">
        <f>ObesityDataSet_raw_and_data_sin!D1937</f>
        <v>121.639178</v>
      </c>
      <c r="D1937" t="str">
        <f>ObesityDataSet_raw_and_data_sin!Q1937</f>
        <v>Obesity_Type_III</v>
      </c>
      <c r="E1937" t="b">
        <f t="shared" si="121"/>
        <v>0</v>
      </c>
      <c r="F1937">
        <f>C1937/(B1937*B1937)</f>
        <v>43.326386715028683</v>
      </c>
      <c r="G1937" t="str">
        <f t="shared" si="122"/>
        <v>Obese</v>
      </c>
      <c r="H1937" t="str">
        <f t="shared" si="123"/>
        <v>OK</v>
      </c>
      <c r="I1937" t="str">
        <f t="shared" si="120"/>
        <v>OK</v>
      </c>
    </row>
    <row r="1938" spans="1:9" x14ac:dyDescent="0.2">
      <c r="A1938" t="str">
        <f>ObesityDataSet_raw_and_data_sin!A1938</f>
        <v>Female</v>
      </c>
      <c r="B1938">
        <f>ObesityDataSet_raw_and_data_sin!C1938</f>
        <v>1.6614150000000001</v>
      </c>
      <c r="C1938">
        <f>ObesityDataSet_raw_and_data_sin!D1938</f>
        <v>120.74821300000001</v>
      </c>
      <c r="D1938" t="str">
        <f>ObesityDataSet_raw_and_data_sin!Q1938</f>
        <v>Obesity_Type_III</v>
      </c>
      <c r="E1938" t="b">
        <f t="shared" si="121"/>
        <v>0</v>
      </c>
      <c r="F1938">
        <f>C1938/(B1938*B1938)</f>
        <v>43.744600822949828</v>
      </c>
      <c r="G1938" t="str">
        <f t="shared" si="122"/>
        <v>Obese</v>
      </c>
      <c r="H1938" t="str">
        <f t="shared" si="123"/>
        <v>OK</v>
      </c>
      <c r="I1938" t="str">
        <f t="shared" si="120"/>
        <v>OK</v>
      </c>
    </row>
    <row r="1939" spans="1:9" x14ac:dyDescent="0.2">
      <c r="A1939" t="str">
        <f>ObesityDataSet_raw_and_data_sin!A1939</f>
        <v>Female</v>
      </c>
      <c r="B1939">
        <f>ObesityDataSet_raw_and_data_sin!C1939</f>
        <v>1.713133</v>
      </c>
      <c r="C1939">
        <f>ObesityDataSet_raw_and_data_sin!D1939</f>
        <v>133.73588899999999</v>
      </c>
      <c r="D1939" t="str">
        <f>ObesityDataSet_raw_and_data_sin!Q1939</f>
        <v>Obesity_Type_III</v>
      </c>
      <c r="E1939" t="b">
        <f t="shared" si="121"/>
        <v>0</v>
      </c>
      <c r="F1939">
        <f>C1939/(B1939*B1939)</f>
        <v>45.568612703790627</v>
      </c>
      <c r="G1939" t="str">
        <f t="shared" si="122"/>
        <v>Obese</v>
      </c>
      <c r="H1939" t="str">
        <f t="shared" si="123"/>
        <v>OK</v>
      </c>
      <c r="I1939" t="str">
        <f t="shared" si="120"/>
        <v>OK</v>
      </c>
    </row>
    <row r="1940" spans="1:9" x14ac:dyDescent="0.2">
      <c r="A1940" t="str">
        <f>ObesityDataSet_raw_and_data_sin!A1940</f>
        <v>Female</v>
      </c>
      <c r="B1940">
        <f>ObesityDataSet_raw_and_data_sin!C1940</f>
        <v>1.7199</v>
      </c>
      <c r="C1940">
        <f>ObesityDataSet_raw_and_data_sin!D1940</f>
        <v>133.886031</v>
      </c>
      <c r="D1940" t="str">
        <f>ObesityDataSet_raw_and_data_sin!Q1940</f>
        <v>Obesity_Type_III</v>
      </c>
      <c r="E1940" t="b">
        <f t="shared" si="121"/>
        <v>0</v>
      </c>
      <c r="F1940">
        <f>C1940/(B1940*B1940)</f>
        <v>45.261492868081291</v>
      </c>
      <c r="G1940" t="str">
        <f t="shared" si="122"/>
        <v>Obese</v>
      </c>
      <c r="H1940" t="str">
        <f t="shared" si="123"/>
        <v>OK</v>
      </c>
      <c r="I1940" t="str">
        <f t="shared" si="120"/>
        <v>OK</v>
      </c>
    </row>
    <row r="1941" spans="1:9" x14ac:dyDescent="0.2">
      <c r="A1941" t="str">
        <f>ObesityDataSet_raw_and_data_sin!A1941</f>
        <v>Female</v>
      </c>
      <c r="B1941">
        <f>ObesityDataSet_raw_and_data_sin!C1941</f>
        <v>1.6227009999999999</v>
      </c>
      <c r="C1941">
        <f>ObesityDataSet_raw_and_data_sin!D1941</f>
        <v>109.982692</v>
      </c>
      <c r="D1941" t="str">
        <f>ObesityDataSet_raw_and_data_sin!Q1941</f>
        <v>Obesity_Type_III</v>
      </c>
      <c r="E1941" t="b">
        <f t="shared" si="121"/>
        <v>0</v>
      </c>
      <c r="F1941">
        <f>C1941/(B1941*B1941)</f>
        <v>41.768351780327158</v>
      </c>
      <c r="G1941" t="str">
        <f t="shared" si="122"/>
        <v>Obese</v>
      </c>
      <c r="H1941" t="str">
        <f t="shared" si="123"/>
        <v>OK</v>
      </c>
      <c r="I1941" t="str">
        <f t="shared" si="120"/>
        <v>OK</v>
      </c>
    </row>
    <row r="1942" spans="1:9" x14ac:dyDescent="0.2">
      <c r="A1942" t="str">
        <f>ObesityDataSet_raw_and_data_sin!A1942</f>
        <v>Female</v>
      </c>
      <c r="B1942">
        <f>ObesityDataSet_raw_and_data_sin!C1942</f>
        <v>1.622468</v>
      </c>
      <c r="C1942">
        <f>ObesityDataSet_raw_and_data_sin!D1942</f>
        <v>110.400847</v>
      </c>
      <c r="D1942" t="str">
        <f>ObesityDataSet_raw_and_data_sin!Q1942</f>
        <v>Obesity_Type_III</v>
      </c>
      <c r="E1942" t="b">
        <f t="shared" si="121"/>
        <v>0</v>
      </c>
      <c r="F1942">
        <f>C1942/(B1942*B1942)</f>
        <v>41.93919840586009</v>
      </c>
      <c r="G1942" t="str">
        <f t="shared" si="122"/>
        <v>Obese</v>
      </c>
      <c r="H1942" t="str">
        <f t="shared" si="123"/>
        <v>OK</v>
      </c>
      <c r="I1942" t="str">
        <f t="shared" si="120"/>
        <v>OK</v>
      </c>
    </row>
    <row r="1943" spans="1:9" x14ac:dyDescent="0.2">
      <c r="A1943" t="str">
        <f>ObesityDataSet_raw_and_data_sin!A1943</f>
        <v>Female</v>
      </c>
      <c r="B1943">
        <f>ObesityDataSet_raw_and_data_sin!C1943</f>
        <v>1.6188670000000001</v>
      </c>
      <c r="C1943">
        <f>ObesityDataSet_raw_and_data_sin!D1943</f>
        <v>110.77739099999999</v>
      </c>
      <c r="D1943" t="str">
        <f>ObesityDataSet_raw_and_data_sin!Q1943</f>
        <v>Obesity_Type_III</v>
      </c>
      <c r="E1943" t="b">
        <f t="shared" si="121"/>
        <v>0</v>
      </c>
      <c r="F1943">
        <f>C1943/(B1943*B1943)</f>
        <v>42.269663653634019</v>
      </c>
      <c r="G1943" t="str">
        <f t="shared" si="122"/>
        <v>Obese</v>
      </c>
      <c r="H1943" t="str">
        <f t="shared" si="123"/>
        <v>OK</v>
      </c>
      <c r="I1943" t="str">
        <f t="shared" si="120"/>
        <v>OK</v>
      </c>
    </row>
    <row r="1944" spans="1:9" x14ac:dyDescent="0.2">
      <c r="A1944" t="str">
        <f>ObesityDataSet_raw_and_data_sin!A1944</f>
        <v>Female</v>
      </c>
      <c r="B1944">
        <f>ObesityDataSet_raw_and_data_sin!C1944</f>
        <v>1.600905</v>
      </c>
      <c r="C1944">
        <f>ObesityDataSet_raw_and_data_sin!D1944</f>
        <v>110.074946</v>
      </c>
      <c r="D1944" t="str">
        <f>ObesityDataSet_raw_and_data_sin!Q1944</f>
        <v>Obesity_Type_III</v>
      </c>
      <c r="E1944" t="b">
        <f t="shared" si="121"/>
        <v>0</v>
      </c>
      <c r="F1944">
        <f>C1944/(B1944*B1944)</f>
        <v>42.94942550276982</v>
      </c>
      <c r="G1944" t="str">
        <f t="shared" si="122"/>
        <v>Obese</v>
      </c>
      <c r="H1944" t="str">
        <f t="shared" si="123"/>
        <v>OK</v>
      </c>
      <c r="I1944" t="str">
        <f t="shared" si="120"/>
        <v>OK</v>
      </c>
    </row>
    <row r="1945" spans="1:9" x14ac:dyDescent="0.2">
      <c r="A1945" t="str">
        <f>ObesityDataSet_raw_and_data_sin!A1945</f>
        <v>Female</v>
      </c>
      <c r="B1945">
        <f>ObesityDataSet_raw_and_data_sin!C1945</f>
        <v>1.7306360000000001</v>
      </c>
      <c r="C1945">
        <f>ObesityDataSet_raw_and_data_sin!D1945</f>
        <v>131.902591</v>
      </c>
      <c r="D1945" t="str">
        <f>ObesityDataSet_raw_and_data_sin!Q1945</f>
        <v>Obesity_Type_III</v>
      </c>
      <c r="E1945" t="b">
        <f t="shared" si="121"/>
        <v>0</v>
      </c>
      <c r="F1945">
        <f>C1945/(B1945*B1945)</f>
        <v>44.039447271920558</v>
      </c>
      <c r="G1945" t="str">
        <f t="shared" si="122"/>
        <v>Obese</v>
      </c>
      <c r="H1945" t="str">
        <f t="shared" si="123"/>
        <v>OK</v>
      </c>
      <c r="I1945" t="str">
        <f t="shared" si="120"/>
        <v>OK</v>
      </c>
    </row>
    <row r="1946" spans="1:9" x14ac:dyDescent="0.2">
      <c r="A1946" t="str">
        <f>ObesityDataSet_raw_and_data_sin!A1946</f>
        <v>Female</v>
      </c>
      <c r="B1946">
        <f>ObesityDataSet_raw_and_data_sin!C1946</f>
        <v>1.729719</v>
      </c>
      <c r="C1946">
        <f>ObesityDataSet_raw_and_data_sin!D1946</f>
        <v>131.87755799999999</v>
      </c>
      <c r="D1946" t="str">
        <f>ObesityDataSet_raw_and_data_sin!Q1946</f>
        <v>Obesity_Type_III</v>
      </c>
      <c r="E1946" t="b">
        <f t="shared" si="121"/>
        <v>0</v>
      </c>
      <c r="F1946">
        <f>C1946/(B1946*B1946)</f>
        <v>44.077787292942389</v>
      </c>
      <c r="G1946" t="str">
        <f t="shared" si="122"/>
        <v>Obese</v>
      </c>
      <c r="H1946" t="str">
        <f t="shared" si="123"/>
        <v>OK</v>
      </c>
      <c r="I1946" t="str">
        <f t="shared" si="120"/>
        <v>OK</v>
      </c>
    </row>
    <row r="1947" spans="1:9" x14ac:dyDescent="0.2">
      <c r="A1947" t="str">
        <f>ObesityDataSet_raw_and_data_sin!A1947</f>
        <v>Female</v>
      </c>
      <c r="B1947">
        <f>ObesityDataSet_raw_and_data_sin!C1947</f>
        <v>1.6776720000000001</v>
      </c>
      <c r="C1947">
        <f>ObesityDataSet_raw_and_data_sin!D1947</f>
        <v>114.470482</v>
      </c>
      <c r="D1947" t="str">
        <f>ObesityDataSet_raw_and_data_sin!Q1947</f>
        <v>Obesity_Type_III</v>
      </c>
      <c r="E1947" t="b">
        <f t="shared" si="121"/>
        <v>0</v>
      </c>
      <c r="F1947">
        <f>C1947/(B1947*B1947)</f>
        <v>40.670489443357155</v>
      </c>
      <c r="G1947" t="str">
        <f t="shared" si="122"/>
        <v>Obese</v>
      </c>
      <c r="H1947" t="str">
        <f t="shared" si="123"/>
        <v>OK</v>
      </c>
      <c r="I1947" t="str">
        <f t="shared" si="120"/>
        <v>OK</v>
      </c>
    </row>
    <row r="1948" spans="1:9" x14ac:dyDescent="0.2">
      <c r="A1948" t="str">
        <f>ObesityDataSet_raw_and_data_sin!A1948</f>
        <v>Female</v>
      </c>
      <c r="B1948">
        <f>ObesityDataSet_raw_and_data_sin!C1948</f>
        <v>1.637524</v>
      </c>
      <c r="C1948">
        <f>ObesityDataSet_raw_and_data_sin!D1948</f>
        <v>113.90506000000001</v>
      </c>
      <c r="D1948" t="str">
        <f>ObesityDataSet_raw_and_data_sin!Q1948</f>
        <v>Obesity_Type_III</v>
      </c>
      <c r="E1948" t="b">
        <f t="shared" si="121"/>
        <v>0</v>
      </c>
      <c r="F1948">
        <f>C1948/(B1948*B1948)</f>
        <v>42.478352982502386</v>
      </c>
      <c r="G1948" t="str">
        <f t="shared" si="122"/>
        <v>Obese</v>
      </c>
      <c r="H1948" t="str">
        <f t="shared" si="123"/>
        <v>OK</v>
      </c>
      <c r="I1948" t="str">
        <f t="shared" si="120"/>
        <v>OK</v>
      </c>
    </row>
    <row r="1949" spans="1:9" x14ac:dyDescent="0.2">
      <c r="A1949" t="str">
        <f>ObesityDataSet_raw_and_data_sin!A1949</f>
        <v>Female</v>
      </c>
      <c r="B1949">
        <f>ObesityDataSet_raw_and_data_sin!C1949</f>
        <v>1.7387170000000001</v>
      </c>
      <c r="C1949">
        <f>ObesityDataSet_raw_and_data_sin!D1949</f>
        <v>128.114161</v>
      </c>
      <c r="D1949" t="str">
        <f>ObesityDataSet_raw_and_data_sin!Q1949</f>
        <v>Obesity_Type_III</v>
      </c>
      <c r="E1949" t="b">
        <f t="shared" si="121"/>
        <v>0</v>
      </c>
      <c r="F1949">
        <f>C1949/(B1949*B1949)</f>
        <v>42.37789065382718</v>
      </c>
      <c r="G1949" t="str">
        <f t="shared" si="122"/>
        <v>Obese</v>
      </c>
      <c r="H1949" t="str">
        <f t="shared" si="123"/>
        <v>OK</v>
      </c>
      <c r="I1949" t="str">
        <f t="shared" si="120"/>
        <v>OK</v>
      </c>
    </row>
    <row r="1950" spans="1:9" x14ac:dyDescent="0.2">
      <c r="A1950" t="str">
        <f>ObesityDataSet_raw_and_data_sin!A1950</f>
        <v>Female</v>
      </c>
      <c r="B1950">
        <f>ObesityDataSet_raw_and_data_sin!C1950</f>
        <v>1.741193</v>
      </c>
      <c r="C1950">
        <f>ObesityDataSet_raw_and_data_sin!D1950</f>
        <v>128.76384300000001</v>
      </c>
      <c r="D1950" t="str">
        <f>ObesityDataSet_raw_and_data_sin!Q1950</f>
        <v>Obesity_Type_III</v>
      </c>
      <c r="E1950" t="b">
        <f t="shared" si="121"/>
        <v>0</v>
      </c>
      <c r="F1950">
        <f>C1950/(B1950*B1950)</f>
        <v>42.471744998258302</v>
      </c>
      <c r="G1950" t="str">
        <f t="shared" si="122"/>
        <v>Obese</v>
      </c>
      <c r="H1950" t="str">
        <f t="shared" si="123"/>
        <v>OK</v>
      </c>
      <c r="I1950" t="str">
        <f t="shared" si="120"/>
        <v>OK</v>
      </c>
    </row>
    <row r="1951" spans="1:9" x14ac:dyDescent="0.2">
      <c r="A1951" t="str">
        <f>ObesityDataSet_raw_and_data_sin!A1951</f>
        <v>Female</v>
      </c>
      <c r="B1951">
        <f>ObesityDataSet_raw_and_data_sin!C1951</f>
        <v>1.7928329999999999</v>
      </c>
      <c r="C1951">
        <f>ObesityDataSet_raw_and_data_sin!D1951</f>
        <v>152.43563</v>
      </c>
      <c r="D1951" t="str">
        <f>ObesityDataSet_raw_and_data_sin!Q1951</f>
        <v>Obesity_Type_III</v>
      </c>
      <c r="E1951" t="b">
        <f t="shared" si="121"/>
        <v>0</v>
      </c>
      <c r="F1951">
        <f>C1951/(B1951*B1951)</f>
        <v>47.42494271843313</v>
      </c>
      <c r="G1951" t="str">
        <f t="shared" si="122"/>
        <v>Obese</v>
      </c>
      <c r="H1951" t="str">
        <f t="shared" si="123"/>
        <v>OK</v>
      </c>
      <c r="I1951" t="str">
        <f t="shared" si="120"/>
        <v>OK</v>
      </c>
    </row>
    <row r="1952" spans="1:9" x14ac:dyDescent="0.2">
      <c r="A1952" t="str">
        <f>ObesityDataSet_raw_and_data_sin!A1952</f>
        <v>Female</v>
      </c>
      <c r="B1952">
        <f>ObesityDataSet_raw_and_data_sin!C1952</f>
        <v>1.810427</v>
      </c>
      <c r="C1952">
        <f>ObesityDataSet_raw_and_data_sin!D1952</f>
        <v>152.21713500000001</v>
      </c>
      <c r="D1952" t="str">
        <f>ObesityDataSet_raw_and_data_sin!Q1952</f>
        <v>Obesity_Type_III</v>
      </c>
      <c r="E1952" t="b">
        <f t="shared" si="121"/>
        <v>0</v>
      </c>
      <c r="F1952">
        <f>C1952/(B1952*B1952)</f>
        <v>46.440994118070854</v>
      </c>
      <c r="G1952" t="str">
        <f t="shared" si="122"/>
        <v>Obese</v>
      </c>
      <c r="H1952" t="str">
        <f t="shared" si="123"/>
        <v>OK</v>
      </c>
      <c r="I1952" t="str">
        <f t="shared" si="120"/>
        <v>OK</v>
      </c>
    </row>
    <row r="1953" spans="1:9" x14ac:dyDescent="0.2">
      <c r="A1953" t="str">
        <f>ObesityDataSet_raw_and_data_sin!A1953</f>
        <v>Female</v>
      </c>
      <c r="B1953">
        <f>ObesityDataSet_raw_and_data_sin!C1953</f>
        <v>1.7435890000000001</v>
      </c>
      <c r="C1953">
        <f>ObesityDataSet_raw_and_data_sin!D1953</f>
        <v>133.28133299999999</v>
      </c>
      <c r="D1953" t="str">
        <f>ObesityDataSet_raw_and_data_sin!Q1953</f>
        <v>Obesity_Type_III</v>
      </c>
      <c r="E1953" t="b">
        <f t="shared" si="121"/>
        <v>0</v>
      </c>
      <c r="F1953">
        <f>C1953/(B1953*B1953)</f>
        <v>43.841064100804481</v>
      </c>
      <c r="G1953" t="str">
        <f t="shared" si="122"/>
        <v>Obese</v>
      </c>
      <c r="H1953" t="str">
        <f t="shared" si="123"/>
        <v>OK</v>
      </c>
      <c r="I1953" t="str">
        <f t="shared" si="120"/>
        <v>OK</v>
      </c>
    </row>
    <row r="1954" spans="1:9" x14ac:dyDescent="0.2">
      <c r="A1954" t="str">
        <f>ObesityDataSet_raw_and_data_sin!A1954</f>
        <v>Female</v>
      </c>
      <c r="B1954">
        <f>ObesityDataSet_raw_and_data_sin!C1954</f>
        <v>1.747962</v>
      </c>
      <c r="C1954">
        <f>ObesityDataSet_raw_and_data_sin!D1954</f>
        <v>133.93653499999999</v>
      </c>
      <c r="D1954" t="str">
        <f>ObesityDataSet_raw_and_data_sin!Q1954</f>
        <v>Obesity_Type_III</v>
      </c>
      <c r="E1954" t="b">
        <f t="shared" si="121"/>
        <v>0</v>
      </c>
      <c r="F1954">
        <f>C1954/(B1954*B1954)</f>
        <v>43.836420609334922</v>
      </c>
      <c r="G1954" t="str">
        <f t="shared" si="122"/>
        <v>Obese</v>
      </c>
      <c r="H1954" t="str">
        <f t="shared" si="123"/>
        <v>OK</v>
      </c>
      <c r="I1954" t="str">
        <f t="shared" si="120"/>
        <v>OK</v>
      </c>
    </row>
    <row r="1955" spans="1:9" x14ac:dyDescent="0.2">
      <c r="A1955" t="str">
        <f>ObesityDataSet_raw_and_data_sin!A1955</f>
        <v>Female</v>
      </c>
      <c r="B1955">
        <f>ObesityDataSet_raw_and_data_sin!C1955</f>
        <v>1.71146</v>
      </c>
      <c r="C1955">
        <f>ObesityDataSet_raw_and_data_sin!D1955</f>
        <v>113.372851</v>
      </c>
      <c r="D1955" t="str">
        <f>ObesityDataSet_raw_and_data_sin!Q1955</f>
        <v>Obesity_Type_III</v>
      </c>
      <c r="E1955" t="b">
        <f t="shared" si="121"/>
        <v>0</v>
      </c>
      <c r="F1955">
        <f>C1955/(B1955*B1955)</f>
        <v>38.705756612595735</v>
      </c>
      <c r="G1955" t="str">
        <f t="shared" si="122"/>
        <v>Obese</v>
      </c>
      <c r="H1955" t="str">
        <f t="shared" si="123"/>
        <v>OK</v>
      </c>
      <c r="I1955" t="str">
        <f t="shared" si="120"/>
        <v>OK</v>
      </c>
    </row>
    <row r="1956" spans="1:9" x14ac:dyDescent="0.2">
      <c r="A1956" t="str">
        <f>ObesityDataSet_raw_and_data_sin!A1956</f>
        <v>Female</v>
      </c>
      <c r="B1956">
        <f>ObesityDataSet_raw_and_data_sin!C1956</f>
        <v>1.6854819999999999</v>
      </c>
      <c r="C1956">
        <f>ObesityDataSet_raw_and_data_sin!D1956</f>
        <v>113.451224</v>
      </c>
      <c r="D1956" t="str">
        <f>ObesityDataSet_raw_and_data_sin!Q1956</f>
        <v>Obesity_Type_III</v>
      </c>
      <c r="E1956" t="b">
        <f t="shared" si="121"/>
        <v>0</v>
      </c>
      <c r="F1956">
        <f>C1956/(B1956*B1956)</f>
        <v>39.935667521877804</v>
      </c>
      <c r="G1956" t="str">
        <f t="shared" si="122"/>
        <v>Obese</v>
      </c>
      <c r="H1956" t="str">
        <f t="shared" si="123"/>
        <v>OK</v>
      </c>
      <c r="I1956" t="str">
        <f t="shared" si="120"/>
        <v>OK</v>
      </c>
    </row>
    <row r="1957" spans="1:9" x14ac:dyDescent="0.2">
      <c r="A1957" t="str">
        <f>ObesityDataSet_raw_and_data_sin!A1957</f>
        <v>Female</v>
      </c>
      <c r="B1957">
        <f>ObesityDataSet_raw_and_data_sin!C1957</f>
        <v>1.639251</v>
      </c>
      <c r="C1957">
        <f>ObesityDataSet_raw_and_data_sin!D1957</f>
        <v>111.927001</v>
      </c>
      <c r="D1957" t="str">
        <f>ObesityDataSet_raw_and_data_sin!Q1957</f>
        <v>Obesity_Type_III</v>
      </c>
      <c r="E1957" t="b">
        <f t="shared" si="121"/>
        <v>0</v>
      </c>
      <c r="F1957">
        <f>C1957/(B1957*B1957)</f>
        <v>41.652776190166868</v>
      </c>
      <c r="G1957" t="str">
        <f t="shared" si="122"/>
        <v>Obese</v>
      </c>
      <c r="H1957" t="str">
        <f t="shared" si="123"/>
        <v>OK</v>
      </c>
      <c r="I1957" t="str">
        <f t="shared" si="120"/>
        <v>OK</v>
      </c>
    </row>
    <row r="1958" spans="1:9" x14ac:dyDescent="0.2">
      <c r="A1958" t="str">
        <f>ObesityDataSet_raw_and_data_sin!A1958</f>
        <v>Female</v>
      </c>
      <c r="B1958">
        <f>ObesityDataSet_raw_and_data_sin!C1958</f>
        <v>1.654784</v>
      </c>
      <c r="C1958">
        <f>ObesityDataSet_raw_and_data_sin!D1958</f>
        <v>111.93315200000001</v>
      </c>
      <c r="D1958" t="str">
        <f>ObesityDataSet_raw_and_data_sin!Q1958</f>
        <v>Obesity_Type_III</v>
      </c>
      <c r="E1958" t="b">
        <f t="shared" si="121"/>
        <v>0</v>
      </c>
      <c r="F1958">
        <f>C1958/(B1958*B1958)</f>
        <v>40.876726323092129</v>
      </c>
      <c r="G1958" t="str">
        <f t="shared" si="122"/>
        <v>Obese</v>
      </c>
      <c r="H1958" t="str">
        <f t="shared" si="123"/>
        <v>OK</v>
      </c>
      <c r="I1958" t="str">
        <f t="shared" si="120"/>
        <v>OK</v>
      </c>
    </row>
    <row r="1959" spans="1:9" x14ac:dyDescent="0.2">
      <c r="A1959" t="str">
        <f>ObesityDataSet_raw_and_data_sin!A1959</f>
        <v>Female</v>
      </c>
      <c r="B1959">
        <f>ObesityDataSet_raw_and_data_sin!C1959</f>
        <v>1.6412089999999999</v>
      </c>
      <c r="C1959">
        <f>ObesityDataSet_raw_and_data_sin!D1959</f>
        <v>111.856492</v>
      </c>
      <c r="D1959" t="str">
        <f>ObesityDataSet_raw_and_data_sin!Q1959</f>
        <v>Obesity_Type_III</v>
      </c>
      <c r="E1959" t="b">
        <f t="shared" si="121"/>
        <v>0</v>
      </c>
      <c r="F1959">
        <f>C1959/(B1959*B1959)</f>
        <v>41.527273225703361</v>
      </c>
      <c r="G1959" t="str">
        <f t="shared" si="122"/>
        <v>Obese</v>
      </c>
      <c r="H1959" t="str">
        <f t="shared" si="123"/>
        <v>OK</v>
      </c>
      <c r="I1959" t="str">
        <f t="shared" si="120"/>
        <v>OK</v>
      </c>
    </row>
    <row r="1960" spans="1:9" x14ac:dyDescent="0.2">
      <c r="A1960" t="str">
        <f>ObesityDataSet_raw_and_data_sin!A1960</f>
        <v>Female</v>
      </c>
      <c r="B1960">
        <f>ObesityDataSet_raw_and_data_sin!C1960</f>
        <v>1.643167</v>
      </c>
      <c r="C1960">
        <f>ObesityDataSet_raw_and_data_sin!D1960</f>
        <v>111.894229</v>
      </c>
      <c r="D1960" t="str">
        <f>ObesityDataSet_raw_and_data_sin!Q1960</f>
        <v>Obesity_Type_III</v>
      </c>
      <c r="E1960" t="b">
        <f t="shared" si="121"/>
        <v>0</v>
      </c>
      <c r="F1960">
        <f>C1960/(B1960*B1960)</f>
        <v>41.4423409600643</v>
      </c>
      <c r="G1960" t="str">
        <f t="shared" si="122"/>
        <v>Obese</v>
      </c>
      <c r="H1960" t="str">
        <f t="shared" si="123"/>
        <v>OK</v>
      </c>
      <c r="I1960" t="str">
        <f t="shared" si="120"/>
        <v>OK</v>
      </c>
    </row>
    <row r="1961" spans="1:9" x14ac:dyDescent="0.2">
      <c r="A1961" t="str">
        <f>ObesityDataSet_raw_and_data_sin!A1961</f>
        <v>Female</v>
      </c>
      <c r="B1961">
        <f>ObesityDataSet_raw_and_data_sin!C1961</f>
        <v>1.63073</v>
      </c>
      <c r="C1961">
        <f>ObesityDataSet_raw_and_data_sin!D1961</f>
        <v>104.790549</v>
      </c>
      <c r="D1961" t="str">
        <f>ObesityDataSet_raw_and_data_sin!Q1961</f>
        <v>Obesity_Type_III</v>
      </c>
      <c r="E1961" t="b">
        <f t="shared" si="121"/>
        <v>0</v>
      </c>
      <c r="F1961">
        <f>C1961/(B1961*B1961)</f>
        <v>39.405604480112764</v>
      </c>
      <c r="G1961" t="str">
        <f t="shared" si="122"/>
        <v>Obese</v>
      </c>
      <c r="H1961" t="str">
        <f t="shared" si="123"/>
        <v>OK</v>
      </c>
      <c r="I1961" t="str">
        <f t="shared" si="120"/>
        <v>OK</v>
      </c>
    </row>
    <row r="1962" spans="1:9" x14ac:dyDescent="0.2">
      <c r="A1962" t="str">
        <f>ObesityDataSet_raw_and_data_sin!A1962</f>
        <v>Female</v>
      </c>
      <c r="B1962">
        <f>ObesityDataSet_raw_and_data_sin!C1962</f>
        <v>1.649867</v>
      </c>
      <c r="C1962">
        <f>ObesityDataSet_raw_and_data_sin!D1962</f>
        <v>104.79103499999999</v>
      </c>
      <c r="D1962" t="str">
        <f>ObesityDataSet_raw_and_data_sin!Q1962</f>
        <v>Obesity_Type_III</v>
      </c>
      <c r="E1962" t="b">
        <f t="shared" si="121"/>
        <v>0</v>
      </c>
      <c r="F1962">
        <f>C1962/(B1962*B1962)</f>
        <v>38.496944215920628</v>
      </c>
      <c r="G1962" t="str">
        <f t="shared" si="122"/>
        <v>Obese</v>
      </c>
      <c r="H1962" t="str">
        <f t="shared" si="123"/>
        <v>OK</v>
      </c>
      <c r="I1962" t="str">
        <f t="shared" si="120"/>
        <v>OK</v>
      </c>
    </row>
    <row r="1963" spans="1:9" x14ac:dyDescent="0.2">
      <c r="A1963" t="str">
        <f>ObesityDataSet_raw_and_data_sin!A1963</f>
        <v>Female</v>
      </c>
      <c r="B1963">
        <f>ObesityDataSet_raw_and_data_sin!C1963</f>
        <v>1.6135740000000001</v>
      </c>
      <c r="C1963">
        <f>ObesityDataSet_raw_and_data_sin!D1963</f>
        <v>107.01225599999999</v>
      </c>
      <c r="D1963" t="str">
        <f>ObesityDataSet_raw_and_data_sin!Q1963</f>
        <v>Obesity_Type_III</v>
      </c>
      <c r="E1963" t="b">
        <f t="shared" si="121"/>
        <v>0</v>
      </c>
      <c r="F1963">
        <f>C1963/(B1963*B1963)</f>
        <v>41.101317665691717</v>
      </c>
      <c r="G1963" t="str">
        <f t="shared" si="122"/>
        <v>Obese</v>
      </c>
      <c r="H1963" t="str">
        <f t="shared" si="123"/>
        <v>OK</v>
      </c>
      <c r="I1963" t="str">
        <f t="shared" si="120"/>
        <v>OK</v>
      </c>
    </row>
    <row r="1964" spans="1:9" x14ac:dyDescent="0.2">
      <c r="A1964" t="str">
        <f>ObesityDataSet_raw_and_data_sin!A1964</f>
        <v>Female</v>
      </c>
      <c r="B1964">
        <f>ObesityDataSet_raw_and_data_sin!C1964</f>
        <v>1.627532</v>
      </c>
      <c r="C1964">
        <f>ObesityDataSet_raw_and_data_sin!D1964</f>
        <v>106.69053</v>
      </c>
      <c r="D1964" t="str">
        <f>ObesityDataSet_raw_and_data_sin!Q1964</f>
        <v>Obesity_Type_III</v>
      </c>
      <c r="E1964" t="b">
        <f t="shared" si="121"/>
        <v>0</v>
      </c>
      <c r="F1964">
        <f>C1964/(B1964*B1964)</f>
        <v>40.277898207084249</v>
      </c>
      <c r="G1964" t="str">
        <f t="shared" si="122"/>
        <v>Obese</v>
      </c>
      <c r="H1964" t="str">
        <f t="shared" si="123"/>
        <v>OK</v>
      </c>
      <c r="I1964" t="str">
        <f t="shared" si="120"/>
        <v>OK</v>
      </c>
    </row>
    <row r="1965" spans="1:9" x14ac:dyDescent="0.2">
      <c r="A1965" t="str">
        <f>ObesityDataSet_raw_and_data_sin!A1965</f>
        <v>Female</v>
      </c>
      <c r="B1965">
        <f>ObesityDataSet_raw_and_data_sin!C1965</f>
        <v>1.7266060000000001</v>
      </c>
      <c r="C1965">
        <f>ObesityDataSet_raw_and_data_sin!D1965</f>
        <v>131.76806999999999</v>
      </c>
      <c r="D1965" t="str">
        <f>ObesityDataSet_raw_and_data_sin!Q1965</f>
        <v>Obesity_Type_III</v>
      </c>
      <c r="E1965" t="b">
        <f t="shared" si="121"/>
        <v>0</v>
      </c>
      <c r="F1965">
        <f>C1965/(B1965*B1965)</f>
        <v>44.200144929010477</v>
      </c>
      <c r="G1965" t="str">
        <f t="shared" si="122"/>
        <v>Obese</v>
      </c>
      <c r="H1965" t="str">
        <f t="shared" si="123"/>
        <v>OK</v>
      </c>
      <c r="I1965" t="str">
        <f t="shared" si="120"/>
        <v>OK</v>
      </c>
    </row>
    <row r="1966" spans="1:9" x14ac:dyDescent="0.2">
      <c r="A1966" t="str">
        <f>ObesityDataSet_raw_and_data_sin!A1966</f>
        <v>Female</v>
      </c>
      <c r="B1966">
        <f>ObesityDataSet_raw_and_data_sin!C1966</f>
        <v>1.721476</v>
      </c>
      <c r="C1966">
        <f>ObesityDataSet_raw_and_data_sin!D1966</f>
        <v>131.04227399999999</v>
      </c>
      <c r="D1966" t="str">
        <f>ObesityDataSet_raw_and_data_sin!Q1966</f>
        <v>Obesity_Type_III</v>
      </c>
      <c r="E1966" t="b">
        <f t="shared" si="121"/>
        <v>0</v>
      </c>
      <c r="F1966">
        <f>C1966/(B1966*B1966)</f>
        <v>44.219056941909365</v>
      </c>
      <c r="G1966" t="str">
        <f t="shared" si="122"/>
        <v>Obese</v>
      </c>
      <c r="H1966" t="str">
        <f t="shared" si="123"/>
        <v>OK</v>
      </c>
      <c r="I1966" t="str">
        <f t="shared" si="120"/>
        <v>OK</v>
      </c>
    </row>
    <row r="1967" spans="1:9" x14ac:dyDescent="0.2">
      <c r="A1967" t="str">
        <f>ObesityDataSet_raw_and_data_sin!A1967</f>
        <v>Female</v>
      </c>
      <c r="B1967">
        <f>ObesityDataSet_raw_and_data_sin!C1967</f>
        <v>1.742901</v>
      </c>
      <c r="C1967">
        <f>ObesityDataSet_raw_and_data_sin!D1967</f>
        <v>132.80709999999999</v>
      </c>
      <c r="D1967" t="str">
        <f>ObesityDataSet_raw_and_data_sin!Q1967</f>
        <v>Obesity_Type_III</v>
      </c>
      <c r="E1967" t="b">
        <f t="shared" si="121"/>
        <v>0</v>
      </c>
      <c r="F1967">
        <f>C1967/(B1967*B1967)</f>
        <v>43.719567329646068</v>
      </c>
      <c r="G1967" t="str">
        <f t="shared" si="122"/>
        <v>Obese</v>
      </c>
      <c r="H1967" t="str">
        <f t="shared" si="123"/>
        <v>OK</v>
      </c>
      <c r="I1967" t="str">
        <f t="shared" si="120"/>
        <v>OK</v>
      </c>
    </row>
    <row r="1968" spans="1:9" x14ac:dyDescent="0.2">
      <c r="A1968" t="str">
        <f>ObesityDataSet_raw_and_data_sin!A1968</f>
        <v>Female</v>
      </c>
      <c r="B1968">
        <f>ObesityDataSet_raw_and_data_sin!C1968</f>
        <v>1.7373130000000001</v>
      </c>
      <c r="C1968">
        <f>ObesityDataSet_raw_and_data_sin!D1968</f>
        <v>133.166595</v>
      </c>
      <c r="D1968" t="str">
        <f>ObesityDataSet_raw_and_data_sin!Q1968</f>
        <v>Obesity_Type_III</v>
      </c>
      <c r="E1968" t="b">
        <f t="shared" si="121"/>
        <v>0</v>
      </c>
      <c r="F1968">
        <f>C1968/(B1968*B1968)</f>
        <v>44.120371070577519</v>
      </c>
      <c r="G1968" t="str">
        <f t="shared" si="122"/>
        <v>Obese</v>
      </c>
      <c r="H1968" t="str">
        <f t="shared" si="123"/>
        <v>OK</v>
      </c>
      <c r="I1968" t="str">
        <f t="shared" si="120"/>
        <v>OK</v>
      </c>
    </row>
    <row r="1969" spans="1:9" x14ac:dyDescent="0.2">
      <c r="A1969" t="str">
        <f>ObesityDataSet_raw_and_data_sin!A1969</f>
        <v>Female</v>
      </c>
      <c r="B1969">
        <f>ObesityDataSet_raw_and_data_sin!C1969</f>
        <v>1.6241399999999999</v>
      </c>
      <c r="C1969">
        <f>ObesityDataSet_raw_and_data_sin!D1969</f>
        <v>102.233445</v>
      </c>
      <c r="D1969" t="str">
        <f>ObesityDataSet_raw_and_data_sin!Q1969</f>
        <v>Obesity_Type_III</v>
      </c>
      <c r="E1969" t="b">
        <f t="shared" si="121"/>
        <v>0</v>
      </c>
      <c r="F1969">
        <f>C1969/(B1969*B1969)</f>
        <v>38.756635695094928</v>
      </c>
      <c r="G1969" t="str">
        <f t="shared" si="122"/>
        <v>Obese</v>
      </c>
      <c r="H1969" t="str">
        <f t="shared" si="123"/>
        <v>OK</v>
      </c>
      <c r="I1969" t="str">
        <f t="shared" si="120"/>
        <v>OK</v>
      </c>
    </row>
    <row r="1970" spans="1:9" x14ac:dyDescent="0.2">
      <c r="A1970" t="str">
        <f>ObesityDataSet_raw_and_data_sin!A1970</f>
        <v>Female</v>
      </c>
      <c r="B1970">
        <f>ObesityDataSet_raw_and_data_sin!C1970</f>
        <v>1.6440779999999999</v>
      </c>
      <c r="C1970">
        <f>ObesityDataSet_raw_and_data_sin!D1970</f>
        <v>102.277765</v>
      </c>
      <c r="D1970" t="str">
        <f>ObesityDataSet_raw_and_data_sin!Q1970</f>
        <v>Obesity_Type_III</v>
      </c>
      <c r="E1970" t="b">
        <f t="shared" si="121"/>
        <v>0</v>
      </c>
      <c r="F1970">
        <f>C1970/(B1970*B1970)</f>
        <v>37.838716212487846</v>
      </c>
      <c r="G1970" t="str">
        <f t="shared" si="122"/>
        <v>Obese</v>
      </c>
      <c r="H1970" t="str">
        <f t="shared" si="123"/>
        <v>OK</v>
      </c>
      <c r="I1970" t="str">
        <f t="shared" si="120"/>
        <v>OK</v>
      </c>
    </row>
    <row r="1971" spans="1:9" x14ac:dyDescent="0.2">
      <c r="A1971" t="str">
        <f>ObesityDataSet_raw_and_data_sin!A1971</f>
        <v>Female</v>
      </c>
      <c r="B1971">
        <f>ObesityDataSet_raw_and_data_sin!C1971</f>
        <v>1.5925290000000001</v>
      </c>
      <c r="C1971">
        <f>ObesityDataSet_raw_and_data_sin!D1971</f>
        <v>102.874549</v>
      </c>
      <c r="D1971" t="str">
        <f>ObesityDataSet_raw_and_data_sin!Q1971</f>
        <v>Obesity_Type_III</v>
      </c>
      <c r="E1971" t="b">
        <f t="shared" si="121"/>
        <v>0</v>
      </c>
      <c r="F1971">
        <f>C1971/(B1971*B1971)</f>
        <v>40.563296786882603</v>
      </c>
      <c r="G1971" t="str">
        <f t="shared" si="122"/>
        <v>Obese</v>
      </c>
      <c r="H1971" t="str">
        <f t="shared" si="123"/>
        <v>OK</v>
      </c>
      <c r="I1971" t="str">
        <f t="shared" si="120"/>
        <v>OK</v>
      </c>
    </row>
    <row r="1972" spans="1:9" x14ac:dyDescent="0.2">
      <c r="A1972" t="str">
        <f>ObesityDataSet_raw_and_data_sin!A1972</f>
        <v>Female</v>
      </c>
      <c r="B1972">
        <f>ObesityDataSet_raw_and_data_sin!C1972</f>
        <v>1.607734</v>
      </c>
      <c r="C1972">
        <f>ObesityDataSet_raw_and_data_sin!D1972</f>
        <v>102.305767</v>
      </c>
      <c r="D1972" t="str">
        <f>ObesityDataSet_raw_and_data_sin!Q1972</f>
        <v>Obesity_Type_III</v>
      </c>
      <c r="E1972" t="b">
        <f t="shared" si="121"/>
        <v>0</v>
      </c>
      <c r="F1972">
        <f>C1972/(B1972*B1972)</f>
        <v>39.579629383762878</v>
      </c>
      <c r="G1972" t="str">
        <f t="shared" si="122"/>
        <v>Obese</v>
      </c>
      <c r="H1972" t="str">
        <f t="shared" si="123"/>
        <v>OK</v>
      </c>
      <c r="I1972" t="str">
        <f t="shared" si="120"/>
        <v>OK</v>
      </c>
    </row>
    <row r="1973" spans="1:9" x14ac:dyDescent="0.2">
      <c r="A1973" t="str">
        <f>ObesityDataSet_raw_and_data_sin!A1973</f>
        <v>Female</v>
      </c>
      <c r="B1973">
        <f>ObesityDataSet_raw_and_data_sin!C1973</f>
        <v>1.8172710000000001</v>
      </c>
      <c r="C1973">
        <f>ObesityDataSet_raw_and_data_sin!D1973</f>
        <v>141.91780199999999</v>
      </c>
      <c r="D1973" t="str">
        <f>ObesityDataSet_raw_and_data_sin!Q1973</f>
        <v>Obesity_Type_III</v>
      </c>
      <c r="E1973" t="b">
        <f t="shared" si="121"/>
        <v>0</v>
      </c>
      <c r="F1973">
        <f>C1973/(B1973*B1973)</f>
        <v>42.973179149031317</v>
      </c>
      <c r="G1973" t="str">
        <f t="shared" si="122"/>
        <v>Obese</v>
      </c>
      <c r="H1973" t="str">
        <f t="shared" si="123"/>
        <v>OK</v>
      </c>
      <c r="I1973" t="str">
        <f t="shared" si="120"/>
        <v>OK</v>
      </c>
    </row>
    <row r="1974" spans="1:9" x14ac:dyDescent="0.2">
      <c r="A1974" t="str">
        <f>ObesityDataSet_raw_and_data_sin!A1974</f>
        <v>Female</v>
      </c>
      <c r="B1974">
        <f>ObesityDataSet_raw_and_data_sin!C1974</f>
        <v>1.808765</v>
      </c>
      <c r="C1974">
        <f>ObesityDataSet_raw_and_data_sin!D1974</f>
        <v>140.29201800000001</v>
      </c>
      <c r="D1974" t="str">
        <f>ObesityDataSet_raw_and_data_sin!Q1974</f>
        <v>Obesity_Type_III</v>
      </c>
      <c r="E1974" t="b">
        <f t="shared" si="121"/>
        <v>0</v>
      </c>
      <c r="F1974">
        <f>C1974/(B1974*B1974)</f>
        <v>42.881371858437511</v>
      </c>
      <c r="G1974" t="str">
        <f t="shared" si="122"/>
        <v>Obese</v>
      </c>
      <c r="H1974" t="str">
        <f t="shared" si="123"/>
        <v>OK</v>
      </c>
      <c r="I1974" t="str">
        <f t="shared" si="120"/>
        <v>OK</v>
      </c>
    </row>
    <row r="1975" spans="1:9" x14ac:dyDescent="0.2">
      <c r="A1975" t="str">
        <f>ObesityDataSet_raw_and_data_sin!A1975</f>
        <v>Female</v>
      </c>
      <c r="B1975">
        <f>ObesityDataSet_raw_and_data_sin!C1975</f>
        <v>1.817231</v>
      </c>
      <c r="C1975">
        <f>ObesityDataSet_raw_and_data_sin!D1975</f>
        <v>152.37191100000001</v>
      </c>
      <c r="D1975" t="str">
        <f>ObesityDataSet_raw_and_data_sin!Q1975</f>
        <v>Obesity_Type_III</v>
      </c>
      <c r="E1975" t="b">
        <f t="shared" si="121"/>
        <v>0</v>
      </c>
      <c r="F1975">
        <f>C1975/(B1975*B1975)</f>
        <v>46.140749068530873</v>
      </c>
      <c r="G1975" t="str">
        <f t="shared" si="122"/>
        <v>Obese</v>
      </c>
      <c r="H1975" t="str">
        <f t="shared" si="123"/>
        <v>OK</v>
      </c>
      <c r="I1975" t="str">
        <f t="shared" si="120"/>
        <v>OK</v>
      </c>
    </row>
    <row r="1976" spans="1:9" x14ac:dyDescent="0.2">
      <c r="A1976" t="str">
        <f>ObesityDataSet_raw_and_data_sin!A1976</f>
        <v>Female</v>
      </c>
      <c r="B1976">
        <f>ObesityDataSet_raw_and_data_sin!C1976</f>
        <v>1.819728</v>
      </c>
      <c r="C1976">
        <f>ObesityDataSet_raw_and_data_sin!D1976</f>
        <v>151.27853200000001</v>
      </c>
      <c r="D1976" t="str">
        <f>ObesityDataSet_raw_and_data_sin!Q1976</f>
        <v>Obesity_Type_III</v>
      </c>
      <c r="E1976" t="b">
        <f t="shared" si="121"/>
        <v>0</v>
      </c>
      <c r="F1976">
        <f>C1976/(B1976*B1976)</f>
        <v>45.684023505043193</v>
      </c>
      <c r="G1976" t="str">
        <f t="shared" si="122"/>
        <v>Obese</v>
      </c>
      <c r="H1976" t="str">
        <f t="shared" si="123"/>
        <v>OK</v>
      </c>
      <c r="I1976" t="str">
        <f t="shared" si="120"/>
        <v>OK</v>
      </c>
    </row>
    <row r="1977" spans="1:9" x14ac:dyDescent="0.2">
      <c r="A1977" t="str">
        <f>ObesityDataSet_raw_and_data_sin!A1977</f>
        <v>Female</v>
      </c>
      <c r="B1977">
        <f>ObesityDataSet_raw_and_data_sin!C1977</f>
        <v>1.6564650000000001</v>
      </c>
      <c r="C1977">
        <f>ObesityDataSet_raw_and_data_sin!D1977</f>
        <v>111.949972</v>
      </c>
      <c r="D1977" t="str">
        <f>ObesityDataSet_raw_and_data_sin!Q1977</f>
        <v>Obesity_Type_III</v>
      </c>
      <c r="E1977" t="b">
        <f t="shared" si="121"/>
        <v>0</v>
      </c>
      <c r="F1977">
        <f>C1977/(B1977*B1977)</f>
        <v>40.799934076481414</v>
      </c>
      <c r="G1977" t="str">
        <f t="shared" si="122"/>
        <v>Obese</v>
      </c>
      <c r="H1977" t="str">
        <f t="shared" si="123"/>
        <v>OK</v>
      </c>
      <c r="I1977" t="str">
        <f t="shared" si="120"/>
        <v>OK</v>
      </c>
    </row>
    <row r="1978" spans="1:9" x14ac:dyDescent="0.2">
      <c r="A1978" t="str">
        <f>ObesityDataSet_raw_and_data_sin!A1978</f>
        <v>Female</v>
      </c>
      <c r="B1978">
        <f>ObesityDataSet_raw_and_data_sin!C1978</f>
        <v>1.6481429999999999</v>
      </c>
      <c r="C1978">
        <f>ObesityDataSet_raw_and_data_sin!D1978</f>
        <v>111.950113</v>
      </c>
      <c r="D1978" t="str">
        <f>ObesityDataSet_raw_and_data_sin!Q1978</f>
        <v>Obesity_Type_III</v>
      </c>
      <c r="E1978" t="b">
        <f t="shared" si="121"/>
        <v>0</v>
      </c>
      <c r="F1978">
        <f>C1978/(B1978*B1978)</f>
        <v>41.21304997997477</v>
      </c>
      <c r="G1978" t="str">
        <f t="shared" si="122"/>
        <v>Obese</v>
      </c>
      <c r="H1978" t="str">
        <f t="shared" si="123"/>
        <v>OK</v>
      </c>
      <c r="I1978" t="str">
        <f t="shared" si="120"/>
        <v>OK</v>
      </c>
    </row>
    <row r="1979" spans="1:9" x14ac:dyDescent="0.2">
      <c r="A1979" t="str">
        <f>ObesityDataSet_raw_and_data_sin!A1979</f>
        <v>Female</v>
      </c>
      <c r="B1979">
        <f>ObesityDataSet_raw_and_data_sin!C1979</f>
        <v>1.622703</v>
      </c>
      <c r="C1979">
        <f>ObesityDataSet_raw_and_data_sin!D1979</f>
        <v>111.21619200000001</v>
      </c>
      <c r="D1979" t="str">
        <f>ObesityDataSet_raw_and_data_sin!Q1979</f>
        <v>Obesity_Type_III</v>
      </c>
      <c r="E1979" t="b">
        <f t="shared" si="121"/>
        <v>0</v>
      </c>
      <c r="F1979">
        <f>C1979/(B1979*B1979)</f>
        <v>42.236696482377077</v>
      </c>
      <c r="G1979" t="str">
        <f t="shared" si="122"/>
        <v>Obese</v>
      </c>
      <c r="H1979" t="str">
        <f t="shared" si="123"/>
        <v>OK</v>
      </c>
      <c r="I1979" t="str">
        <f t="shared" si="120"/>
        <v>OK</v>
      </c>
    </row>
    <row r="1980" spans="1:9" x14ac:dyDescent="0.2">
      <c r="A1980" t="str">
        <f>ObesityDataSet_raw_and_data_sin!A1980</f>
        <v>Female</v>
      </c>
      <c r="B1980">
        <f>ObesityDataSet_raw_and_data_sin!C1980</f>
        <v>1.640606</v>
      </c>
      <c r="C1980">
        <f>ObesityDataSet_raw_and_data_sin!D1980</f>
        <v>111.03688099999999</v>
      </c>
      <c r="D1980" t="str">
        <f>ObesityDataSet_raw_and_data_sin!Q1980</f>
        <v>Obesity_Type_III</v>
      </c>
      <c r="E1980" t="b">
        <f t="shared" si="121"/>
        <v>0</v>
      </c>
      <c r="F1980">
        <f>C1980/(B1980*B1980)</f>
        <v>41.253296957543007</v>
      </c>
      <c r="G1980" t="str">
        <f t="shared" si="122"/>
        <v>Obese</v>
      </c>
      <c r="H1980" t="str">
        <f t="shared" si="123"/>
        <v>OK</v>
      </c>
      <c r="I1980" t="str">
        <f t="shared" si="120"/>
        <v>OK</v>
      </c>
    </row>
    <row r="1981" spans="1:9" x14ac:dyDescent="0.2">
      <c r="A1981" t="str">
        <f>ObesityDataSet_raw_and_data_sin!A1981</f>
        <v>Female</v>
      </c>
      <c r="B1981">
        <f>ObesityDataSet_raw_and_data_sin!C1981</f>
        <v>1.6835020000000001</v>
      </c>
      <c r="C1981">
        <f>ObesityDataSet_raw_and_data_sin!D1981</f>
        <v>104.759643</v>
      </c>
      <c r="D1981" t="str">
        <f>ObesityDataSet_raw_and_data_sin!Q1981</f>
        <v>Obesity_Type_III</v>
      </c>
      <c r="E1981" t="b">
        <f t="shared" si="121"/>
        <v>0</v>
      </c>
      <c r="F1981">
        <f>C1981/(B1981*B1981)</f>
        <v>36.962959499473918</v>
      </c>
      <c r="G1981" t="str">
        <f t="shared" si="122"/>
        <v>Obese</v>
      </c>
      <c r="H1981" t="str">
        <f t="shared" si="123"/>
        <v>OK</v>
      </c>
      <c r="I1981" t="str">
        <f t="shared" si="120"/>
        <v>OK</v>
      </c>
    </row>
    <row r="1982" spans="1:9" x14ac:dyDescent="0.2">
      <c r="A1982" t="str">
        <f>ObesityDataSet_raw_and_data_sin!A1982</f>
        <v>Female</v>
      </c>
      <c r="B1982">
        <f>ObesityDataSet_raw_and_data_sin!C1982</f>
        <v>1.6690389999999999</v>
      </c>
      <c r="C1982">
        <f>ObesityDataSet_raw_and_data_sin!D1982</f>
        <v>104.593929</v>
      </c>
      <c r="D1982" t="str">
        <f>ObesityDataSet_raw_and_data_sin!Q1982</f>
        <v>Obesity_Type_III</v>
      </c>
      <c r="E1982" t="b">
        <f t="shared" si="121"/>
        <v>0</v>
      </c>
      <c r="F1982">
        <f>C1982/(B1982*B1982)</f>
        <v>37.546849994979546</v>
      </c>
      <c r="G1982" t="str">
        <f t="shared" si="122"/>
        <v>Obese</v>
      </c>
      <c r="H1982" t="str">
        <f t="shared" si="123"/>
        <v>OK</v>
      </c>
      <c r="I1982" t="str">
        <f t="shared" si="120"/>
        <v>OK</v>
      </c>
    </row>
    <row r="1983" spans="1:9" x14ac:dyDescent="0.2">
      <c r="A1983" t="str">
        <f>ObesityDataSet_raw_and_data_sin!A1983</f>
        <v>Female</v>
      </c>
      <c r="B1983">
        <f>ObesityDataSet_raw_and_data_sin!C1983</f>
        <v>1.673665</v>
      </c>
      <c r="C1983">
        <f>ObesityDataSet_raw_and_data_sin!D1983</f>
        <v>104.704707</v>
      </c>
      <c r="D1983" t="str">
        <f>ObesityDataSet_raw_and_data_sin!Q1983</f>
        <v>Obesity_Type_III</v>
      </c>
      <c r="E1983" t="b">
        <f t="shared" si="121"/>
        <v>0</v>
      </c>
      <c r="F1983">
        <f>C1983/(B1983*B1983)</f>
        <v>37.379125569638404</v>
      </c>
      <c r="G1983" t="str">
        <f t="shared" si="122"/>
        <v>Obese</v>
      </c>
      <c r="H1983" t="str">
        <f t="shared" si="123"/>
        <v>OK</v>
      </c>
      <c r="I1983" t="str">
        <f t="shared" si="120"/>
        <v>OK</v>
      </c>
    </row>
    <row r="1984" spans="1:9" x14ac:dyDescent="0.2">
      <c r="A1984" t="str">
        <f>ObesityDataSet_raw_and_data_sin!A1984</f>
        <v>Female</v>
      </c>
      <c r="B1984">
        <f>ObesityDataSet_raw_and_data_sin!C1984</f>
        <v>1.6689309999999999</v>
      </c>
      <c r="C1984">
        <f>ObesityDataSet_raw_and_data_sin!D1984</f>
        <v>104.76831799999999</v>
      </c>
      <c r="D1984" t="str">
        <f>ObesityDataSet_raw_and_data_sin!Q1984</f>
        <v>Obesity_Type_III</v>
      </c>
      <c r="E1984" t="b">
        <f t="shared" si="121"/>
        <v>0</v>
      </c>
      <c r="F1984">
        <f>C1984/(B1984*B1984)</f>
        <v>37.61431942298028</v>
      </c>
      <c r="G1984" t="str">
        <f t="shared" si="122"/>
        <v>Obese</v>
      </c>
      <c r="H1984" t="str">
        <f t="shared" si="123"/>
        <v>OK</v>
      </c>
      <c r="I1984" t="str">
        <f t="shared" si="120"/>
        <v>OK</v>
      </c>
    </row>
    <row r="1985" spans="1:9" x14ac:dyDescent="0.2">
      <c r="A1985" t="str">
        <f>ObesityDataSet_raw_and_data_sin!A1985</f>
        <v>Female</v>
      </c>
      <c r="B1985">
        <f>ObesityDataSet_raw_and_data_sin!C1985</f>
        <v>1.700996</v>
      </c>
      <c r="C1985">
        <f>ObesityDataSet_raw_and_data_sin!D1985</f>
        <v>126.490236</v>
      </c>
      <c r="D1985" t="str">
        <f>ObesityDataSet_raw_and_data_sin!Q1985</f>
        <v>Obesity_Type_III</v>
      </c>
      <c r="E1985" t="b">
        <f t="shared" si="121"/>
        <v>0</v>
      </c>
      <c r="F1985">
        <f>C1985/(B1985*B1985)</f>
        <v>43.717006699150133</v>
      </c>
      <c r="G1985" t="str">
        <f t="shared" si="122"/>
        <v>Obese</v>
      </c>
      <c r="H1985" t="str">
        <f t="shared" si="123"/>
        <v>OK</v>
      </c>
      <c r="I1985" t="str">
        <f t="shared" si="120"/>
        <v>OK</v>
      </c>
    </row>
    <row r="1986" spans="1:9" x14ac:dyDescent="0.2">
      <c r="A1986" t="str">
        <f>ObesityDataSet_raw_and_data_sin!A1986</f>
        <v>Female</v>
      </c>
      <c r="B1986">
        <f>ObesityDataSet_raw_and_data_sin!C1986</f>
        <v>1.734092</v>
      </c>
      <c r="C1986">
        <f>ObesityDataSet_raw_and_data_sin!D1986</f>
        <v>125.117633</v>
      </c>
      <c r="D1986" t="str">
        <f>ObesityDataSet_raw_and_data_sin!Q1986</f>
        <v>Obesity_Type_III</v>
      </c>
      <c r="E1986" t="b">
        <f t="shared" si="121"/>
        <v>0</v>
      </c>
      <c r="F1986">
        <f>C1986/(B1986*B1986)</f>
        <v>41.607751824546405</v>
      </c>
      <c r="G1986" t="str">
        <f t="shared" si="122"/>
        <v>Obese</v>
      </c>
      <c r="H1986" t="str">
        <f t="shared" si="123"/>
        <v>OK</v>
      </c>
      <c r="I1986" t="str">
        <f t="shared" ref="I1986:I2049" si="124">IF(AND(LEFT(D1986,10)="Overweight",G1986&lt;&gt;"Overweight"),"ERROR","OK")</f>
        <v>OK</v>
      </c>
    </row>
    <row r="1987" spans="1:9" x14ac:dyDescent="0.2">
      <c r="A1987" t="str">
        <f>ObesityDataSet_raw_and_data_sin!A1987</f>
        <v>Female</v>
      </c>
      <c r="B1987">
        <f>ObesityDataSet_raw_and_data_sin!C1987</f>
        <v>1.708291</v>
      </c>
      <c r="C1987">
        <f>ObesityDataSet_raw_and_data_sin!D1987</f>
        <v>130.98633799999999</v>
      </c>
      <c r="D1987" t="str">
        <f>ObesityDataSet_raw_and_data_sin!Q1987</f>
        <v>Obesity_Type_III</v>
      </c>
      <c r="E1987" t="b">
        <f t="shared" ref="E1987:E2050" si="125">IF(AND(A1987="Female", B1987&lt;1.5), TRUE, IF(AND(A1987="Male",B1987&lt;1.6),TRUE, FALSE))</f>
        <v>0</v>
      </c>
      <c r="F1987">
        <f>C1987/(B1987*B1987)</f>
        <v>44.885110118953776</v>
      </c>
      <c r="G1987" t="str">
        <f t="shared" ref="G1987:G2050" si="126">IF(E1987=TRUE,IF(F1987&lt;23,"Normal",IF(F1987&lt;25,"Overweight","Obese")),IF(F1987&lt;25,"Normal",IF(F1987&lt;30,"Overweight","Obese")))</f>
        <v>Obese</v>
      </c>
      <c r="H1987" t="str">
        <f t="shared" ref="H1987:H2050" si="127">IF(AND(D1987="Normal_Weight",G1987&lt;&gt;"Normal"),"ERROR","OK")</f>
        <v>OK</v>
      </c>
      <c r="I1987" t="str">
        <f t="shared" si="124"/>
        <v>OK</v>
      </c>
    </row>
    <row r="1988" spans="1:9" x14ac:dyDescent="0.2">
      <c r="A1988" t="str">
        <f>ObesityDataSet_raw_and_data_sin!A1988</f>
        <v>Female</v>
      </c>
      <c r="B1988">
        <f>ObesityDataSet_raw_and_data_sin!C1988</f>
        <v>1.7164969999999999</v>
      </c>
      <c r="C1988">
        <f>ObesityDataSet_raw_and_data_sin!D1988</f>
        <v>130.871127</v>
      </c>
      <c r="D1988" t="str">
        <f>ObesityDataSet_raw_and_data_sin!Q1988</f>
        <v>Obesity_Type_III</v>
      </c>
      <c r="E1988" t="b">
        <f t="shared" si="125"/>
        <v>0</v>
      </c>
      <c r="F1988">
        <f>C1988/(B1988*B1988)</f>
        <v>44.417871658701799</v>
      </c>
      <c r="G1988" t="str">
        <f t="shared" si="126"/>
        <v>Obese</v>
      </c>
      <c r="H1988" t="str">
        <f t="shared" si="127"/>
        <v>OK</v>
      </c>
      <c r="I1988" t="str">
        <f t="shared" si="124"/>
        <v>OK</v>
      </c>
    </row>
    <row r="1989" spans="1:9" x14ac:dyDescent="0.2">
      <c r="A1989" t="str">
        <f>ObesityDataSet_raw_and_data_sin!A1989</f>
        <v>Female</v>
      </c>
      <c r="B1989">
        <f>ObesityDataSet_raw_and_data_sin!C1989</f>
        <v>1.6249499999999999</v>
      </c>
      <c r="C1989">
        <f>ObesityDataSet_raw_and_data_sin!D1989</f>
        <v>111.00492</v>
      </c>
      <c r="D1989" t="str">
        <f>ObesityDataSet_raw_and_data_sin!Q1989</f>
        <v>Obesity_Type_III</v>
      </c>
      <c r="E1989" t="b">
        <f t="shared" si="125"/>
        <v>0</v>
      </c>
      <c r="F1989">
        <f>C1989/(B1989*B1989)</f>
        <v>42.03995318808736</v>
      </c>
      <c r="G1989" t="str">
        <f t="shared" si="126"/>
        <v>Obese</v>
      </c>
      <c r="H1989" t="str">
        <f t="shared" si="127"/>
        <v>OK</v>
      </c>
      <c r="I1989" t="str">
        <f t="shared" si="124"/>
        <v>OK</v>
      </c>
    </row>
    <row r="1990" spans="1:9" x14ac:dyDescent="0.2">
      <c r="A1990" t="str">
        <f>ObesityDataSet_raw_and_data_sin!A1990</f>
        <v>Female</v>
      </c>
      <c r="B1990">
        <f>ObesityDataSet_raw_and_data_sin!C1990</f>
        <v>1.594776</v>
      </c>
      <c r="C1990">
        <f>ObesityDataSet_raw_and_data_sin!D1990</f>
        <v>110.640929</v>
      </c>
      <c r="D1990" t="str">
        <f>ObesityDataSet_raw_and_data_sin!Q1990</f>
        <v>Obesity_Type_III</v>
      </c>
      <c r="E1990" t="b">
        <f t="shared" si="125"/>
        <v>0</v>
      </c>
      <c r="F1990">
        <f>C1990/(B1990*B1990)</f>
        <v>43.502721915932305</v>
      </c>
      <c r="G1990" t="str">
        <f t="shared" si="126"/>
        <v>Obese</v>
      </c>
      <c r="H1990" t="str">
        <f t="shared" si="127"/>
        <v>OK</v>
      </c>
      <c r="I1990" t="str">
        <f t="shared" si="124"/>
        <v>OK</v>
      </c>
    </row>
    <row r="1991" spans="1:9" x14ac:dyDescent="0.2">
      <c r="A1991" t="str">
        <f>ObesityDataSet_raw_and_data_sin!A1991</f>
        <v>Female</v>
      </c>
      <c r="B1991">
        <f>ObesityDataSet_raw_and_data_sin!C1991</f>
        <v>1.626503</v>
      </c>
      <c r="C1991">
        <f>ObesityDataSet_raw_and_data_sin!D1991</f>
        <v>110.81875700000001</v>
      </c>
      <c r="D1991" t="str">
        <f>ObesityDataSet_raw_and_data_sin!Q1991</f>
        <v>Obesity_Type_III</v>
      </c>
      <c r="E1991" t="b">
        <f t="shared" si="125"/>
        <v>0</v>
      </c>
      <c r="F1991">
        <f>C1991/(B1991*B1991)</f>
        <v>41.889341882637055</v>
      </c>
      <c r="G1991" t="str">
        <f t="shared" si="126"/>
        <v>Obese</v>
      </c>
      <c r="H1991" t="str">
        <f t="shared" si="127"/>
        <v>OK</v>
      </c>
      <c r="I1991" t="str">
        <f t="shared" si="124"/>
        <v>OK</v>
      </c>
    </row>
    <row r="1992" spans="1:9" x14ac:dyDescent="0.2">
      <c r="A1992" t="str">
        <f>ObesityDataSet_raw_and_data_sin!A1992</f>
        <v>Female</v>
      </c>
      <c r="B1992">
        <f>ObesityDataSet_raw_and_data_sin!C1992</f>
        <v>1.624576</v>
      </c>
      <c r="C1992">
        <f>ObesityDataSet_raw_and_data_sin!D1992</f>
        <v>110.803117</v>
      </c>
      <c r="D1992" t="str">
        <f>ObesityDataSet_raw_and_data_sin!Q1992</f>
        <v>Obesity_Type_III</v>
      </c>
      <c r="E1992" t="b">
        <f t="shared" si="125"/>
        <v>0</v>
      </c>
      <c r="F1992">
        <f>C1992/(B1992*B1992)</f>
        <v>41.982849446259202</v>
      </c>
      <c r="G1992" t="str">
        <f t="shared" si="126"/>
        <v>Obese</v>
      </c>
      <c r="H1992" t="str">
        <f t="shared" si="127"/>
        <v>OK</v>
      </c>
      <c r="I1992" t="str">
        <f t="shared" si="124"/>
        <v>OK</v>
      </c>
    </row>
    <row r="1993" spans="1:9" x14ac:dyDescent="0.2">
      <c r="A1993" t="str">
        <f>ObesityDataSet_raw_and_data_sin!A1993</f>
        <v>Female</v>
      </c>
      <c r="B1993">
        <f>ObesityDataSet_raw_and_data_sin!C1993</f>
        <v>1.7290989999999999</v>
      </c>
      <c r="C1993">
        <f>ObesityDataSet_raw_and_data_sin!D1993</f>
        <v>134.84265600000001</v>
      </c>
      <c r="D1993" t="str">
        <f>ObesityDataSet_raw_and_data_sin!Q1993</f>
        <v>Obesity_Type_III</v>
      </c>
      <c r="E1993" t="b">
        <f t="shared" si="125"/>
        <v>0</v>
      </c>
      <c r="F1993">
        <f>C1993/(B1993*B1993)</f>
        <v>45.101146181302013</v>
      </c>
      <c r="G1993" t="str">
        <f t="shared" si="126"/>
        <v>Obese</v>
      </c>
      <c r="H1993" t="str">
        <f t="shared" si="127"/>
        <v>OK</v>
      </c>
      <c r="I1993" t="str">
        <f t="shared" si="124"/>
        <v>OK</v>
      </c>
    </row>
    <row r="1994" spans="1:9" x14ac:dyDescent="0.2">
      <c r="A1994" t="str">
        <f>ObesityDataSet_raw_and_data_sin!A1994</f>
        <v>Female</v>
      </c>
      <c r="B1994">
        <f>ObesityDataSet_raw_and_data_sin!C1994</f>
        <v>1.7358100000000001</v>
      </c>
      <c r="C1994">
        <f>ObesityDataSet_raw_and_data_sin!D1994</f>
        <v>135.346677</v>
      </c>
      <c r="D1994" t="str">
        <f>ObesityDataSet_raw_and_data_sin!Q1994</f>
        <v>Obesity_Type_III</v>
      </c>
      <c r="E1994" t="b">
        <f t="shared" si="125"/>
        <v>0</v>
      </c>
      <c r="F1994">
        <f>C1994/(B1994*B1994)</f>
        <v>44.920359731466831</v>
      </c>
      <c r="G1994" t="str">
        <f t="shared" si="126"/>
        <v>Obese</v>
      </c>
      <c r="H1994" t="str">
        <f t="shared" si="127"/>
        <v>OK</v>
      </c>
      <c r="I1994" t="str">
        <f t="shared" si="124"/>
        <v>OK</v>
      </c>
    </row>
    <row r="1995" spans="1:9" x14ac:dyDescent="0.2">
      <c r="A1995" t="str">
        <f>ObesityDataSet_raw_and_data_sin!A1995</f>
        <v>Female</v>
      </c>
      <c r="B1995">
        <f>ObesityDataSet_raw_and_data_sin!C1995</f>
        <v>1.748524</v>
      </c>
      <c r="C1995">
        <f>ObesityDataSet_raw_and_data_sin!D1995</f>
        <v>133.87884299999999</v>
      </c>
      <c r="D1995" t="str">
        <f>ObesityDataSet_raw_and_data_sin!Q1995</f>
        <v>Obesity_Type_III</v>
      </c>
      <c r="E1995" t="b">
        <f t="shared" si="125"/>
        <v>0</v>
      </c>
      <c r="F1995">
        <f>C1995/(B1995*B1995)</f>
        <v>43.789375842324297</v>
      </c>
      <c r="G1995" t="str">
        <f t="shared" si="126"/>
        <v>Obese</v>
      </c>
      <c r="H1995" t="str">
        <f t="shared" si="127"/>
        <v>OK</v>
      </c>
      <c r="I1995" t="str">
        <f t="shared" si="124"/>
        <v>OK</v>
      </c>
    </row>
    <row r="1996" spans="1:9" x14ac:dyDescent="0.2">
      <c r="A1996" t="str">
        <f>ObesityDataSet_raw_and_data_sin!A1996</f>
        <v>Female</v>
      </c>
      <c r="B1996">
        <f>ObesityDataSet_raw_and_data_sin!C1996</f>
        <v>1.7489509999999999</v>
      </c>
      <c r="C1996">
        <f>ObesityDataSet_raw_and_data_sin!D1996</f>
        <v>133.66258300000001</v>
      </c>
      <c r="D1996" t="str">
        <f>ObesityDataSet_raw_and_data_sin!Q1996</f>
        <v>Obesity_Type_III</v>
      </c>
      <c r="E1996" t="b">
        <f t="shared" si="125"/>
        <v>0</v>
      </c>
      <c r="F1996">
        <f>C1996/(B1996*B1996)</f>
        <v>43.697296175791358</v>
      </c>
      <c r="G1996" t="str">
        <f t="shared" si="126"/>
        <v>Obese</v>
      </c>
      <c r="H1996" t="str">
        <f t="shared" si="127"/>
        <v>OK</v>
      </c>
      <c r="I1996" t="str">
        <f t="shared" si="124"/>
        <v>OK</v>
      </c>
    </row>
    <row r="1997" spans="1:9" x14ac:dyDescent="0.2">
      <c r="A1997" t="str">
        <f>ObesityDataSet_raw_and_data_sin!A1997</f>
        <v>Female</v>
      </c>
      <c r="B1997">
        <f>ObesityDataSet_raw_and_data_sin!C1997</f>
        <v>1.777971</v>
      </c>
      <c r="C1997">
        <f>ObesityDataSet_raw_and_data_sin!D1997</f>
        <v>137.78502700000001</v>
      </c>
      <c r="D1997" t="str">
        <f>ObesityDataSet_raw_and_data_sin!Q1997</f>
        <v>Obesity_Type_III</v>
      </c>
      <c r="E1997" t="b">
        <f t="shared" si="125"/>
        <v>0</v>
      </c>
      <c r="F1997">
        <f>C1997/(B1997*B1997)</f>
        <v>43.586568553992393</v>
      </c>
      <c r="G1997" t="str">
        <f t="shared" si="126"/>
        <v>Obese</v>
      </c>
      <c r="H1997" t="str">
        <f t="shared" si="127"/>
        <v>OK</v>
      </c>
      <c r="I1997" t="str">
        <f t="shared" si="124"/>
        <v>OK</v>
      </c>
    </row>
    <row r="1998" spans="1:9" x14ac:dyDescent="0.2">
      <c r="A1998" t="str">
        <f>ObesityDataSet_raw_and_data_sin!A1998</f>
        <v>Female</v>
      </c>
      <c r="B1998">
        <f>ObesityDataSet_raw_and_data_sin!C1998</f>
        <v>1.7399500000000001</v>
      </c>
      <c r="C1998">
        <f>ObesityDataSet_raw_and_data_sin!D1998</f>
        <v>135.69338099999999</v>
      </c>
      <c r="D1998" t="str">
        <f>ObesityDataSet_raw_and_data_sin!Q1998</f>
        <v>Obesity_Type_III</v>
      </c>
      <c r="E1998" t="b">
        <f t="shared" si="125"/>
        <v>0</v>
      </c>
      <c r="F1998">
        <f>C1998/(B1998*B1998)</f>
        <v>44.821369998125981</v>
      </c>
      <c r="G1998" t="str">
        <f t="shared" si="126"/>
        <v>Obese</v>
      </c>
      <c r="H1998" t="str">
        <f t="shared" si="127"/>
        <v>OK</v>
      </c>
      <c r="I1998" t="str">
        <f t="shared" si="124"/>
        <v>OK</v>
      </c>
    </row>
    <row r="1999" spans="1:9" x14ac:dyDescent="0.2">
      <c r="A1999" t="str">
        <f>ObesityDataSet_raw_and_data_sin!A1999</f>
        <v>Female</v>
      </c>
      <c r="B1999">
        <f>ObesityDataSet_raw_and_data_sin!C1999</f>
        <v>1.8168679999999999</v>
      </c>
      <c r="C1999">
        <f>ObesityDataSet_raw_and_data_sin!D1999</f>
        <v>153.959945</v>
      </c>
      <c r="D1999" t="str">
        <f>ObesityDataSet_raw_and_data_sin!Q1999</f>
        <v>Obesity_Type_III</v>
      </c>
      <c r="E1999" t="b">
        <f t="shared" si="125"/>
        <v>0</v>
      </c>
      <c r="F1999">
        <f>C1999/(B1999*B1999)</f>
        <v>46.640263518087302</v>
      </c>
      <c r="G1999" t="str">
        <f t="shared" si="126"/>
        <v>Obese</v>
      </c>
      <c r="H1999" t="str">
        <f t="shared" si="127"/>
        <v>OK</v>
      </c>
      <c r="I1999" t="str">
        <f t="shared" si="124"/>
        <v>OK</v>
      </c>
    </row>
    <row r="2000" spans="1:9" x14ac:dyDescent="0.2">
      <c r="A2000" t="str">
        <f>ObesityDataSet_raw_and_data_sin!A2000</f>
        <v>Female</v>
      </c>
      <c r="B2000">
        <f>ObesityDataSet_raw_and_data_sin!C2000</f>
        <v>1.8002</v>
      </c>
      <c r="C2000">
        <f>ObesityDataSet_raw_and_data_sin!D2000</f>
        <v>155.242672</v>
      </c>
      <c r="D2000" t="str">
        <f>ObesityDataSet_raw_and_data_sin!Q2000</f>
        <v>Obesity_Type_III</v>
      </c>
      <c r="E2000" t="b">
        <f t="shared" si="125"/>
        <v>0</v>
      </c>
      <c r="F2000">
        <f>C2000/(B2000*B2000)</f>
        <v>47.903759067074482</v>
      </c>
      <c r="G2000" t="str">
        <f t="shared" si="126"/>
        <v>Obese</v>
      </c>
      <c r="H2000" t="str">
        <f t="shared" si="127"/>
        <v>OK</v>
      </c>
      <c r="I2000" t="str">
        <f t="shared" si="124"/>
        <v>OK</v>
      </c>
    </row>
    <row r="2001" spans="1:9" x14ac:dyDescent="0.2">
      <c r="A2001" t="str">
        <f>ObesityDataSet_raw_and_data_sin!A2001</f>
        <v>Female</v>
      </c>
      <c r="B2001">
        <f>ObesityDataSet_raw_and_data_sin!C2001</f>
        <v>1.74647</v>
      </c>
      <c r="C2001">
        <f>ObesityDataSet_raw_and_data_sin!D2001</f>
        <v>133.644711</v>
      </c>
      <c r="D2001" t="str">
        <f>ObesityDataSet_raw_and_data_sin!Q2001</f>
        <v>Obesity_Type_III</v>
      </c>
      <c r="E2001" t="b">
        <f t="shared" si="125"/>
        <v>0</v>
      </c>
      <c r="F2001">
        <f>C2001/(B2001*B2001)</f>
        <v>43.815675981713383</v>
      </c>
      <c r="G2001" t="str">
        <f t="shared" si="126"/>
        <v>Obese</v>
      </c>
      <c r="H2001" t="str">
        <f t="shared" si="127"/>
        <v>OK</v>
      </c>
      <c r="I2001" t="str">
        <f t="shared" si="124"/>
        <v>OK</v>
      </c>
    </row>
    <row r="2002" spans="1:9" x14ac:dyDescent="0.2">
      <c r="A2002" t="str">
        <f>ObesityDataSet_raw_and_data_sin!A2002</f>
        <v>Female</v>
      </c>
      <c r="B2002">
        <f>ObesityDataSet_raw_and_data_sin!C2002</f>
        <v>1.759091</v>
      </c>
      <c r="C2002">
        <f>ObesityDataSet_raw_and_data_sin!D2002</f>
        <v>133.90361200000001</v>
      </c>
      <c r="D2002" t="str">
        <f>ObesityDataSet_raw_and_data_sin!Q2002</f>
        <v>Obesity_Type_III</v>
      </c>
      <c r="E2002" t="b">
        <f t="shared" si="125"/>
        <v>0</v>
      </c>
      <c r="F2002">
        <f>C2002/(B2002*B2002)</f>
        <v>43.272867889456357</v>
      </c>
      <c r="G2002" t="str">
        <f t="shared" si="126"/>
        <v>Obese</v>
      </c>
      <c r="H2002" t="str">
        <f t="shared" si="127"/>
        <v>OK</v>
      </c>
      <c r="I2002" t="str">
        <f t="shared" si="124"/>
        <v>OK</v>
      </c>
    </row>
    <row r="2003" spans="1:9" x14ac:dyDescent="0.2">
      <c r="A2003" t="str">
        <f>ObesityDataSet_raw_and_data_sin!A2003</f>
        <v>Female</v>
      </c>
      <c r="B2003">
        <f>ObesityDataSet_raw_and_data_sin!C2003</f>
        <v>1.7525310000000001</v>
      </c>
      <c r="C2003">
        <f>ObesityDataSet_raw_and_data_sin!D2003</f>
        <v>133.618706</v>
      </c>
      <c r="D2003" t="str">
        <f>ObesityDataSet_raw_and_data_sin!Q2003</f>
        <v>Obesity_Type_III</v>
      </c>
      <c r="E2003" t="b">
        <f t="shared" si="125"/>
        <v>0</v>
      </c>
      <c r="F2003">
        <f>C2003/(B2003*B2003)</f>
        <v>43.50466652160695</v>
      </c>
      <c r="G2003" t="str">
        <f t="shared" si="126"/>
        <v>Obese</v>
      </c>
      <c r="H2003" t="str">
        <f t="shared" si="127"/>
        <v>OK</v>
      </c>
      <c r="I2003" t="str">
        <f t="shared" si="124"/>
        <v>OK</v>
      </c>
    </row>
    <row r="2004" spans="1:9" x14ac:dyDescent="0.2">
      <c r="A2004" t="str">
        <f>ObesityDataSet_raw_and_data_sin!A2004</f>
        <v>Female</v>
      </c>
      <c r="B2004">
        <f>ObesityDataSet_raw_and_data_sin!C2004</f>
        <v>1.761773</v>
      </c>
      <c r="C2004">
        <f>ObesityDataSet_raw_and_data_sin!D2004</f>
        <v>133.903469</v>
      </c>
      <c r="D2004" t="str">
        <f>ObesityDataSet_raw_and_data_sin!Q2004</f>
        <v>Obesity_Type_III</v>
      </c>
      <c r="E2004" t="b">
        <f t="shared" si="125"/>
        <v>0</v>
      </c>
      <c r="F2004">
        <f>C2004/(B2004*B2004)</f>
        <v>43.141170926643774</v>
      </c>
      <c r="G2004" t="str">
        <f t="shared" si="126"/>
        <v>Obese</v>
      </c>
      <c r="H2004" t="str">
        <f t="shared" si="127"/>
        <v>OK</v>
      </c>
      <c r="I2004" t="str">
        <f t="shared" si="124"/>
        <v>OK</v>
      </c>
    </row>
    <row r="2005" spans="1:9" x14ac:dyDescent="0.2">
      <c r="A2005" t="str">
        <f>ObesityDataSet_raw_and_data_sin!A2005</f>
        <v>Female</v>
      </c>
      <c r="B2005">
        <f>ObesityDataSet_raw_and_data_sin!C2005</f>
        <v>1.633195</v>
      </c>
      <c r="C2005">
        <f>ObesityDataSet_raw_and_data_sin!D2005</f>
        <v>111.883747</v>
      </c>
      <c r="D2005" t="str">
        <f>ObesityDataSet_raw_and_data_sin!Q2005</f>
        <v>Obesity_Type_III</v>
      </c>
      <c r="E2005" t="b">
        <f t="shared" si="125"/>
        <v>0</v>
      </c>
      <c r="F2005">
        <f>C2005/(B2005*B2005)</f>
        <v>41.946035414488748</v>
      </c>
      <c r="G2005" t="str">
        <f t="shared" si="126"/>
        <v>Obese</v>
      </c>
      <c r="H2005" t="str">
        <f t="shared" si="127"/>
        <v>OK</v>
      </c>
      <c r="I2005" t="str">
        <f t="shared" si="124"/>
        <v>OK</v>
      </c>
    </row>
    <row r="2006" spans="1:9" x14ac:dyDescent="0.2">
      <c r="A2006" t="str">
        <f>ObesityDataSet_raw_and_data_sin!A2006</f>
        <v>Female</v>
      </c>
      <c r="B2006">
        <f>ObesityDataSet_raw_and_data_sin!C2006</f>
        <v>1.633945</v>
      </c>
      <c r="C2006">
        <f>ObesityDataSet_raw_and_data_sin!D2006</f>
        <v>111.9307</v>
      </c>
      <c r="D2006" t="str">
        <f>ObesityDataSet_raw_and_data_sin!Q2006</f>
        <v>Obesity_Type_III</v>
      </c>
      <c r="E2006" t="b">
        <f t="shared" si="125"/>
        <v>0</v>
      </c>
      <c r="F2006">
        <f>C2006/(B2006*B2006)</f>
        <v>41.92512367054178</v>
      </c>
      <c r="G2006" t="str">
        <f t="shared" si="126"/>
        <v>Obese</v>
      </c>
      <c r="H2006" t="str">
        <f t="shared" si="127"/>
        <v>OK</v>
      </c>
      <c r="I2006" t="str">
        <f t="shared" si="124"/>
        <v>OK</v>
      </c>
    </row>
    <row r="2007" spans="1:9" x14ac:dyDescent="0.2">
      <c r="A2007" t="str">
        <f>ObesityDataSet_raw_and_data_sin!A2007</f>
        <v>Female</v>
      </c>
      <c r="B2007">
        <f>ObesityDataSet_raw_and_data_sin!C2007</f>
        <v>1.6416010000000001</v>
      </c>
      <c r="C2007">
        <f>ObesityDataSet_raw_and_data_sin!D2007</f>
        <v>111.830924</v>
      </c>
      <c r="D2007" t="str">
        <f>ObesityDataSet_raw_and_data_sin!Q2007</f>
        <v>Obesity_Type_III</v>
      </c>
      <c r="E2007" t="b">
        <f t="shared" si="125"/>
        <v>0</v>
      </c>
      <c r="F2007">
        <f>C2007/(B2007*B2007)</f>
        <v>41.497955179329885</v>
      </c>
      <c r="G2007" t="str">
        <f t="shared" si="126"/>
        <v>Obese</v>
      </c>
      <c r="H2007" t="str">
        <f t="shared" si="127"/>
        <v>OK</v>
      </c>
      <c r="I2007" t="str">
        <f t="shared" si="124"/>
        <v>OK</v>
      </c>
    </row>
    <row r="2008" spans="1:9" x14ac:dyDescent="0.2">
      <c r="A2008" t="str">
        <f>ObesityDataSet_raw_and_data_sin!A2008</f>
        <v>Female</v>
      </c>
      <c r="B2008">
        <f>ObesityDataSet_raw_and_data_sin!C2008</f>
        <v>1.641132</v>
      </c>
      <c r="C2008">
        <f>ObesityDataSet_raw_and_data_sin!D2008</f>
        <v>111.841706</v>
      </c>
      <c r="D2008" t="str">
        <f>ObesityDataSet_raw_and_data_sin!Q2008</f>
        <v>Obesity_Type_III</v>
      </c>
      <c r="E2008" t="b">
        <f t="shared" si="125"/>
        <v>0</v>
      </c>
      <c r="F2008">
        <f>C2008/(B2008*B2008)</f>
        <v>41.52568024920383</v>
      </c>
      <c r="G2008" t="str">
        <f t="shared" si="126"/>
        <v>Obese</v>
      </c>
      <c r="H2008" t="str">
        <f t="shared" si="127"/>
        <v>OK</v>
      </c>
      <c r="I2008" t="str">
        <f t="shared" si="124"/>
        <v>OK</v>
      </c>
    </row>
    <row r="2009" spans="1:9" x14ac:dyDescent="0.2">
      <c r="A2009" t="str">
        <f>ObesityDataSet_raw_and_data_sin!A2009</f>
        <v>Female</v>
      </c>
      <c r="B2009">
        <f>ObesityDataSet_raw_and_data_sin!C2009</f>
        <v>1.638218</v>
      </c>
      <c r="C2009">
        <f>ObesityDataSet_raw_and_data_sin!D2009</f>
        <v>104.810024</v>
      </c>
      <c r="D2009" t="str">
        <f>ObesityDataSet_raw_and_data_sin!Q2009</f>
        <v>Obesity_Type_III</v>
      </c>
      <c r="E2009" t="b">
        <f t="shared" si="125"/>
        <v>0</v>
      </c>
      <c r="F2009">
        <f>C2009/(B2009*B2009)</f>
        <v>39.053452503185355</v>
      </c>
      <c r="G2009" t="str">
        <f t="shared" si="126"/>
        <v>Obese</v>
      </c>
      <c r="H2009" t="str">
        <f t="shared" si="127"/>
        <v>OK</v>
      </c>
      <c r="I2009" t="str">
        <f t="shared" si="124"/>
        <v>OK</v>
      </c>
    </row>
    <row r="2010" spans="1:9" x14ac:dyDescent="0.2">
      <c r="A2010" t="str">
        <f>ObesityDataSet_raw_and_data_sin!A2010</f>
        <v>Female</v>
      </c>
      <c r="B2010">
        <f>ObesityDataSet_raw_and_data_sin!C2010</f>
        <v>1.627483</v>
      </c>
      <c r="C2010">
        <f>ObesityDataSet_raw_and_data_sin!D2010</f>
        <v>104.88199400000001</v>
      </c>
      <c r="D2010" t="str">
        <f>ObesityDataSet_raw_and_data_sin!Q2010</f>
        <v>Obesity_Type_III</v>
      </c>
      <c r="E2010" t="b">
        <f t="shared" si="125"/>
        <v>0</v>
      </c>
      <c r="F2010">
        <f>C2010/(B2010*B2010)</f>
        <v>39.59752246642627</v>
      </c>
      <c r="G2010" t="str">
        <f t="shared" si="126"/>
        <v>Obese</v>
      </c>
      <c r="H2010" t="str">
        <f t="shared" si="127"/>
        <v>OK</v>
      </c>
      <c r="I2010" t="str">
        <f t="shared" si="124"/>
        <v>OK</v>
      </c>
    </row>
    <row r="2011" spans="1:9" x14ac:dyDescent="0.2">
      <c r="A2011" t="str">
        <f>ObesityDataSet_raw_and_data_sin!A2011</f>
        <v>Female</v>
      </c>
      <c r="B2011">
        <f>ObesityDataSet_raw_and_data_sin!C2011</f>
        <v>1.610225</v>
      </c>
      <c r="C2011">
        <f>ObesityDataSet_raw_and_data_sin!D2011</f>
        <v>104.936381</v>
      </c>
      <c r="D2011" t="str">
        <f>ObesityDataSet_raw_and_data_sin!Q2011</f>
        <v>Obesity_Type_III</v>
      </c>
      <c r="E2011" t="b">
        <f t="shared" si="125"/>
        <v>0</v>
      </c>
      <c r="F2011">
        <f>C2011/(B2011*B2011)</f>
        <v>40.471840246462143</v>
      </c>
      <c r="G2011" t="str">
        <f t="shared" si="126"/>
        <v>Obese</v>
      </c>
      <c r="H2011" t="str">
        <f t="shared" si="127"/>
        <v>OK</v>
      </c>
      <c r="I2011" t="str">
        <f t="shared" si="124"/>
        <v>OK</v>
      </c>
    </row>
    <row r="2012" spans="1:9" x14ac:dyDescent="0.2">
      <c r="A2012" t="str">
        <f>ObesityDataSet_raw_and_data_sin!A2012</f>
        <v>Female</v>
      </c>
      <c r="B2012">
        <f>ObesityDataSet_raw_and_data_sin!C2012</f>
        <v>1.6173900000000001</v>
      </c>
      <c r="C2012">
        <f>ObesityDataSet_raw_and_data_sin!D2012</f>
        <v>105.013901</v>
      </c>
      <c r="D2012" t="str">
        <f>ObesityDataSet_raw_and_data_sin!Q2012</f>
        <v>Obesity_Type_III</v>
      </c>
      <c r="E2012" t="b">
        <f t="shared" si="125"/>
        <v>0</v>
      </c>
      <c r="F2012">
        <f>C2012/(B2012*B2012)</f>
        <v>40.14368946531301</v>
      </c>
      <c r="G2012" t="str">
        <f t="shared" si="126"/>
        <v>Obese</v>
      </c>
      <c r="H2012" t="str">
        <f t="shared" si="127"/>
        <v>OK</v>
      </c>
      <c r="I2012" t="str">
        <f t="shared" si="124"/>
        <v>OK</v>
      </c>
    </row>
    <row r="2013" spans="1:9" x14ac:dyDescent="0.2">
      <c r="A2013" t="str">
        <f>ObesityDataSet_raw_and_data_sin!A2013</f>
        <v>Female</v>
      </c>
      <c r="B2013">
        <f>ObesityDataSet_raw_and_data_sin!C2013</f>
        <v>1.744319</v>
      </c>
      <c r="C2013">
        <f>ObesityDataSet_raw_and_data_sin!D2013</f>
        <v>133.45249000000001</v>
      </c>
      <c r="D2013" t="str">
        <f>ObesityDataSet_raw_and_data_sin!Q2013</f>
        <v>Obesity_Type_III</v>
      </c>
      <c r="E2013" t="b">
        <f t="shared" si="125"/>
        <v>0</v>
      </c>
      <c r="F2013">
        <f>C2013/(B2013*B2013)</f>
        <v>43.860629314450968</v>
      </c>
      <c r="G2013" t="str">
        <f t="shared" si="126"/>
        <v>Obese</v>
      </c>
      <c r="H2013" t="str">
        <f t="shared" si="127"/>
        <v>OK</v>
      </c>
      <c r="I2013" t="str">
        <f t="shared" si="124"/>
        <v>OK</v>
      </c>
    </row>
    <row r="2014" spans="1:9" x14ac:dyDescent="0.2">
      <c r="A2014" t="str">
        <f>ObesityDataSet_raw_and_data_sin!A2014</f>
        <v>Female</v>
      </c>
      <c r="B2014">
        <f>ObesityDataSet_raw_and_data_sin!C2014</f>
        <v>1.7554670000000001</v>
      </c>
      <c r="C2014">
        <f>ObesityDataSet_raw_and_data_sin!D2014</f>
        <v>133.478611</v>
      </c>
      <c r="D2014" t="str">
        <f>ObesityDataSet_raw_and_data_sin!Q2014</f>
        <v>Obesity_Type_III</v>
      </c>
      <c r="E2014" t="b">
        <f t="shared" si="125"/>
        <v>0</v>
      </c>
      <c r="F2014">
        <f>C2014/(B2014*B2014)</f>
        <v>43.313805200822877</v>
      </c>
      <c r="G2014" t="str">
        <f t="shared" si="126"/>
        <v>Obese</v>
      </c>
      <c r="H2014" t="str">
        <f t="shared" si="127"/>
        <v>OK</v>
      </c>
      <c r="I2014" t="str">
        <f t="shared" si="124"/>
        <v>OK</v>
      </c>
    </row>
    <row r="2015" spans="1:9" x14ac:dyDescent="0.2">
      <c r="A2015" t="str">
        <f>ObesityDataSet_raw_and_data_sin!A2015</f>
        <v>Female</v>
      </c>
      <c r="B2015">
        <f>ObesityDataSet_raw_and_data_sin!C2015</f>
        <v>1.746416</v>
      </c>
      <c r="C2015">
        <f>ObesityDataSet_raw_and_data_sin!D2015</f>
        <v>133.74701200000001</v>
      </c>
      <c r="D2015" t="str">
        <f>ObesityDataSet_raw_and_data_sin!Q2015</f>
        <v>Obesity_Type_III</v>
      </c>
      <c r="E2015" t="b">
        <f t="shared" si="125"/>
        <v>0</v>
      </c>
      <c r="F2015">
        <f>C2015/(B2015*B2015)</f>
        <v>43.851927280111056</v>
      </c>
      <c r="G2015" t="str">
        <f t="shared" si="126"/>
        <v>Obese</v>
      </c>
      <c r="H2015" t="str">
        <f t="shared" si="127"/>
        <v>OK</v>
      </c>
      <c r="I2015" t="str">
        <f t="shared" si="124"/>
        <v>OK</v>
      </c>
    </row>
    <row r="2016" spans="1:9" x14ac:dyDescent="0.2">
      <c r="A2016" t="str">
        <f>ObesityDataSet_raw_and_data_sin!A2016</f>
        <v>Female</v>
      </c>
      <c r="B2016">
        <f>ObesityDataSet_raw_and_data_sin!C2016</f>
        <v>1.7464109999999999</v>
      </c>
      <c r="C2016">
        <f>ObesityDataSet_raw_and_data_sin!D2016</f>
        <v>133.67666299999999</v>
      </c>
      <c r="D2016" t="str">
        <f>ObesityDataSet_raw_and_data_sin!Q2016</f>
        <v>Obesity_Type_III</v>
      </c>
      <c r="E2016" t="b">
        <f t="shared" si="125"/>
        <v>0</v>
      </c>
      <c r="F2016">
        <f>C2016/(B2016*B2016)</f>
        <v>43.829112764293768</v>
      </c>
      <c r="G2016" t="str">
        <f t="shared" si="126"/>
        <v>Obese</v>
      </c>
      <c r="H2016" t="str">
        <f t="shared" si="127"/>
        <v>OK</v>
      </c>
      <c r="I2016" t="str">
        <f t="shared" si="124"/>
        <v>OK</v>
      </c>
    </row>
    <row r="2017" spans="1:9" x14ac:dyDescent="0.2">
      <c r="A2017" t="str">
        <f>ObesityDataSet_raw_and_data_sin!A2017</f>
        <v>Female</v>
      </c>
      <c r="B2017">
        <f>ObesityDataSet_raw_and_data_sin!C2017</f>
        <v>1.6114520000000001</v>
      </c>
      <c r="C2017">
        <f>ObesityDataSet_raw_and_data_sin!D2017</f>
        <v>102.36314900000001</v>
      </c>
      <c r="D2017" t="str">
        <f>ObesityDataSet_raw_and_data_sin!Q2017</f>
        <v>Obesity_Type_III</v>
      </c>
      <c r="E2017" t="b">
        <f t="shared" si="125"/>
        <v>0</v>
      </c>
      <c r="F2017">
        <f>C2017/(B2017*B2017)</f>
        <v>39.419298378813821</v>
      </c>
      <c r="G2017" t="str">
        <f t="shared" si="126"/>
        <v>Obese</v>
      </c>
      <c r="H2017" t="str">
        <f t="shared" si="127"/>
        <v>OK</v>
      </c>
      <c r="I2017" t="str">
        <f t="shared" si="124"/>
        <v>OK</v>
      </c>
    </row>
    <row r="2018" spans="1:9" x14ac:dyDescent="0.2">
      <c r="A2018" t="str">
        <f>ObesityDataSet_raw_and_data_sin!A2018</f>
        <v>Female</v>
      </c>
      <c r="B2018">
        <f>ObesityDataSet_raw_and_data_sin!C2018</f>
        <v>1.596813</v>
      </c>
      <c r="C2018">
        <f>ObesityDataSet_raw_and_data_sin!D2018</f>
        <v>102.320437</v>
      </c>
      <c r="D2018" t="str">
        <f>ObesityDataSet_raw_and_data_sin!Q2018</f>
        <v>Obesity_Type_III</v>
      </c>
      <c r="E2018" t="b">
        <f t="shared" si="125"/>
        <v>0</v>
      </c>
      <c r="F2018">
        <f>C2018/(B2018*B2018)</f>
        <v>40.12862389560469</v>
      </c>
      <c r="G2018" t="str">
        <f t="shared" si="126"/>
        <v>Obese</v>
      </c>
      <c r="H2018" t="str">
        <f t="shared" si="127"/>
        <v>OK</v>
      </c>
      <c r="I2018" t="str">
        <f t="shared" si="124"/>
        <v>OK</v>
      </c>
    </row>
    <row r="2019" spans="1:9" x14ac:dyDescent="0.2">
      <c r="A2019" t="str">
        <f>ObesityDataSet_raw_and_data_sin!A2019</f>
        <v>Female</v>
      </c>
      <c r="B2019">
        <f>ObesityDataSet_raw_and_data_sin!C2019</f>
        <v>1.6101259999999999</v>
      </c>
      <c r="C2019">
        <f>ObesityDataSet_raw_and_data_sin!D2019</f>
        <v>102.686908</v>
      </c>
      <c r="D2019" t="str">
        <f>ObesityDataSet_raw_and_data_sin!Q2019</f>
        <v>Obesity_Type_III</v>
      </c>
      <c r="E2019" t="b">
        <f t="shared" si="125"/>
        <v>0</v>
      </c>
      <c r="F2019">
        <f>C2019/(B2019*B2019)</f>
        <v>39.609134351751941</v>
      </c>
      <c r="G2019" t="str">
        <f t="shared" si="126"/>
        <v>Obese</v>
      </c>
      <c r="H2019" t="str">
        <f t="shared" si="127"/>
        <v>OK</v>
      </c>
      <c r="I2019" t="str">
        <f t="shared" si="124"/>
        <v>OK</v>
      </c>
    </row>
    <row r="2020" spans="1:9" x14ac:dyDescent="0.2">
      <c r="A2020" t="str">
        <f>ObesityDataSet_raw_and_data_sin!A2020</f>
        <v>Female</v>
      </c>
      <c r="B2020">
        <f>ObesityDataSet_raw_and_data_sin!C2020</f>
        <v>1.623113</v>
      </c>
      <c r="C2020">
        <f>ObesityDataSet_raw_and_data_sin!D2020</f>
        <v>102.555691</v>
      </c>
      <c r="D2020" t="str">
        <f>ObesityDataSet_raw_and_data_sin!Q2020</f>
        <v>Obesity_Type_III</v>
      </c>
      <c r="E2020" t="b">
        <f t="shared" si="125"/>
        <v>0</v>
      </c>
      <c r="F2020">
        <f>C2020/(B2020*B2020)</f>
        <v>38.928014453765385</v>
      </c>
      <c r="G2020" t="str">
        <f t="shared" si="126"/>
        <v>Obese</v>
      </c>
      <c r="H2020" t="str">
        <f t="shared" si="127"/>
        <v>OK</v>
      </c>
      <c r="I2020" t="str">
        <f t="shared" si="124"/>
        <v>OK</v>
      </c>
    </row>
    <row r="2021" spans="1:9" x14ac:dyDescent="0.2">
      <c r="A2021" t="str">
        <f>ObesityDataSet_raw_and_data_sin!A2021</f>
        <v>Female</v>
      </c>
      <c r="B2021">
        <f>ObesityDataSet_raw_and_data_sin!C2021</f>
        <v>1.6183479999999999</v>
      </c>
      <c r="C2021">
        <f>ObesityDataSet_raw_and_data_sin!D2021</f>
        <v>104.94582</v>
      </c>
      <c r="D2021" t="str">
        <f>ObesityDataSet_raw_and_data_sin!Q2021</f>
        <v>Obesity_Type_III</v>
      </c>
      <c r="E2021" t="b">
        <f t="shared" si="125"/>
        <v>0</v>
      </c>
      <c r="F2021">
        <f>C2021/(B2021*B2021)</f>
        <v>40.070181943207423</v>
      </c>
      <c r="G2021" t="str">
        <f t="shared" si="126"/>
        <v>Obese</v>
      </c>
      <c r="H2021" t="str">
        <f t="shared" si="127"/>
        <v>OK</v>
      </c>
      <c r="I2021" t="str">
        <f t="shared" si="124"/>
        <v>OK</v>
      </c>
    </row>
    <row r="2022" spans="1:9" x14ac:dyDescent="0.2">
      <c r="A2022" t="str">
        <f>ObesityDataSet_raw_and_data_sin!A2022</f>
        <v>Female</v>
      </c>
      <c r="B2022">
        <f>ObesityDataSet_raw_and_data_sin!C2022</f>
        <v>1.6094010000000001</v>
      </c>
      <c r="C2022">
        <f>ObesityDataSet_raw_and_data_sin!D2022</f>
        <v>104.854928</v>
      </c>
      <c r="D2022" t="str">
        <f>ObesityDataSet_raw_and_data_sin!Q2022</f>
        <v>Obesity_Type_III</v>
      </c>
      <c r="E2022" t="b">
        <f t="shared" si="125"/>
        <v>0</v>
      </c>
      <c r="F2022">
        <f>C2022/(B2022*B2022)</f>
        <v>40.481846398970113</v>
      </c>
      <c r="G2022" t="str">
        <f t="shared" si="126"/>
        <v>Obese</v>
      </c>
      <c r="H2022" t="str">
        <f t="shared" si="127"/>
        <v>OK</v>
      </c>
      <c r="I2022" t="str">
        <f t="shared" si="124"/>
        <v>OK</v>
      </c>
    </row>
    <row r="2023" spans="1:9" x14ac:dyDescent="0.2">
      <c r="A2023" t="str">
        <f>ObesityDataSet_raw_and_data_sin!A2023</f>
        <v>Female</v>
      </c>
      <c r="B2023">
        <f>ObesityDataSet_raw_and_data_sin!C2023</f>
        <v>1.6216710000000001</v>
      </c>
      <c r="C2023">
        <f>ObesityDataSet_raw_and_data_sin!D2023</f>
        <v>105.31396700000001</v>
      </c>
      <c r="D2023" t="str">
        <f>ObesityDataSet_raw_and_data_sin!Q2023</f>
        <v>Obesity_Type_III</v>
      </c>
      <c r="E2023" t="b">
        <f t="shared" si="125"/>
        <v>0</v>
      </c>
      <c r="F2023">
        <f>C2023/(B2023*B2023)</f>
        <v>40.046122493731481</v>
      </c>
      <c r="G2023" t="str">
        <f t="shared" si="126"/>
        <v>Obese</v>
      </c>
      <c r="H2023" t="str">
        <f t="shared" si="127"/>
        <v>OK</v>
      </c>
      <c r="I2023" t="str">
        <f t="shared" si="124"/>
        <v>OK</v>
      </c>
    </row>
    <row r="2024" spans="1:9" x14ac:dyDescent="0.2">
      <c r="A2024" t="str">
        <f>ObesityDataSet_raw_and_data_sin!A2024</f>
        <v>Female</v>
      </c>
      <c r="B2024">
        <f>ObesityDataSet_raw_and_data_sin!C2024</f>
        <v>1.614484</v>
      </c>
      <c r="C2024">
        <f>ObesityDataSet_raw_and_data_sin!D2024</f>
        <v>104.999403</v>
      </c>
      <c r="D2024" t="str">
        <f>ObesityDataSet_raw_and_data_sin!Q2024</f>
        <v>Obesity_Type_III</v>
      </c>
      <c r="E2024" t="b">
        <f t="shared" si="125"/>
        <v>0</v>
      </c>
      <c r="F2024">
        <f>C2024/(B2024*B2024)</f>
        <v>40.28277114262707</v>
      </c>
      <c r="G2024" t="str">
        <f t="shared" si="126"/>
        <v>Obese</v>
      </c>
      <c r="H2024" t="str">
        <f t="shared" si="127"/>
        <v>OK</v>
      </c>
      <c r="I2024" t="str">
        <f t="shared" si="124"/>
        <v>OK</v>
      </c>
    </row>
    <row r="2025" spans="1:9" x14ac:dyDescent="0.2">
      <c r="A2025" t="str">
        <f>ObesityDataSet_raw_and_data_sin!A2025</f>
        <v>Female</v>
      </c>
      <c r="B2025">
        <f>ObesityDataSet_raw_and_data_sin!C2025</f>
        <v>1.7891429999999999</v>
      </c>
      <c r="C2025">
        <f>ObesityDataSet_raw_and_data_sin!D2025</f>
        <v>138.20286899999999</v>
      </c>
      <c r="D2025" t="str">
        <f>ObesityDataSet_raw_and_data_sin!Q2025</f>
        <v>Obesity_Type_III</v>
      </c>
      <c r="E2025" t="b">
        <f t="shared" si="125"/>
        <v>0</v>
      </c>
      <c r="F2025">
        <f>C2025/(B2025*B2025)</f>
        <v>43.174463698277968</v>
      </c>
      <c r="G2025" t="str">
        <f t="shared" si="126"/>
        <v>Obese</v>
      </c>
      <c r="H2025" t="str">
        <f t="shared" si="127"/>
        <v>OK</v>
      </c>
      <c r="I2025" t="str">
        <f t="shared" si="124"/>
        <v>OK</v>
      </c>
    </row>
    <row r="2026" spans="1:9" x14ac:dyDescent="0.2">
      <c r="A2026" t="str">
        <f>ObesityDataSet_raw_and_data_sin!A2026</f>
        <v>Female</v>
      </c>
      <c r="B2026">
        <f>ObesityDataSet_raw_and_data_sin!C2026</f>
        <v>1.7742070000000001</v>
      </c>
      <c r="C2026">
        <f>ObesityDataSet_raw_and_data_sin!D2026</f>
        <v>138.14316199999999</v>
      </c>
      <c r="D2026" t="str">
        <f>ObesityDataSet_raw_and_data_sin!Q2026</f>
        <v>Obesity_Type_III</v>
      </c>
      <c r="E2026" t="b">
        <f t="shared" si="125"/>
        <v>0</v>
      </c>
      <c r="F2026">
        <f>C2026/(B2026*B2026)</f>
        <v>43.885476247131677</v>
      </c>
      <c r="G2026" t="str">
        <f t="shared" si="126"/>
        <v>Obese</v>
      </c>
      <c r="H2026" t="str">
        <f t="shared" si="127"/>
        <v>OK</v>
      </c>
      <c r="I2026" t="str">
        <f t="shared" si="124"/>
        <v>OK</v>
      </c>
    </row>
    <row r="2027" spans="1:9" x14ac:dyDescent="0.2">
      <c r="A2027" t="str">
        <f>ObesityDataSet_raw_and_data_sin!A2027</f>
        <v>Female</v>
      </c>
      <c r="B2027">
        <f>ObesityDataSet_raw_and_data_sin!C2027</f>
        <v>1.7929330000000001</v>
      </c>
      <c r="C2027">
        <f>ObesityDataSet_raw_and_data_sin!D2027</f>
        <v>137.832414</v>
      </c>
      <c r="D2027" t="str">
        <f>ObesityDataSet_raw_and_data_sin!Q2027</f>
        <v>Obesity_Type_III</v>
      </c>
      <c r="E2027" t="b">
        <f t="shared" si="125"/>
        <v>0</v>
      </c>
      <c r="F2027">
        <f>C2027/(B2027*B2027)</f>
        <v>42.876886439772271</v>
      </c>
      <c r="G2027" t="str">
        <f t="shared" si="126"/>
        <v>Obese</v>
      </c>
      <c r="H2027" t="str">
        <f t="shared" si="127"/>
        <v>OK</v>
      </c>
      <c r="I2027" t="str">
        <f t="shared" si="124"/>
        <v>OK</v>
      </c>
    </row>
    <row r="2028" spans="1:9" x14ac:dyDescent="0.2">
      <c r="A2028" t="str">
        <f>ObesityDataSet_raw_and_data_sin!A2028</f>
        <v>Female</v>
      </c>
      <c r="B2028">
        <f>ObesityDataSet_raw_and_data_sin!C2028</f>
        <v>1.7589589999999999</v>
      </c>
      <c r="C2028">
        <f>ObesityDataSet_raw_and_data_sin!D2028</f>
        <v>137.79299</v>
      </c>
      <c r="D2028" t="str">
        <f>ObesityDataSet_raw_and_data_sin!Q2028</f>
        <v>Obesity_Type_III</v>
      </c>
      <c r="E2028" t="b">
        <f t="shared" si="125"/>
        <v>0</v>
      </c>
      <c r="F2028">
        <f>C2028/(B2028*B2028)</f>
        <v>44.536459703223315</v>
      </c>
      <c r="G2028" t="str">
        <f t="shared" si="126"/>
        <v>Obese</v>
      </c>
      <c r="H2028" t="str">
        <f t="shared" si="127"/>
        <v>OK</v>
      </c>
      <c r="I2028" t="str">
        <f t="shared" si="124"/>
        <v>OK</v>
      </c>
    </row>
    <row r="2029" spans="1:9" x14ac:dyDescent="0.2">
      <c r="A2029" t="str">
        <f>ObesityDataSet_raw_and_data_sin!A2029</f>
        <v>Female</v>
      </c>
      <c r="B2029">
        <f>ObesityDataSet_raw_and_data_sin!C2029</f>
        <v>1.8074060000000001</v>
      </c>
      <c r="C2029">
        <f>ObesityDataSet_raw_and_data_sin!D2029</f>
        <v>141.799429</v>
      </c>
      <c r="D2029" t="str">
        <f>ObesityDataSet_raw_and_data_sin!Q2029</f>
        <v>Obesity_Type_III</v>
      </c>
      <c r="E2029" t="b">
        <f t="shared" si="125"/>
        <v>0</v>
      </c>
      <c r="F2029">
        <f>C2029/(B2029*B2029)</f>
        <v>43.407326966050611</v>
      </c>
      <c r="G2029" t="str">
        <f t="shared" si="126"/>
        <v>Obese</v>
      </c>
      <c r="H2029" t="str">
        <f t="shared" si="127"/>
        <v>OK</v>
      </c>
      <c r="I2029" t="str">
        <f t="shared" si="124"/>
        <v>OK</v>
      </c>
    </row>
    <row r="2030" spans="1:9" x14ac:dyDescent="0.2">
      <c r="A2030" t="str">
        <f>ObesityDataSet_raw_and_data_sin!A2030</f>
        <v>Female</v>
      </c>
      <c r="B2030">
        <f>ObesityDataSet_raw_and_data_sin!C2030</f>
        <v>1.75091</v>
      </c>
      <c r="C2030">
        <f>ObesityDataSet_raw_and_data_sin!D2030</f>
        <v>142.54518300000001</v>
      </c>
      <c r="D2030" t="str">
        <f>ObesityDataSet_raw_and_data_sin!Q2030</f>
        <v>Obesity_Type_III</v>
      </c>
      <c r="E2030" t="b">
        <f t="shared" si="125"/>
        <v>0</v>
      </c>
      <c r="F2030">
        <f>C2030/(B2030*B2030)</f>
        <v>46.496996428477573</v>
      </c>
      <c r="G2030" t="str">
        <f t="shared" si="126"/>
        <v>Obese</v>
      </c>
      <c r="H2030" t="str">
        <f t="shared" si="127"/>
        <v>OK</v>
      </c>
      <c r="I2030" t="str">
        <f t="shared" si="124"/>
        <v>OK</v>
      </c>
    </row>
    <row r="2031" spans="1:9" x14ac:dyDescent="0.2">
      <c r="A2031" t="str">
        <f>ObesityDataSet_raw_and_data_sin!A2031</f>
        <v>Female</v>
      </c>
      <c r="B2031">
        <f>ObesityDataSet_raw_and_data_sin!C2031</f>
        <v>1.805803</v>
      </c>
      <c r="C2031">
        <f>ObesityDataSet_raw_and_data_sin!D2031</f>
        <v>153.14949100000001</v>
      </c>
      <c r="D2031" t="str">
        <f>ObesityDataSet_raw_and_data_sin!Q2031</f>
        <v>Obesity_Type_III</v>
      </c>
      <c r="E2031" t="b">
        <f t="shared" si="125"/>
        <v>0</v>
      </c>
      <c r="F2031">
        <f>C2031/(B2031*B2031)</f>
        <v>46.965053064889005</v>
      </c>
      <c r="G2031" t="str">
        <f t="shared" si="126"/>
        <v>Obese</v>
      </c>
      <c r="H2031" t="str">
        <f t="shared" si="127"/>
        <v>OK</v>
      </c>
      <c r="I2031" t="str">
        <f t="shared" si="124"/>
        <v>OK</v>
      </c>
    </row>
    <row r="2032" spans="1:9" x14ac:dyDescent="0.2">
      <c r="A2032" t="str">
        <f>ObesityDataSet_raw_and_data_sin!A2032</f>
        <v>Female</v>
      </c>
      <c r="B2032">
        <f>ObesityDataSet_raw_and_data_sin!C2032</f>
        <v>1.796538</v>
      </c>
      <c r="C2032">
        <f>ObesityDataSet_raw_and_data_sin!D2032</f>
        <v>152.47367499999999</v>
      </c>
      <c r="D2032" t="str">
        <f>ObesityDataSet_raw_and_data_sin!Q2032</f>
        <v>Obesity_Type_III</v>
      </c>
      <c r="E2032" t="b">
        <f t="shared" si="125"/>
        <v>0</v>
      </c>
      <c r="F2032">
        <f>C2032/(B2032*B2032)</f>
        <v>47.241323101805527</v>
      </c>
      <c r="G2032" t="str">
        <f t="shared" si="126"/>
        <v>Obese</v>
      </c>
      <c r="H2032" t="str">
        <f t="shared" si="127"/>
        <v>OK</v>
      </c>
      <c r="I2032" t="str">
        <f t="shared" si="124"/>
        <v>OK</v>
      </c>
    </row>
    <row r="2033" spans="1:9" x14ac:dyDescent="0.2">
      <c r="A2033" t="str">
        <f>ObesityDataSet_raw_and_data_sin!A2033</f>
        <v>Female</v>
      </c>
      <c r="B2033">
        <f>ObesityDataSet_raw_and_data_sin!C2033</f>
        <v>1.6348940000000001</v>
      </c>
      <c r="C2033">
        <f>ObesityDataSet_raw_and_data_sin!D2033</f>
        <v>111.946321</v>
      </c>
      <c r="D2033" t="str">
        <f>ObesityDataSet_raw_and_data_sin!Q2033</f>
        <v>Obesity_Type_III</v>
      </c>
      <c r="E2033" t="b">
        <f t="shared" si="125"/>
        <v>0</v>
      </c>
      <c r="F2033">
        <f>C2033/(B2033*B2033)</f>
        <v>41.882309860058186</v>
      </c>
      <c r="G2033" t="str">
        <f t="shared" si="126"/>
        <v>Obese</v>
      </c>
      <c r="H2033" t="str">
        <f t="shared" si="127"/>
        <v>OK</v>
      </c>
      <c r="I2033" t="str">
        <f t="shared" si="124"/>
        <v>OK</v>
      </c>
    </row>
    <row r="2034" spans="1:9" x14ac:dyDescent="0.2">
      <c r="A2034" t="str">
        <f>ObesityDataSet_raw_and_data_sin!A2034</f>
        <v>Female</v>
      </c>
      <c r="B2034">
        <f>ObesityDataSet_raw_and_data_sin!C2034</f>
        <v>1.639524</v>
      </c>
      <c r="C2034">
        <f>ObesityDataSet_raw_and_data_sin!D2034</f>
        <v>111.945588</v>
      </c>
      <c r="D2034" t="str">
        <f>ObesityDataSet_raw_and_data_sin!Q2034</f>
        <v>Obesity_Type_III</v>
      </c>
      <c r="E2034" t="b">
        <f t="shared" si="125"/>
        <v>0</v>
      </c>
      <c r="F2034">
        <f>C2034/(B2034*B2034)</f>
        <v>41.645820698615729</v>
      </c>
      <c r="G2034" t="str">
        <f t="shared" si="126"/>
        <v>Obese</v>
      </c>
      <c r="H2034" t="str">
        <f t="shared" si="127"/>
        <v>OK</v>
      </c>
      <c r="I2034" t="str">
        <f t="shared" si="124"/>
        <v>OK</v>
      </c>
    </row>
    <row r="2035" spans="1:9" x14ac:dyDescent="0.2">
      <c r="A2035" t="str">
        <f>ObesityDataSet_raw_and_data_sin!A2035</f>
        <v>Female</v>
      </c>
      <c r="B2035">
        <f>ObesityDataSet_raw_and_data_sin!C2035</f>
        <v>1.6430169999999999</v>
      </c>
      <c r="C2035">
        <f>ObesityDataSet_raw_and_data_sin!D2035</f>
        <v>111.72023799999999</v>
      </c>
      <c r="D2035" t="str">
        <f>ObesityDataSet_raw_and_data_sin!Q2035</f>
        <v>Obesity_Type_III</v>
      </c>
      <c r="E2035" t="b">
        <f t="shared" si="125"/>
        <v>0</v>
      </c>
      <c r="F2035">
        <f>C2035/(B2035*B2035)</f>
        <v>41.385455370237302</v>
      </c>
      <c r="G2035" t="str">
        <f t="shared" si="126"/>
        <v>Obese</v>
      </c>
      <c r="H2035" t="str">
        <f t="shared" si="127"/>
        <v>OK</v>
      </c>
      <c r="I2035" t="str">
        <f t="shared" si="124"/>
        <v>OK</v>
      </c>
    </row>
    <row r="2036" spans="1:9" x14ac:dyDescent="0.2">
      <c r="A2036" t="str">
        <f>ObesityDataSet_raw_and_data_sin!A2036</f>
        <v>Female</v>
      </c>
      <c r="B2036">
        <f>ObesityDataSet_raw_and_data_sin!C2036</f>
        <v>1.6418489999999999</v>
      </c>
      <c r="C2036">
        <f>ObesityDataSet_raw_and_data_sin!D2036</f>
        <v>111.682693</v>
      </c>
      <c r="D2036" t="str">
        <f>ObesityDataSet_raw_and_data_sin!Q2036</f>
        <v>Obesity_Type_III</v>
      </c>
      <c r="E2036" t="b">
        <f t="shared" si="125"/>
        <v>0</v>
      </c>
      <c r="F2036">
        <f>C2036/(B2036*B2036)</f>
        <v>41.430431065477926</v>
      </c>
      <c r="G2036" t="str">
        <f t="shared" si="126"/>
        <v>Obese</v>
      </c>
      <c r="H2036" t="str">
        <f t="shared" si="127"/>
        <v>OK</v>
      </c>
      <c r="I2036" t="str">
        <f t="shared" si="124"/>
        <v>OK</v>
      </c>
    </row>
    <row r="2037" spans="1:9" x14ac:dyDescent="0.2">
      <c r="A2037" t="str">
        <f>ObesityDataSet_raw_and_data_sin!A2037</f>
        <v>Female</v>
      </c>
      <c r="B2037">
        <f>ObesityDataSet_raw_and_data_sin!C2037</f>
        <v>1.621167</v>
      </c>
      <c r="C2037">
        <f>ObesityDataSet_raw_and_data_sin!D2037</f>
        <v>104.947703</v>
      </c>
      <c r="D2037" t="str">
        <f>ObesityDataSet_raw_and_data_sin!Q2037</f>
        <v>Obesity_Type_III</v>
      </c>
      <c r="E2037" t="b">
        <f t="shared" si="125"/>
        <v>0</v>
      </c>
      <c r="F2037">
        <f>C2037/(B2037*B2037)</f>
        <v>39.931665826276912</v>
      </c>
      <c r="G2037" t="str">
        <f t="shared" si="126"/>
        <v>Obese</v>
      </c>
      <c r="H2037" t="str">
        <f t="shared" si="127"/>
        <v>OK</v>
      </c>
      <c r="I2037" t="str">
        <f t="shared" si="124"/>
        <v>OK</v>
      </c>
    </row>
    <row r="2038" spans="1:9" x14ac:dyDescent="0.2">
      <c r="A2038" t="str">
        <f>ObesityDataSet_raw_and_data_sin!A2038</f>
        <v>Female</v>
      </c>
      <c r="B2038">
        <f>ObesityDataSet_raw_and_data_sin!C2038</f>
        <v>1.6380749999999999</v>
      </c>
      <c r="C2038">
        <f>ObesityDataSet_raw_and_data_sin!D2038</f>
        <v>105.03652200000001</v>
      </c>
      <c r="D2038" t="str">
        <f>ObesityDataSet_raw_and_data_sin!Q2038</f>
        <v>Obesity_Type_III</v>
      </c>
      <c r="E2038" t="b">
        <f t="shared" si="125"/>
        <v>0</v>
      </c>
      <c r="F2038">
        <f>C2038/(B2038*B2038)</f>
        <v>39.144681910347273</v>
      </c>
      <c r="G2038" t="str">
        <f t="shared" si="126"/>
        <v>Obese</v>
      </c>
      <c r="H2038" t="str">
        <f t="shared" si="127"/>
        <v>OK</v>
      </c>
      <c r="I2038" t="str">
        <f t="shared" si="124"/>
        <v>OK</v>
      </c>
    </row>
    <row r="2039" spans="1:9" x14ac:dyDescent="0.2">
      <c r="A2039" t="str">
        <f>ObesityDataSet_raw_and_data_sin!A2039</f>
        <v>Female</v>
      </c>
      <c r="B2039">
        <f>ObesityDataSet_raw_and_data_sin!C2039</f>
        <v>1.60937</v>
      </c>
      <c r="C2039">
        <f>ObesityDataSet_raw_and_data_sin!D2039</f>
        <v>105.407313</v>
      </c>
      <c r="D2039" t="str">
        <f>ObesityDataSet_raw_and_data_sin!Q2039</f>
        <v>Obesity_Type_III</v>
      </c>
      <c r="E2039" t="b">
        <f t="shared" si="125"/>
        <v>0</v>
      </c>
      <c r="F2039">
        <f>C2039/(B2039*B2039)</f>
        <v>40.696676102245391</v>
      </c>
      <c r="G2039" t="str">
        <f t="shared" si="126"/>
        <v>Obese</v>
      </c>
      <c r="H2039" t="str">
        <f t="shared" si="127"/>
        <v>OK</v>
      </c>
      <c r="I2039" t="str">
        <f t="shared" si="124"/>
        <v>OK</v>
      </c>
    </row>
    <row r="2040" spans="1:9" x14ac:dyDescent="0.2">
      <c r="A2040" t="str">
        <f>ObesityDataSet_raw_and_data_sin!A2040</f>
        <v>Female</v>
      </c>
      <c r="B2040">
        <f>ObesityDataSet_raw_and_data_sin!C2040</f>
        <v>1.6082829999999999</v>
      </c>
      <c r="C2040">
        <f>ObesityDataSet_raw_and_data_sin!D2040</f>
        <v>105.35968800000001</v>
      </c>
      <c r="D2040" t="str">
        <f>ObesityDataSet_raw_and_data_sin!Q2040</f>
        <v>Obesity_Type_III</v>
      </c>
      <c r="E2040" t="b">
        <f t="shared" si="125"/>
        <v>0</v>
      </c>
      <c r="F2040">
        <f>C2040/(B2040*B2040)</f>
        <v>40.73329412723146</v>
      </c>
      <c r="G2040" t="str">
        <f t="shared" si="126"/>
        <v>Obese</v>
      </c>
      <c r="H2040" t="str">
        <f t="shared" si="127"/>
        <v>OK</v>
      </c>
      <c r="I2040" t="str">
        <f t="shared" si="124"/>
        <v>OK</v>
      </c>
    </row>
    <row r="2041" spans="1:9" x14ac:dyDescent="0.2">
      <c r="A2041" t="str">
        <f>ObesityDataSet_raw_and_data_sin!A2041</f>
        <v>Female</v>
      </c>
      <c r="B2041">
        <f>ObesityDataSet_raw_and_data_sin!C2041</f>
        <v>1.6294420000000001</v>
      </c>
      <c r="C2041">
        <f>ObesityDataSet_raw_and_data_sin!D2041</f>
        <v>104.835346</v>
      </c>
      <c r="D2041" t="str">
        <f>ObesityDataSet_raw_and_data_sin!Q2041</f>
        <v>Obesity_Type_III</v>
      </c>
      <c r="E2041" t="b">
        <f t="shared" si="125"/>
        <v>0</v>
      </c>
      <c r="F2041">
        <f>C2041/(B2041*B2041)</f>
        <v>39.484797964596638</v>
      </c>
      <c r="G2041" t="str">
        <f t="shared" si="126"/>
        <v>Obese</v>
      </c>
      <c r="H2041" t="str">
        <f t="shared" si="127"/>
        <v>OK</v>
      </c>
      <c r="I2041" t="str">
        <f t="shared" si="124"/>
        <v>OK</v>
      </c>
    </row>
    <row r="2042" spans="1:9" x14ac:dyDescent="0.2">
      <c r="A2042" t="str">
        <f>ObesityDataSet_raw_and_data_sin!A2042</f>
        <v>Female</v>
      </c>
      <c r="B2042">
        <f>ObesityDataSet_raw_and_data_sin!C2042</f>
        <v>1.6292249999999999</v>
      </c>
      <c r="C2042">
        <f>ObesityDataSet_raw_and_data_sin!D2042</f>
        <v>104.838425</v>
      </c>
      <c r="D2042" t="str">
        <f>ObesityDataSet_raw_and_data_sin!Q2042</f>
        <v>Obesity_Type_III</v>
      </c>
      <c r="E2042" t="b">
        <f t="shared" si="125"/>
        <v>0</v>
      </c>
      <c r="F2042">
        <f>C2042/(B2042*B2042)</f>
        <v>39.496476768408307</v>
      </c>
      <c r="G2042" t="str">
        <f t="shared" si="126"/>
        <v>Obese</v>
      </c>
      <c r="H2042" t="str">
        <f t="shared" si="127"/>
        <v>OK</v>
      </c>
      <c r="I2042" t="str">
        <f t="shared" si="124"/>
        <v>OK</v>
      </c>
    </row>
    <row r="2043" spans="1:9" x14ac:dyDescent="0.2">
      <c r="A2043" t="str">
        <f>ObesityDataSet_raw_and_data_sin!A2043</f>
        <v>Female</v>
      </c>
      <c r="B2043">
        <f>ObesityDataSet_raw_and_data_sin!C2043</f>
        <v>1.680218</v>
      </c>
      <c r="C2043">
        <f>ObesityDataSet_raw_and_data_sin!D2043</f>
        <v>104.807284</v>
      </c>
      <c r="D2043" t="str">
        <f>ObesityDataSet_raw_and_data_sin!Q2043</f>
        <v>Obesity_Type_III</v>
      </c>
      <c r="E2043" t="b">
        <f t="shared" si="125"/>
        <v>0</v>
      </c>
      <c r="F2043">
        <f>C2043/(B2043*B2043)</f>
        <v>37.124464749063755</v>
      </c>
      <c r="G2043" t="str">
        <f t="shared" si="126"/>
        <v>Obese</v>
      </c>
      <c r="H2043" t="str">
        <f t="shared" si="127"/>
        <v>OK</v>
      </c>
      <c r="I2043" t="str">
        <f t="shared" si="124"/>
        <v>OK</v>
      </c>
    </row>
    <row r="2044" spans="1:9" x14ac:dyDescent="0.2">
      <c r="A2044" t="str">
        <f>ObesityDataSet_raw_and_data_sin!A2044</f>
        <v>Female</v>
      </c>
      <c r="B2044">
        <f>ObesityDataSet_raw_and_data_sin!C2044</f>
        <v>1.6860329999999999</v>
      </c>
      <c r="C2044">
        <f>ObesityDataSet_raw_and_data_sin!D2044</f>
        <v>104.772164</v>
      </c>
      <c r="D2044" t="str">
        <f>ObesityDataSet_raw_and_data_sin!Q2044</f>
        <v>Obesity_Type_III</v>
      </c>
      <c r="E2044" t="b">
        <f t="shared" si="125"/>
        <v>0</v>
      </c>
      <c r="F2044">
        <f>C2044/(B2044*B2044)</f>
        <v>36.856472998264252</v>
      </c>
      <c r="G2044" t="str">
        <f t="shared" si="126"/>
        <v>Obese</v>
      </c>
      <c r="H2044" t="str">
        <f t="shared" si="127"/>
        <v>OK</v>
      </c>
      <c r="I2044" t="str">
        <f t="shared" si="124"/>
        <v>OK</v>
      </c>
    </row>
    <row r="2045" spans="1:9" x14ac:dyDescent="0.2">
      <c r="A2045" t="str">
        <f>ObesityDataSet_raw_and_data_sin!A2045</f>
        <v>Female</v>
      </c>
      <c r="B2045">
        <f>ObesityDataSet_raw_and_data_sin!C2045</f>
        <v>1.6629780000000001</v>
      </c>
      <c r="C2045">
        <f>ObesityDataSet_raw_and_data_sin!D2045</f>
        <v>110.930509</v>
      </c>
      <c r="D2045" t="str">
        <f>ObesityDataSet_raw_and_data_sin!Q2045</f>
        <v>Obesity_Type_III</v>
      </c>
      <c r="E2045" t="b">
        <f t="shared" si="125"/>
        <v>0</v>
      </c>
      <c r="F2045">
        <f>C2045/(B2045*B2045)</f>
        <v>40.112340021431272</v>
      </c>
      <c r="G2045" t="str">
        <f t="shared" si="126"/>
        <v>Obese</v>
      </c>
      <c r="H2045" t="str">
        <f t="shared" si="127"/>
        <v>OK</v>
      </c>
      <c r="I2045" t="str">
        <f t="shared" si="124"/>
        <v>OK</v>
      </c>
    </row>
    <row r="2046" spans="1:9" x14ac:dyDescent="0.2">
      <c r="A2046" t="str">
        <f>ObesityDataSet_raw_and_data_sin!A2046</f>
        <v>Female</v>
      </c>
      <c r="B2046">
        <f>ObesityDataSet_raw_and_data_sin!C2046</f>
        <v>1.6751849999999999</v>
      </c>
      <c r="C2046">
        <f>ObesityDataSet_raw_and_data_sin!D2046</f>
        <v>110.621723</v>
      </c>
      <c r="D2046" t="str">
        <f>ObesityDataSet_raw_and_data_sin!Q2046</f>
        <v>Obesity_Type_III</v>
      </c>
      <c r="E2046" t="b">
        <f t="shared" si="125"/>
        <v>0</v>
      </c>
      <c r="F2046">
        <f>C2046/(B2046*B2046)</f>
        <v>39.419840928292501</v>
      </c>
      <c r="G2046" t="str">
        <f t="shared" si="126"/>
        <v>Obese</v>
      </c>
      <c r="H2046" t="str">
        <f t="shared" si="127"/>
        <v>OK</v>
      </c>
      <c r="I2046" t="str">
        <f t="shared" si="124"/>
        <v>OK</v>
      </c>
    </row>
    <row r="2047" spans="1:9" x14ac:dyDescent="0.2">
      <c r="A2047" t="str">
        <f>ObesityDataSet_raw_and_data_sin!A2047</f>
        <v>Female</v>
      </c>
      <c r="B2047">
        <f>ObesityDataSet_raw_and_data_sin!C2047</f>
        <v>1.62456</v>
      </c>
      <c r="C2047">
        <f>ObesityDataSet_raw_and_data_sin!D2047</f>
        <v>110.10589</v>
      </c>
      <c r="D2047" t="str">
        <f>ObesityDataSet_raw_and_data_sin!Q2047</f>
        <v>Obesity_Type_III</v>
      </c>
      <c r="E2047" t="b">
        <f t="shared" si="125"/>
        <v>0</v>
      </c>
      <c r="F2047">
        <f>C2047/(B2047*B2047)</f>
        <v>41.719494741050141</v>
      </c>
      <c r="G2047" t="str">
        <f t="shared" si="126"/>
        <v>Obese</v>
      </c>
      <c r="H2047" t="str">
        <f t="shared" si="127"/>
        <v>OK</v>
      </c>
      <c r="I2047" t="str">
        <f t="shared" si="124"/>
        <v>OK</v>
      </c>
    </row>
    <row r="2048" spans="1:9" x14ac:dyDescent="0.2">
      <c r="A2048" t="str">
        <f>ObesityDataSet_raw_and_data_sin!A2048</f>
        <v>Female</v>
      </c>
      <c r="B2048">
        <f>ObesityDataSet_raw_and_data_sin!C2048</f>
        <v>1.626179</v>
      </c>
      <c r="C2048">
        <f>ObesityDataSet_raw_and_data_sin!D2048</f>
        <v>110.07401900000001</v>
      </c>
      <c r="D2048" t="str">
        <f>ObesityDataSet_raw_and_data_sin!Q2048</f>
        <v>Obesity_Type_III</v>
      </c>
      <c r="E2048" t="b">
        <f t="shared" si="125"/>
        <v>0</v>
      </c>
      <c r="F2048">
        <f>C2048/(B2048*B2048)</f>
        <v>41.624413460480561</v>
      </c>
      <c r="G2048" t="str">
        <f t="shared" si="126"/>
        <v>Obese</v>
      </c>
      <c r="H2048" t="str">
        <f t="shared" si="127"/>
        <v>OK</v>
      </c>
      <c r="I2048" t="str">
        <f t="shared" si="124"/>
        <v>OK</v>
      </c>
    </row>
    <row r="2049" spans="1:9" x14ac:dyDescent="0.2">
      <c r="A2049" t="str">
        <f>ObesityDataSet_raw_and_data_sin!A2049</f>
        <v>Female</v>
      </c>
      <c r="B2049">
        <f>ObesityDataSet_raw_and_data_sin!C2049</f>
        <v>1.6825939999999999</v>
      </c>
      <c r="C2049">
        <f>ObesityDataSet_raw_and_data_sin!D2049</f>
        <v>127.427458</v>
      </c>
      <c r="D2049" t="str">
        <f>ObesityDataSet_raw_and_data_sin!Q2049</f>
        <v>Obesity_Type_III</v>
      </c>
      <c r="E2049" t="b">
        <f t="shared" si="125"/>
        <v>0</v>
      </c>
      <c r="F2049">
        <f>C2049/(B2049*B2049)</f>
        <v>45.009516508637454</v>
      </c>
      <c r="G2049" t="str">
        <f t="shared" si="126"/>
        <v>Obese</v>
      </c>
      <c r="H2049" t="str">
        <f t="shared" si="127"/>
        <v>OK</v>
      </c>
      <c r="I2049" t="str">
        <f t="shared" si="124"/>
        <v>OK</v>
      </c>
    </row>
    <row r="2050" spans="1:9" x14ac:dyDescent="0.2">
      <c r="A2050" t="str">
        <f>ObesityDataSet_raw_and_data_sin!A2050</f>
        <v>Female</v>
      </c>
      <c r="B2050">
        <f>ObesityDataSet_raw_and_data_sin!C2050</f>
        <v>1.669354</v>
      </c>
      <c r="C2050">
        <f>ObesityDataSet_raw_and_data_sin!D2050</f>
        <v>126.088301</v>
      </c>
      <c r="D2050" t="str">
        <f>ObesityDataSet_raw_and_data_sin!Q2050</f>
        <v>Obesity_Type_III</v>
      </c>
      <c r="E2050" t="b">
        <f t="shared" si="125"/>
        <v>0</v>
      </c>
      <c r="F2050">
        <f>C2050/(B2050*B2050)</f>
        <v>45.245762194614755</v>
      </c>
      <c r="G2050" t="str">
        <f t="shared" si="126"/>
        <v>Obese</v>
      </c>
      <c r="H2050" t="str">
        <f t="shared" si="127"/>
        <v>OK</v>
      </c>
      <c r="I2050" t="str">
        <f t="shared" ref="I2050:I2112" si="128">IF(AND(LEFT(D2050,10)="Overweight",G2050&lt;&gt;"Overweight"),"ERROR","OK")</f>
        <v>OK</v>
      </c>
    </row>
    <row r="2051" spans="1:9" x14ac:dyDescent="0.2">
      <c r="A2051" t="str">
        <f>ObesityDataSet_raw_and_data_sin!A2051</f>
        <v>Female</v>
      </c>
      <c r="B2051">
        <f>ObesityDataSet_raw_and_data_sin!C2051</f>
        <v>1.68838</v>
      </c>
      <c r="C2051">
        <f>ObesityDataSet_raw_and_data_sin!D2051</f>
        <v>121.889803</v>
      </c>
      <c r="D2051" t="str">
        <f>ObesityDataSet_raw_and_data_sin!Q2051</f>
        <v>Obesity_Type_III</v>
      </c>
      <c r="E2051" t="b">
        <f t="shared" ref="E2051:E2112" si="129">IF(AND(A2051="Female", B2051&lt;1.5), TRUE, IF(AND(A2051="Male",B2051&lt;1.6),TRUE, FALSE))</f>
        <v>0</v>
      </c>
      <c r="F2051">
        <f>C2051/(B2051*B2051)</f>
        <v>42.758944595936875</v>
      </c>
      <c r="G2051" t="str">
        <f t="shared" ref="G2051:G2112" si="130">IF(E2051=TRUE,IF(F2051&lt;23,"Normal",IF(F2051&lt;25,"Overweight","Obese")),IF(F2051&lt;25,"Normal",IF(F2051&lt;30,"Overweight","Obese")))</f>
        <v>Obese</v>
      </c>
      <c r="H2051" t="str">
        <f t="shared" ref="H2051:H2112" si="131">IF(AND(D2051="Normal_Weight",G2051&lt;&gt;"Normal"),"ERROR","OK")</f>
        <v>OK</v>
      </c>
      <c r="I2051" t="str">
        <f t="shared" si="128"/>
        <v>OK</v>
      </c>
    </row>
    <row r="2052" spans="1:9" x14ac:dyDescent="0.2">
      <c r="A2052" t="str">
        <f>ObesityDataSet_raw_and_data_sin!A2052</f>
        <v>Female</v>
      </c>
      <c r="B2052">
        <f>ObesityDataSet_raw_and_data_sin!C2052</f>
        <v>1.694439</v>
      </c>
      <c r="C2052">
        <f>ObesityDataSet_raw_and_data_sin!D2052</f>
        <v>122.813033</v>
      </c>
      <c r="D2052" t="str">
        <f>ObesityDataSet_raw_and_data_sin!Q2052</f>
        <v>Obesity_Type_III</v>
      </c>
      <c r="E2052" t="b">
        <f t="shared" si="129"/>
        <v>0</v>
      </c>
      <c r="F2052">
        <f>C2052/(B2052*B2052)</f>
        <v>42.775252246221029</v>
      </c>
      <c r="G2052" t="str">
        <f t="shared" si="130"/>
        <v>Obese</v>
      </c>
      <c r="H2052" t="str">
        <f t="shared" si="131"/>
        <v>OK</v>
      </c>
      <c r="I2052" t="str">
        <f t="shared" si="128"/>
        <v>OK</v>
      </c>
    </row>
    <row r="2053" spans="1:9" x14ac:dyDescent="0.2">
      <c r="A2053" t="str">
        <f>ObesityDataSet_raw_and_data_sin!A2053</f>
        <v>Female</v>
      </c>
      <c r="B2053">
        <f>ObesityDataSet_raw_and_data_sin!C2053</f>
        <v>1.755476</v>
      </c>
      <c r="C2053">
        <f>ObesityDataSet_raw_and_data_sin!D2053</f>
        <v>133.87050099999999</v>
      </c>
      <c r="D2053" t="str">
        <f>ObesityDataSet_raw_and_data_sin!Q2053</f>
        <v>Obesity_Type_III</v>
      </c>
      <c r="E2053" t="b">
        <f t="shared" si="129"/>
        <v>0</v>
      </c>
      <c r="F2053">
        <f>C2053/(B2053*B2053)</f>
        <v>43.4405280673842</v>
      </c>
      <c r="G2053" t="str">
        <f t="shared" si="130"/>
        <v>Obese</v>
      </c>
      <c r="H2053" t="str">
        <f t="shared" si="131"/>
        <v>OK</v>
      </c>
      <c r="I2053" t="str">
        <f t="shared" si="128"/>
        <v>OK</v>
      </c>
    </row>
    <row r="2054" spans="1:9" x14ac:dyDescent="0.2">
      <c r="A2054" t="str">
        <f>ObesityDataSet_raw_and_data_sin!A2054</f>
        <v>Female</v>
      </c>
      <c r="B2054">
        <f>ObesityDataSet_raw_and_data_sin!C2054</f>
        <v>1.7481059999999999</v>
      </c>
      <c r="C2054">
        <f>ObesityDataSet_raw_and_data_sin!D2054</f>
        <v>133.25903299999999</v>
      </c>
      <c r="D2054" t="str">
        <f>ObesityDataSet_raw_and_data_sin!Q2054</f>
        <v>Obesity_Type_III</v>
      </c>
      <c r="E2054" t="b">
        <f t="shared" si="129"/>
        <v>0</v>
      </c>
      <c r="F2054">
        <f>C2054/(B2054*B2054)</f>
        <v>43.607494089124621</v>
      </c>
      <c r="G2054" t="str">
        <f t="shared" si="130"/>
        <v>Obese</v>
      </c>
      <c r="H2054" t="str">
        <f t="shared" si="131"/>
        <v>OK</v>
      </c>
      <c r="I2054" t="str">
        <f t="shared" si="128"/>
        <v>OK</v>
      </c>
    </row>
    <row r="2055" spans="1:9" x14ac:dyDescent="0.2">
      <c r="A2055" t="str">
        <f>ObesityDataSet_raw_and_data_sin!A2055</f>
        <v>Female</v>
      </c>
      <c r="B2055">
        <f>ObesityDataSet_raw_and_data_sin!C2055</f>
        <v>1.719913</v>
      </c>
      <c r="C2055">
        <f>ObesityDataSet_raw_and_data_sin!D2055</f>
        <v>131.56748099999999</v>
      </c>
      <c r="D2055" t="str">
        <f>ObesityDataSet_raw_and_data_sin!Q2055</f>
        <v>Obesity_Type_III</v>
      </c>
      <c r="E2055" t="b">
        <f t="shared" si="129"/>
        <v>0</v>
      </c>
      <c r="F2055">
        <f>C2055/(B2055*B2055)</f>
        <v>44.477011811603724</v>
      </c>
      <c r="G2055" t="str">
        <f t="shared" si="130"/>
        <v>Obese</v>
      </c>
      <c r="H2055" t="str">
        <f t="shared" si="131"/>
        <v>OK</v>
      </c>
      <c r="I2055" t="str">
        <f t="shared" si="128"/>
        <v>OK</v>
      </c>
    </row>
    <row r="2056" spans="1:9" x14ac:dyDescent="0.2">
      <c r="A2056" t="str">
        <f>ObesityDataSet_raw_and_data_sin!A2056</f>
        <v>Female</v>
      </c>
      <c r="B2056">
        <f>ObesityDataSet_raw_and_data_sin!C2056</f>
        <v>1.723587</v>
      </c>
      <c r="C2056">
        <f>ObesityDataSet_raw_and_data_sin!D2056</f>
        <v>131.92971199999999</v>
      </c>
      <c r="D2056" t="str">
        <f>ObesityDataSet_raw_and_data_sin!Q2056</f>
        <v>Obesity_Type_III</v>
      </c>
      <c r="E2056" t="b">
        <f t="shared" si="129"/>
        <v>0</v>
      </c>
      <c r="F2056">
        <f>C2056/(B2056*B2056)</f>
        <v>44.409531825928021</v>
      </c>
      <c r="G2056" t="str">
        <f t="shared" si="130"/>
        <v>Obese</v>
      </c>
      <c r="H2056" t="str">
        <f t="shared" si="131"/>
        <v>OK</v>
      </c>
      <c r="I2056" t="str">
        <f t="shared" si="128"/>
        <v>OK</v>
      </c>
    </row>
    <row r="2057" spans="1:9" x14ac:dyDescent="0.2">
      <c r="A2057" t="str">
        <f>ObesityDataSet_raw_and_data_sin!A2057</f>
        <v>Female</v>
      </c>
      <c r="B2057">
        <f>ObesityDataSet_raw_and_data_sin!C2057</f>
        <v>1.623812</v>
      </c>
      <c r="C2057">
        <f>ObesityDataSet_raw_and_data_sin!D2057</f>
        <v>109.996742</v>
      </c>
      <c r="D2057" t="str">
        <f>ObesityDataSet_raw_and_data_sin!Q2057</f>
        <v>Obesity_Type_III</v>
      </c>
      <c r="E2057" t="b">
        <f t="shared" si="129"/>
        <v>0</v>
      </c>
      <c r="F2057">
        <f>C2057/(B2057*B2057)</f>
        <v>41.716544644725502</v>
      </c>
      <c r="G2057" t="str">
        <f t="shared" si="130"/>
        <v>Obese</v>
      </c>
      <c r="H2057" t="str">
        <f t="shared" si="131"/>
        <v>OK</v>
      </c>
      <c r="I2057" t="str">
        <f t="shared" si="128"/>
        <v>OK</v>
      </c>
    </row>
    <row r="2058" spans="1:9" x14ac:dyDescent="0.2">
      <c r="A2058" t="str">
        <f>ObesityDataSet_raw_and_data_sin!A2058</f>
        <v>Female</v>
      </c>
      <c r="B2058">
        <f>ObesityDataSet_raw_and_data_sin!C2058</f>
        <v>1.624099</v>
      </c>
      <c r="C2058">
        <f>ObesityDataSet_raw_and_data_sin!D2058</f>
        <v>109.978402</v>
      </c>
      <c r="D2058" t="str">
        <f>ObesityDataSet_raw_and_data_sin!Q2058</f>
        <v>Obesity_Type_III</v>
      </c>
      <c r="E2058" t="b">
        <f t="shared" si="129"/>
        <v>0</v>
      </c>
      <c r="F2058">
        <f>C2058/(B2058*B2058)</f>
        <v>41.694849171755536</v>
      </c>
      <c r="G2058" t="str">
        <f t="shared" si="130"/>
        <v>Obese</v>
      </c>
      <c r="H2058" t="str">
        <f t="shared" si="131"/>
        <v>OK</v>
      </c>
      <c r="I2058" t="str">
        <f t="shared" si="128"/>
        <v>OK</v>
      </c>
    </row>
    <row r="2059" spans="1:9" x14ac:dyDescent="0.2">
      <c r="A2059" t="str">
        <f>ObesityDataSet_raw_and_data_sin!A2059</f>
        <v>Female</v>
      </c>
      <c r="B2059">
        <f>ObesityDataSet_raw_and_data_sin!C2059</f>
        <v>1.6329830000000001</v>
      </c>
      <c r="C2059">
        <f>ObesityDataSet_raw_and_data_sin!D2059</f>
        <v>111.157811</v>
      </c>
      <c r="D2059" t="str">
        <f>ObesityDataSet_raw_and_data_sin!Q2059</f>
        <v>Obesity_Type_III</v>
      </c>
      <c r="E2059" t="b">
        <f t="shared" si="129"/>
        <v>0</v>
      </c>
      <c r="F2059">
        <f>C2059/(B2059*B2059)</f>
        <v>41.684697917811526</v>
      </c>
      <c r="G2059" t="str">
        <f t="shared" si="130"/>
        <v>Obese</v>
      </c>
      <c r="H2059" t="str">
        <f t="shared" si="131"/>
        <v>OK</v>
      </c>
      <c r="I2059" t="str">
        <f t="shared" si="128"/>
        <v>OK</v>
      </c>
    </row>
    <row r="2060" spans="1:9" x14ac:dyDescent="0.2">
      <c r="A2060" t="str">
        <f>ObesityDataSet_raw_and_data_sin!A2060</f>
        <v>Female</v>
      </c>
      <c r="B2060">
        <f>ObesityDataSet_raw_and_data_sin!C2060</f>
        <v>1.6407449999999999</v>
      </c>
      <c r="C2060">
        <f>ObesityDataSet_raw_and_data_sin!D2060</f>
        <v>110.919646</v>
      </c>
      <c r="D2060" t="str">
        <f>ObesityDataSet_raw_and_data_sin!Q2060</f>
        <v>Obesity_Type_III</v>
      </c>
      <c r="E2060" t="b">
        <f t="shared" si="129"/>
        <v>0</v>
      </c>
      <c r="F2060">
        <f>C2060/(B2060*B2060)</f>
        <v>41.202758800577676</v>
      </c>
      <c r="G2060" t="str">
        <f t="shared" si="130"/>
        <v>Obese</v>
      </c>
      <c r="H2060" t="str">
        <f t="shared" si="131"/>
        <v>OK</v>
      </c>
      <c r="I2060" t="str">
        <f t="shared" si="128"/>
        <v>OK</v>
      </c>
    </row>
    <row r="2061" spans="1:9" x14ac:dyDescent="0.2">
      <c r="A2061" t="str">
        <f>ObesityDataSet_raw_and_data_sin!A2061</f>
        <v>Female</v>
      </c>
      <c r="B2061">
        <f>ObesityDataSet_raw_and_data_sin!C2061</f>
        <v>1.6297269999999999</v>
      </c>
      <c r="C2061">
        <f>ObesityDataSet_raw_and_data_sin!D2061</f>
        <v>111.27564599999999</v>
      </c>
      <c r="D2061" t="str">
        <f>ObesityDataSet_raw_and_data_sin!Q2061</f>
        <v>Obesity_Type_III</v>
      </c>
      <c r="E2061" t="b">
        <f t="shared" si="129"/>
        <v>0</v>
      </c>
      <c r="F2061">
        <f>C2061/(B2061*B2061)</f>
        <v>41.895791822934662</v>
      </c>
      <c r="G2061" t="str">
        <f t="shared" si="130"/>
        <v>Obese</v>
      </c>
      <c r="H2061" t="str">
        <f t="shared" si="131"/>
        <v>OK</v>
      </c>
      <c r="I2061" t="str">
        <f t="shared" si="128"/>
        <v>OK</v>
      </c>
    </row>
    <row r="2062" spans="1:9" x14ac:dyDescent="0.2">
      <c r="A2062" t="str">
        <f>ObesityDataSet_raw_and_data_sin!A2062</f>
        <v>Female</v>
      </c>
      <c r="B2062">
        <f>ObesityDataSet_raw_and_data_sin!C2062</f>
        <v>1.624134</v>
      </c>
      <c r="C2062">
        <f>ObesityDataSet_raw_and_data_sin!D2062</f>
        <v>111.53120800000001</v>
      </c>
      <c r="D2062" t="str">
        <f>ObesityDataSet_raw_and_data_sin!Q2062</f>
        <v>Obesity_Type_III</v>
      </c>
      <c r="E2062" t="b">
        <f t="shared" si="129"/>
        <v>0</v>
      </c>
      <c r="F2062">
        <f>C2062/(B2062*B2062)</f>
        <v>42.281724290113786</v>
      </c>
      <c r="G2062" t="str">
        <f t="shared" si="130"/>
        <v>Obese</v>
      </c>
      <c r="H2062" t="str">
        <f t="shared" si="131"/>
        <v>OK</v>
      </c>
      <c r="I2062" t="str">
        <f t="shared" si="128"/>
        <v>OK</v>
      </c>
    </row>
    <row r="2063" spans="1:9" x14ac:dyDescent="0.2">
      <c r="A2063" t="str">
        <f>ObesityDataSet_raw_and_data_sin!A2063</f>
        <v>Female</v>
      </c>
      <c r="B2063">
        <f>ObesityDataSet_raw_and_data_sin!C2063</f>
        <v>1.6239380000000001</v>
      </c>
      <c r="C2063">
        <f>ObesityDataSet_raw_and_data_sin!D2063</f>
        <v>109.984263</v>
      </c>
      <c r="D2063" t="str">
        <f>ObesityDataSet_raw_and_data_sin!Q2063</f>
        <v>Obesity_Type_III</v>
      </c>
      <c r="E2063" t="b">
        <f t="shared" si="129"/>
        <v>0</v>
      </c>
      <c r="F2063">
        <f>C2063/(B2063*B2063)</f>
        <v>41.705339433633448</v>
      </c>
      <c r="G2063" t="str">
        <f t="shared" si="130"/>
        <v>Obese</v>
      </c>
      <c r="H2063" t="str">
        <f t="shared" si="131"/>
        <v>OK</v>
      </c>
      <c r="I2063" t="str">
        <f t="shared" si="128"/>
        <v>OK</v>
      </c>
    </row>
    <row r="2064" spans="1:9" x14ac:dyDescent="0.2">
      <c r="A2064" t="str">
        <f>ObesityDataSet_raw_and_data_sin!A2064</f>
        <v>Female</v>
      </c>
      <c r="B2064">
        <f>ObesityDataSet_raw_and_data_sin!C2064</f>
        <v>1.593321</v>
      </c>
      <c r="C2064">
        <f>ObesityDataSet_raw_and_data_sin!D2064</f>
        <v>110.168166</v>
      </c>
      <c r="D2064" t="str">
        <f>ObesityDataSet_raw_and_data_sin!Q2064</f>
        <v>Obesity_Type_III</v>
      </c>
      <c r="E2064" t="b">
        <f t="shared" si="129"/>
        <v>0</v>
      </c>
      <c r="F2064">
        <f>C2064/(B2064*B2064)</f>
        <v>43.395985888233717</v>
      </c>
      <c r="G2064" t="str">
        <f t="shared" si="130"/>
        <v>Obese</v>
      </c>
      <c r="H2064" t="str">
        <f t="shared" si="131"/>
        <v>OK</v>
      </c>
      <c r="I2064" t="str">
        <f t="shared" si="128"/>
        <v>OK</v>
      </c>
    </row>
    <row r="2065" spans="1:9" x14ac:dyDescent="0.2">
      <c r="A2065" t="str">
        <f>ObesityDataSet_raw_and_data_sin!A2065</f>
        <v>Female</v>
      </c>
      <c r="B2065">
        <f>ObesityDataSet_raw_and_data_sin!C2065</f>
        <v>1.7303329999999999</v>
      </c>
      <c r="C2065">
        <f>ObesityDataSet_raw_and_data_sin!D2065</f>
        <v>132.116491</v>
      </c>
      <c r="D2065" t="str">
        <f>ObesityDataSet_raw_and_data_sin!Q2065</f>
        <v>Obesity_Type_III</v>
      </c>
      <c r="E2065" t="b">
        <f t="shared" si="129"/>
        <v>0</v>
      </c>
      <c r="F2065">
        <f>C2065/(B2065*B2065)</f>
        <v>44.126313826259768</v>
      </c>
      <c r="G2065" t="str">
        <f t="shared" si="130"/>
        <v>Obese</v>
      </c>
      <c r="H2065" t="str">
        <f t="shared" si="131"/>
        <v>OK</v>
      </c>
      <c r="I2065" t="str">
        <f t="shared" si="128"/>
        <v>OK</v>
      </c>
    </row>
    <row r="2066" spans="1:9" x14ac:dyDescent="0.2">
      <c r="A2066" t="str">
        <f>ObesityDataSet_raw_and_data_sin!A2066</f>
        <v>Female</v>
      </c>
      <c r="B2066">
        <f>ObesityDataSet_raw_and_data_sin!C2066</f>
        <v>1.7210570000000001</v>
      </c>
      <c r="C2066">
        <f>ObesityDataSet_raw_and_data_sin!D2066</f>
        <v>132.05479299999999</v>
      </c>
      <c r="D2066" t="str">
        <f>ObesityDataSet_raw_and_data_sin!Q2066</f>
        <v>Obesity_Type_III</v>
      </c>
      <c r="E2066" t="b">
        <f t="shared" si="129"/>
        <v>0</v>
      </c>
      <c r="F2066">
        <f>C2066/(B2066*B2066)</f>
        <v>44.582422233807939</v>
      </c>
      <c r="G2066" t="str">
        <f t="shared" si="130"/>
        <v>Obese</v>
      </c>
      <c r="H2066" t="str">
        <f t="shared" si="131"/>
        <v>OK</v>
      </c>
      <c r="I2066" t="str">
        <f t="shared" si="128"/>
        <v>OK</v>
      </c>
    </row>
    <row r="2067" spans="1:9" x14ac:dyDescent="0.2">
      <c r="A2067" t="str">
        <f>ObesityDataSet_raw_and_data_sin!A2067</f>
        <v>Female</v>
      </c>
      <c r="B2067">
        <f>ObesityDataSet_raw_and_data_sin!C2067</f>
        <v>1.7197800000000001</v>
      </c>
      <c r="C2067">
        <f>ObesityDataSet_raw_and_data_sin!D2067</f>
        <v>132.26255800000001</v>
      </c>
      <c r="D2067" t="str">
        <f>ObesityDataSet_raw_and_data_sin!Q2067</f>
        <v>Obesity_Type_III</v>
      </c>
      <c r="E2067" t="b">
        <f t="shared" si="129"/>
        <v>0</v>
      </c>
      <c r="F2067">
        <f>C2067/(B2067*B2067)</f>
        <v>44.718901805195827</v>
      </c>
      <c r="G2067" t="str">
        <f t="shared" si="130"/>
        <v>Obese</v>
      </c>
      <c r="H2067" t="str">
        <f t="shared" si="131"/>
        <v>OK</v>
      </c>
      <c r="I2067" t="str">
        <f t="shared" si="128"/>
        <v>OK</v>
      </c>
    </row>
    <row r="2068" spans="1:9" x14ac:dyDescent="0.2">
      <c r="A2068" t="str">
        <f>ObesityDataSet_raw_and_data_sin!A2068</f>
        <v>Female</v>
      </c>
      <c r="B2068">
        <f>ObesityDataSet_raw_and_data_sin!C2068</f>
        <v>1.6993149999999999</v>
      </c>
      <c r="C2068">
        <f>ObesityDataSet_raw_and_data_sin!D2068</f>
        <v>133.10760999999999</v>
      </c>
      <c r="D2068" t="str">
        <f>ObesityDataSet_raw_and_data_sin!Q2068</f>
        <v>Obesity_Type_III</v>
      </c>
      <c r="E2068" t="b">
        <f t="shared" si="129"/>
        <v>0</v>
      </c>
      <c r="F2068">
        <f>C2068/(B2068*B2068)</f>
        <v>46.095136312623445</v>
      </c>
      <c r="G2068" t="str">
        <f t="shared" si="130"/>
        <v>Obese</v>
      </c>
      <c r="H2068" t="str">
        <f t="shared" si="131"/>
        <v>OK</v>
      </c>
      <c r="I2068" t="str">
        <f t="shared" si="128"/>
        <v>OK</v>
      </c>
    </row>
    <row r="2069" spans="1:9" x14ac:dyDescent="0.2">
      <c r="A2069" t="str">
        <f>ObesityDataSet_raw_and_data_sin!A2069</f>
        <v>Female</v>
      </c>
      <c r="B2069">
        <f>ObesityDataSet_raw_and_data_sin!C2069</f>
        <v>1.6813940000000001</v>
      </c>
      <c r="C2069">
        <f>ObesityDataSet_raw_and_data_sin!D2069</f>
        <v>114.47945900000001</v>
      </c>
      <c r="D2069" t="str">
        <f>ObesityDataSet_raw_and_data_sin!Q2069</f>
        <v>Obesity_Type_III</v>
      </c>
      <c r="E2069" t="b">
        <f t="shared" si="129"/>
        <v>0</v>
      </c>
      <c r="F2069">
        <f>C2069/(B2069*B2069)</f>
        <v>40.493804496077949</v>
      </c>
      <c r="G2069" t="str">
        <f t="shared" si="130"/>
        <v>Obese</v>
      </c>
      <c r="H2069" t="str">
        <f t="shared" si="131"/>
        <v>OK</v>
      </c>
      <c r="I2069" t="str">
        <f t="shared" si="128"/>
        <v>OK</v>
      </c>
    </row>
    <row r="2070" spans="1:9" x14ac:dyDescent="0.2">
      <c r="A2070" t="str">
        <f>ObesityDataSet_raw_and_data_sin!A2070</f>
        <v>Female</v>
      </c>
      <c r="B2070">
        <f>ObesityDataSet_raw_and_data_sin!C2070</f>
        <v>1.6974210000000001</v>
      </c>
      <c r="C2070">
        <f>ObesityDataSet_raw_and_data_sin!D2070</f>
        <v>114.48238600000001</v>
      </c>
      <c r="D2070" t="str">
        <f>ObesityDataSet_raw_and_data_sin!Q2070</f>
        <v>Obesity_Type_III</v>
      </c>
      <c r="E2070" t="b">
        <f t="shared" si="129"/>
        <v>0</v>
      </c>
      <c r="F2070">
        <f>C2070/(B2070*B2070)</f>
        <v>39.733747772312817</v>
      </c>
      <c r="G2070" t="str">
        <f t="shared" si="130"/>
        <v>Obese</v>
      </c>
      <c r="H2070" t="str">
        <f t="shared" si="131"/>
        <v>OK</v>
      </c>
      <c r="I2070" t="str">
        <f t="shared" si="128"/>
        <v>OK</v>
      </c>
    </row>
    <row r="2071" spans="1:9" x14ac:dyDescent="0.2">
      <c r="A2071" t="str">
        <f>ObesityDataSet_raw_and_data_sin!A2071</f>
        <v>Female</v>
      </c>
      <c r="B2071">
        <f>ObesityDataSet_raw_and_data_sin!C2071</f>
        <v>1.6507259999999999</v>
      </c>
      <c r="C2071">
        <f>ObesityDataSet_raw_and_data_sin!D2071</f>
        <v>113.774198</v>
      </c>
      <c r="D2071" t="str">
        <f>ObesityDataSet_raw_and_data_sin!Q2071</f>
        <v>Obesity_Type_III</v>
      </c>
      <c r="E2071" t="b">
        <f t="shared" si="129"/>
        <v>0</v>
      </c>
      <c r="F2071">
        <f>C2071/(B2071*B2071)</f>
        <v>41.753587785883767</v>
      </c>
      <c r="G2071" t="str">
        <f t="shared" si="130"/>
        <v>Obese</v>
      </c>
      <c r="H2071" t="str">
        <f t="shared" si="131"/>
        <v>OK</v>
      </c>
      <c r="I2071" t="str">
        <f t="shared" si="128"/>
        <v>OK</v>
      </c>
    </row>
    <row r="2072" spans="1:9" x14ac:dyDescent="0.2">
      <c r="A2072" t="str">
        <f>ObesityDataSet_raw_and_data_sin!A2072</f>
        <v>Female</v>
      </c>
      <c r="B2072">
        <f>ObesityDataSet_raw_and_data_sin!C2072</f>
        <v>1.6673830000000001</v>
      </c>
      <c r="C2072">
        <f>ObesityDataSet_raw_and_data_sin!D2072</f>
        <v>112.98254900000001</v>
      </c>
      <c r="D2072" t="str">
        <f>ObesityDataSet_raw_and_data_sin!Q2072</f>
        <v>Obesity_Type_III</v>
      </c>
      <c r="E2072" t="b">
        <f t="shared" si="129"/>
        <v>0</v>
      </c>
      <c r="F2072">
        <f>C2072/(B2072*B2072)</f>
        <v>40.63877704013467</v>
      </c>
      <c r="G2072" t="str">
        <f t="shared" si="130"/>
        <v>Obese</v>
      </c>
      <c r="H2072" t="str">
        <f t="shared" si="131"/>
        <v>OK</v>
      </c>
      <c r="I2072" t="str">
        <f t="shared" si="128"/>
        <v>OK</v>
      </c>
    </row>
    <row r="2073" spans="1:9" x14ac:dyDescent="0.2">
      <c r="A2073" t="str">
        <f>ObesityDataSet_raw_and_data_sin!A2073</f>
        <v>Female</v>
      </c>
      <c r="B2073">
        <f>ObesityDataSet_raw_and_data_sin!C2073</f>
        <v>1.7462770000000001</v>
      </c>
      <c r="C2073">
        <f>ObesityDataSet_raw_and_data_sin!D2073</f>
        <v>128.705761</v>
      </c>
      <c r="D2073" t="str">
        <f>ObesityDataSet_raw_and_data_sin!Q2073</f>
        <v>Obesity_Type_III</v>
      </c>
      <c r="E2073" t="b">
        <f t="shared" si="129"/>
        <v>0</v>
      </c>
      <c r="F2073">
        <f>C2073/(B2073*B2073)</f>
        <v>42.205759394349336</v>
      </c>
      <c r="G2073" t="str">
        <f t="shared" si="130"/>
        <v>Obese</v>
      </c>
      <c r="H2073" t="str">
        <f t="shared" si="131"/>
        <v>OK</v>
      </c>
      <c r="I2073" t="str">
        <f t="shared" si="128"/>
        <v>OK</v>
      </c>
    </row>
    <row r="2074" spans="1:9" x14ac:dyDescent="0.2">
      <c r="A2074" t="str">
        <f>ObesityDataSet_raw_and_data_sin!A2074</f>
        <v>Female</v>
      </c>
      <c r="B2074">
        <f>ObesityDataSet_raw_and_data_sin!C2074</f>
        <v>1.7354609999999999</v>
      </c>
      <c r="C2074">
        <f>ObesityDataSet_raw_and_data_sin!D2074</f>
        <v>126.79817300000001</v>
      </c>
      <c r="D2074" t="str">
        <f>ObesityDataSet_raw_and_data_sin!Q2074</f>
        <v>Obesity_Type_III</v>
      </c>
      <c r="E2074" t="b">
        <f t="shared" si="129"/>
        <v>0</v>
      </c>
      <c r="F2074">
        <f>C2074/(B2074*B2074)</f>
        <v>42.100114696530973</v>
      </c>
      <c r="G2074" t="str">
        <f t="shared" si="130"/>
        <v>Obese</v>
      </c>
      <c r="H2074" t="str">
        <f t="shared" si="131"/>
        <v>OK</v>
      </c>
      <c r="I2074" t="str">
        <f t="shared" si="128"/>
        <v>OK</v>
      </c>
    </row>
    <row r="2075" spans="1:9" x14ac:dyDescent="0.2">
      <c r="A2075" t="str">
        <f>ObesityDataSet_raw_and_data_sin!A2075</f>
        <v>Female</v>
      </c>
      <c r="B2075">
        <f>ObesityDataSet_raw_and_data_sin!C2075</f>
        <v>1.747714</v>
      </c>
      <c r="C2075">
        <f>ObesityDataSet_raw_and_data_sin!D2075</f>
        <v>128.14810800000001</v>
      </c>
      <c r="D2075" t="str">
        <f>ObesityDataSet_raw_and_data_sin!Q2075</f>
        <v>Obesity_Type_III</v>
      </c>
      <c r="E2075" t="b">
        <f t="shared" si="129"/>
        <v>0</v>
      </c>
      <c r="F2075">
        <f>C2075/(B2075*B2075)</f>
        <v>41.953815914792123</v>
      </c>
      <c r="G2075" t="str">
        <f t="shared" si="130"/>
        <v>Obese</v>
      </c>
      <c r="H2075" t="str">
        <f t="shared" si="131"/>
        <v>OK</v>
      </c>
      <c r="I2075" t="str">
        <f t="shared" si="128"/>
        <v>OK</v>
      </c>
    </row>
    <row r="2076" spans="1:9" x14ac:dyDescent="0.2">
      <c r="A2076" t="str">
        <f>ObesityDataSet_raw_and_data_sin!A2076</f>
        <v>Female</v>
      </c>
      <c r="B2076">
        <f>ObesityDataSet_raw_and_data_sin!C2076</f>
        <v>1.7158199999999999</v>
      </c>
      <c r="C2076">
        <f>ObesityDataSet_raw_and_data_sin!D2076</f>
        <v>129.46654100000001</v>
      </c>
      <c r="D2076" t="str">
        <f>ObesityDataSet_raw_and_data_sin!Q2076</f>
        <v>Obesity_Type_III</v>
      </c>
      <c r="E2076" t="b">
        <f t="shared" si="129"/>
        <v>0</v>
      </c>
      <c r="F2076">
        <f>C2076/(B2076*B2076)</f>
        <v>43.975834897845267</v>
      </c>
      <c r="G2076" t="str">
        <f t="shared" si="130"/>
        <v>Obese</v>
      </c>
      <c r="H2076" t="str">
        <f t="shared" si="131"/>
        <v>OK</v>
      </c>
      <c r="I2076" t="str">
        <f t="shared" si="128"/>
        <v>OK</v>
      </c>
    </row>
    <row r="2077" spans="1:9" x14ac:dyDescent="0.2">
      <c r="A2077" t="str">
        <f>ObesityDataSet_raw_and_data_sin!A2077</f>
        <v>Female</v>
      </c>
      <c r="B2077">
        <f>ObesityDataSet_raw_and_data_sin!C2077</f>
        <v>1.747987</v>
      </c>
      <c r="C2077">
        <f>ObesityDataSet_raw_and_data_sin!D2077</f>
        <v>147.29618600000001</v>
      </c>
      <c r="D2077" t="str">
        <f>ObesityDataSet_raw_and_data_sin!Q2077</f>
        <v>Obesity_Type_III</v>
      </c>
      <c r="E2077" t="b">
        <f t="shared" si="129"/>
        <v>0</v>
      </c>
      <c r="F2077">
        <f>C2077/(B2077*B2077)</f>
        <v>48.207554933264547</v>
      </c>
      <c r="G2077" t="str">
        <f t="shared" si="130"/>
        <v>Obese</v>
      </c>
      <c r="H2077" t="str">
        <f t="shared" si="131"/>
        <v>OK</v>
      </c>
      <c r="I2077" t="str">
        <f t="shared" si="128"/>
        <v>OK</v>
      </c>
    </row>
    <row r="2078" spans="1:9" x14ac:dyDescent="0.2">
      <c r="A2078" t="str">
        <f>ObesityDataSet_raw_and_data_sin!A2078</f>
        <v>Female</v>
      </c>
      <c r="B2078">
        <f>ObesityDataSet_raw_and_data_sin!C2078</f>
        <v>1.817917</v>
      </c>
      <c r="C2078">
        <f>ObesityDataSet_raw_and_data_sin!D2078</f>
        <v>142.55916099999999</v>
      </c>
      <c r="D2078" t="str">
        <f>ObesityDataSet_raw_and_data_sin!Q2078</f>
        <v>Obesity_Type_III</v>
      </c>
      <c r="E2078" t="b">
        <f t="shared" si="129"/>
        <v>0</v>
      </c>
      <c r="F2078">
        <f>C2078/(B2078*B2078)</f>
        <v>43.136711011318752</v>
      </c>
      <c r="G2078" t="str">
        <f t="shared" si="130"/>
        <v>Obese</v>
      </c>
      <c r="H2078" t="str">
        <f t="shared" si="131"/>
        <v>OK</v>
      </c>
      <c r="I2078" t="str">
        <f t="shared" si="128"/>
        <v>OK</v>
      </c>
    </row>
    <row r="2079" spans="1:9" x14ac:dyDescent="0.2">
      <c r="A2079" t="str">
        <f>ObesityDataSet_raw_and_data_sin!A2079</f>
        <v>Female</v>
      </c>
      <c r="B2079">
        <f>ObesityDataSet_raw_and_data_sin!C2079</f>
        <v>1.8083499999999999</v>
      </c>
      <c r="C2079">
        <f>ObesityDataSet_raw_and_data_sin!D2079</f>
        <v>150.51648</v>
      </c>
      <c r="D2079" t="str">
        <f>ObesityDataSet_raw_and_data_sin!Q2079</f>
        <v>Obesity_Type_III</v>
      </c>
      <c r="E2079" t="b">
        <f t="shared" si="129"/>
        <v>0</v>
      </c>
      <c r="F2079">
        <f>C2079/(B2079*B2079)</f>
        <v>46.027678646622867</v>
      </c>
      <c r="G2079" t="str">
        <f t="shared" si="130"/>
        <v>Obese</v>
      </c>
      <c r="H2079" t="str">
        <f t="shared" si="131"/>
        <v>OK</v>
      </c>
      <c r="I2079" t="str">
        <f t="shared" si="128"/>
        <v>OK</v>
      </c>
    </row>
    <row r="2080" spans="1:9" x14ac:dyDescent="0.2">
      <c r="A2080" t="str">
        <f>ObesityDataSet_raw_and_data_sin!A2080</f>
        <v>Female</v>
      </c>
      <c r="B2080">
        <f>ObesityDataSet_raw_and_data_sin!C2080</f>
        <v>1.739457</v>
      </c>
      <c r="C2080">
        <f>ObesityDataSet_raw_and_data_sin!D2080</f>
        <v>150.37756999999999</v>
      </c>
      <c r="D2080" t="str">
        <f>ObesityDataSet_raw_and_data_sin!Q2080</f>
        <v>Obesity_Type_III</v>
      </c>
      <c r="E2080" t="b">
        <f t="shared" si="129"/>
        <v>0</v>
      </c>
      <c r="F2080">
        <f>C2080/(B2080*B2080)</f>
        <v>49.699917524831761</v>
      </c>
      <c r="G2080" t="str">
        <f t="shared" si="130"/>
        <v>Obese</v>
      </c>
      <c r="H2080" t="str">
        <f t="shared" si="131"/>
        <v>OK</v>
      </c>
      <c r="I2080" t="str">
        <f t="shared" si="128"/>
        <v>OK</v>
      </c>
    </row>
    <row r="2081" spans="1:9" x14ac:dyDescent="0.2">
      <c r="A2081" t="str">
        <f>ObesityDataSet_raw_and_data_sin!A2081</f>
        <v>Female</v>
      </c>
      <c r="B2081">
        <f>ObesityDataSet_raw_and_data_sin!C2081</f>
        <v>1.742062</v>
      </c>
      <c r="C2081">
        <f>ObesityDataSet_raw_and_data_sin!D2081</f>
        <v>133.77991900000001</v>
      </c>
      <c r="D2081" t="str">
        <f>ObesityDataSet_raw_and_data_sin!Q2081</f>
        <v>Obesity_Type_III</v>
      </c>
      <c r="E2081" t="b">
        <f t="shared" si="129"/>
        <v>0</v>
      </c>
      <c r="F2081">
        <f>C2081/(B2081*B2081)</f>
        <v>44.082245987481755</v>
      </c>
      <c r="G2081" t="str">
        <f t="shared" si="130"/>
        <v>Obese</v>
      </c>
      <c r="H2081" t="str">
        <f t="shared" si="131"/>
        <v>OK</v>
      </c>
      <c r="I2081" t="str">
        <f t="shared" si="128"/>
        <v>OK</v>
      </c>
    </row>
    <row r="2082" spans="1:9" x14ac:dyDescent="0.2">
      <c r="A2082" t="str">
        <f>ObesityDataSet_raw_and_data_sin!A2082</f>
        <v>Female</v>
      </c>
      <c r="B2082">
        <f>ObesityDataSet_raw_and_data_sin!C2082</f>
        <v>1.7419249999999999</v>
      </c>
      <c r="C2082">
        <f>ObesityDataSet_raw_and_data_sin!D2082</f>
        <v>133.01710499999999</v>
      </c>
      <c r="D2082" t="str">
        <f>ObesityDataSet_raw_and_data_sin!Q2082</f>
        <v>Obesity_Type_III</v>
      </c>
      <c r="E2082" t="b">
        <f t="shared" si="129"/>
        <v>0</v>
      </c>
      <c r="F2082">
        <f>C2082/(B2082*B2082)</f>
        <v>43.837783472760471</v>
      </c>
      <c r="G2082" t="str">
        <f t="shared" si="130"/>
        <v>Obese</v>
      </c>
      <c r="H2082" t="str">
        <f t="shared" si="131"/>
        <v>OK</v>
      </c>
      <c r="I2082" t="str">
        <f t="shared" si="128"/>
        <v>OK</v>
      </c>
    </row>
    <row r="2083" spans="1:9" x14ac:dyDescent="0.2">
      <c r="A2083" t="str">
        <f>ObesityDataSet_raw_and_data_sin!A2083</f>
        <v>Female</v>
      </c>
      <c r="B2083">
        <f>ObesityDataSet_raw_and_data_sin!C2083</f>
        <v>1.7510669999999999</v>
      </c>
      <c r="C2083">
        <f>ObesityDataSet_raw_and_data_sin!D2083</f>
        <v>133.84506400000001</v>
      </c>
      <c r="D2083" t="str">
        <f>ObesityDataSet_raw_and_data_sin!Q2083</f>
        <v>Obesity_Type_III</v>
      </c>
      <c r="E2083" t="b">
        <f t="shared" si="129"/>
        <v>0</v>
      </c>
      <c r="F2083">
        <f>C2083/(B2083*B2083)</f>
        <v>43.651264866896234</v>
      </c>
      <c r="G2083" t="str">
        <f t="shared" si="130"/>
        <v>Obese</v>
      </c>
      <c r="H2083" t="str">
        <f t="shared" si="131"/>
        <v>OK</v>
      </c>
      <c r="I2083" t="str">
        <f t="shared" si="128"/>
        <v>OK</v>
      </c>
    </row>
    <row r="2084" spans="1:9" x14ac:dyDescent="0.2">
      <c r="A2084" t="str">
        <f>ObesityDataSet_raw_and_data_sin!A2084</f>
        <v>Female</v>
      </c>
      <c r="B2084">
        <f>ObesityDataSet_raw_and_data_sin!C2084</f>
        <v>1.749118</v>
      </c>
      <c r="C2084">
        <f>ObesityDataSet_raw_and_data_sin!D2084</f>
        <v>133.95509100000001</v>
      </c>
      <c r="D2084" t="str">
        <f>ObesityDataSet_raw_and_data_sin!Q2084</f>
        <v>Obesity_Type_III</v>
      </c>
      <c r="E2084" t="b">
        <f t="shared" si="129"/>
        <v>0</v>
      </c>
      <c r="F2084">
        <f>C2084/(B2084*B2084)</f>
        <v>43.784561593658232</v>
      </c>
      <c r="G2084" t="str">
        <f t="shared" si="130"/>
        <v>Obese</v>
      </c>
      <c r="H2084" t="str">
        <f t="shared" si="131"/>
        <v>OK</v>
      </c>
      <c r="I2084" t="str">
        <f t="shared" si="128"/>
        <v>OK</v>
      </c>
    </row>
    <row r="2085" spans="1:9" x14ac:dyDescent="0.2">
      <c r="A2085" t="str">
        <f>ObesityDataSet_raw_and_data_sin!A2085</f>
        <v>Female</v>
      </c>
      <c r="B2085">
        <f>ObesityDataSet_raw_and_data_sin!C2085</f>
        <v>1.663341</v>
      </c>
      <c r="C2085">
        <f>ObesityDataSet_raw_and_data_sin!D2085</f>
        <v>113.077187</v>
      </c>
      <c r="D2085" t="str">
        <f>ObesityDataSet_raw_and_data_sin!Q2085</f>
        <v>Obesity_Type_III</v>
      </c>
      <c r="E2085" t="b">
        <f t="shared" si="129"/>
        <v>0</v>
      </c>
      <c r="F2085">
        <f>C2085/(B2085*B2085)</f>
        <v>40.870731503514847</v>
      </c>
      <c r="G2085" t="str">
        <f t="shared" si="130"/>
        <v>Obese</v>
      </c>
      <c r="H2085" t="str">
        <f t="shared" si="131"/>
        <v>OK</v>
      </c>
      <c r="I2085" t="str">
        <f t="shared" si="128"/>
        <v>OK</v>
      </c>
    </row>
    <row r="2086" spans="1:9" x14ac:dyDescent="0.2">
      <c r="A2086" t="str">
        <f>ObesityDataSet_raw_and_data_sin!A2086</f>
        <v>Female</v>
      </c>
      <c r="B2086">
        <f>ObesityDataSet_raw_and_data_sin!C2086</f>
        <v>1.6685369999999999</v>
      </c>
      <c r="C2086">
        <f>ObesityDataSet_raw_and_data_sin!D2086</f>
        <v>112.55545600000001</v>
      </c>
      <c r="D2086" t="str">
        <f>ObesityDataSet_raw_and_data_sin!Q2086</f>
        <v>Obesity_Type_III</v>
      </c>
      <c r="E2086" t="b">
        <f t="shared" si="129"/>
        <v>0</v>
      </c>
      <c r="F2086">
        <f>C2086/(B2086*B2086)</f>
        <v>40.429174008069772</v>
      </c>
      <c r="G2086" t="str">
        <f t="shared" si="130"/>
        <v>Obese</v>
      </c>
      <c r="H2086" t="str">
        <f t="shared" si="131"/>
        <v>OK</v>
      </c>
      <c r="I2086" t="str">
        <f t="shared" si="128"/>
        <v>OK</v>
      </c>
    </row>
    <row r="2087" spans="1:9" x14ac:dyDescent="0.2">
      <c r="A2087" t="str">
        <f>ObesityDataSet_raw_and_data_sin!A2087</f>
        <v>Female</v>
      </c>
      <c r="B2087">
        <f>ObesityDataSet_raw_and_data_sin!C2087</f>
        <v>1.6689510000000001</v>
      </c>
      <c r="C2087">
        <f>ObesityDataSet_raw_and_data_sin!D2087</f>
        <v>112.24969900000001</v>
      </c>
      <c r="D2087" t="str">
        <f>ObesityDataSet_raw_and_data_sin!Q2087</f>
        <v>Obesity_Type_III</v>
      </c>
      <c r="E2087" t="b">
        <f t="shared" si="129"/>
        <v>0</v>
      </c>
      <c r="F2087">
        <f>C2087/(B2087*B2087)</f>
        <v>40.299347364891652</v>
      </c>
      <c r="G2087" t="str">
        <f t="shared" si="130"/>
        <v>Obese</v>
      </c>
      <c r="H2087" t="str">
        <f t="shared" si="131"/>
        <v>OK</v>
      </c>
      <c r="I2087" t="str">
        <f t="shared" si="128"/>
        <v>OK</v>
      </c>
    </row>
    <row r="2088" spans="1:9" x14ac:dyDescent="0.2">
      <c r="A2088" t="str">
        <f>ObesityDataSet_raw_and_data_sin!A2088</f>
        <v>Female</v>
      </c>
      <c r="B2088">
        <f>ObesityDataSet_raw_and_data_sin!C2088</f>
        <v>1.6617120000000001</v>
      </c>
      <c r="C2088">
        <f>ObesityDataSet_raw_and_data_sin!D2088</f>
        <v>112.09861600000001</v>
      </c>
      <c r="D2088" t="str">
        <f>ObesityDataSet_raw_and_data_sin!Q2088</f>
        <v>Obesity_Type_III</v>
      </c>
      <c r="E2088" t="b">
        <f t="shared" si="129"/>
        <v>0</v>
      </c>
      <c r="F2088">
        <f>C2088/(B2088*B2088)</f>
        <v>40.596513618061074</v>
      </c>
      <c r="G2088" t="str">
        <f t="shared" si="130"/>
        <v>Obese</v>
      </c>
      <c r="H2088" t="str">
        <f t="shared" si="131"/>
        <v>OK</v>
      </c>
      <c r="I2088" t="str">
        <f t="shared" si="128"/>
        <v>OK</v>
      </c>
    </row>
    <row r="2089" spans="1:9" x14ac:dyDescent="0.2">
      <c r="A2089" t="str">
        <f>ObesityDataSet_raw_and_data_sin!A2089</f>
        <v>Female</v>
      </c>
      <c r="B2089">
        <f>ObesityDataSet_raw_and_data_sin!C2089</f>
        <v>1.6334420000000001</v>
      </c>
      <c r="C2089">
        <f>ObesityDataSet_raw_and_data_sin!D2089</f>
        <v>111.821817</v>
      </c>
      <c r="D2089" t="str">
        <f>ObesityDataSet_raw_and_data_sin!Q2089</f>
        <v>Obesity_Type_III</v>
      </c>
      <c r="E2089" t="b">
        <f t="shared" si="129"/>
        <v>0</v>
      </c>
      <c r="F2089">
        <f>C2089/(B2089*B2089)</f>
        <v>41.910139693113962</v>
      </c>
      <c r="G2089" t="str">
        <f t="shared" si="130"/>
        <v>Obese</v>
      </c>
      <c r="H2089" t="str">
        <f t="shared" si="131"/>
        <v>OK</v>
      </c>
      <c r="I2089" t="str">
        <f t="shared" si="128"/>
        <v>OK</v>
      </c>
    </row>
    <row r="2090" spans="1:9" x14ac:dyDescent="0.2">
      <c r="A2090" t="str">
        <f>ObesityDataSet_raw_and_data_sin!A2090</f>
        <v>Female</v>
      </c>
      <c r="B2090">
        <f>ObesityDataSet_raw_and_data_sin!C2090</f>
        <v>1.6330199999999999</v>
      </c>
      <c r="C2090">
        <f>ObesityDataSet_raw_and_data_sin!D2090</f>
        <v>111.863186</v>
      </c>
      <c r="D2090" t="str">
        <f>ObesityDataSet_raw_and_data_sin!Q2090</f>
        <v>Obesity_Type_III</v>
      </c>
      <c r="E2090" t="b">
        <f t="shared" si="129"/>
        <v>0</v>
      </c>
      <c r="F2090">
        <f>C2090/(B2090*B2090)</f>
        <v>41.947315935433103</v>
      </c>
      <c r="G2090" t="str">
        <f t="shared" si="130"/>
        <v>Obese</v>
      </c>
      <c r="H2090" t="str">
        <f t="shared" si="131"/>
        <v>OK</v>
      </c>
      <c r="I2090" t="str">
        <f t="shared" si="128"/>
        <v>OK</v>
      </c>
    </row>
    <row r="2091" spans="1:9" x14ac:dyDescent="0.2">
      <c r="A2091" t="str">
        <f>ObesityDataSet_raw_and_data_sin!A2091</f>
        <v>Female</v>
      </c>
      <c r="B2091">
        <f>ObesityDataSet_raw_and_data_sin!C2091</f>
        <v>1.6338870000000001</v>
      </c>
      <c r="C2091">
        <f>ObesityDataSet_raw_and_data_sin!D2091</f>
        <v>111.87813199999999</v>
      </c>
      <c r="D2091" t="str">
        <f>ObesityDataSet_raw_and_data_sin!Q2091</f>
        <v>Obesity_Type_III</v>
      </c>
      <c r="E2091" t="b">
        <f t="shared" si="129"/>
        <v>0</v>
      </c>
      <c r="F2091">
        <f>C2091/(B2091*B2091)</f>
        <v>41.908408816367327</v>
      </c>
      <c r="G2091" t="str">
        <f t="shared" si="130"/>
        <v>Obese</v>
      </c>
      <c r="H2091" t="str">
        <f t="shared" si="131"/>
        <v>OK</v>
      </c>
      <c r="I2091" t="str">
        <f t="shared" si="128"/>
        <v>OK</v>
      </c>
    </row>
    <row r="2092" spans="1:9" x14ac:dyDescent="0.2">
      <c r="A2092" t="str">
        <f>ObesityDataSet_raw_and_data_sin!A2092</f>
        <v>Female</v>
      </c>
      <c r="B2092">
        <f>ObesityDataSet_raw_and_data_sin!C2092</f>
        <v>1.643421</v>
      </c>
      <c r="C2092">
        <f>ObesityDataSet_raw_and_data_sin!D2092</f>
        <v>111.939983</v>
      </c>
      <c r="D2092" t="str">
        <f>ObesityDataSet_raw_and_data_sin!Q2092</f>
        <v>Obesity_Type_III</v>
      </c>
      <c r="E2092" t="b">
        <f t="shared" si="129"/>
        <v>0</v>
      </c>
      <c r="F2092">
        <f>C2092/(B2092*B2092)</f>
        <v>41.446472356191727</v>
      </c>
      <c r="G2092" t="str">
        <f t="shared" si="130"/>
        <v>Obese</v>
      </c>
      <c r="H2092" t="str">
        <f t="shared" si="131"/>
        <v>OK</v>
      </c>
      <c r="I2092" t="str">
        <f t="shared" si="128"/>
        <v>OK</v>
      </c>
    </row>
    <row r="2093" spans="1:9" x14ac:dyDescent="0.2">
      <c r="A2093" t="str">
        <f>ObesityDataSet_raw_and_data_sin!A2093</f>
        <v>Female</v>
      </c>
      <c r="B2093">
        <f>ObesityDataSet_raw_and_data_sin!C2093</f>
        <v>1.6405350000000001</v>
      </c>
      <c r="C2093">
        <f>ObesityDataSet_raw_and_data_sin!D2093</f>
        <v>111.555967</v>
      </c>
      <c r="D2093" t="str">
        <f>ObesityDataSet_raw_and_data_sin!Q2093</f>
        <v>Obesity_Type_III</v>
      </c>
      <c r="E2093" t="b">
        <f t="shared" si="129"/>
        <v>0</v>
      </c>
      <c r="F2093">
        <f>C2093/(B2093*B2093)</f>
        <v>41.449739416017657</v>
      </c>
      <c r="G2093" t="str">
        <f t="shared" si="130"/>
        <v>Obese</v>
      </c>
      <c r="H2093" t="str">
        <f t="shared" si="131"/>
        <v>OK</v>
      </c>
      <c r="I2093" t="str">
        <f t="shared" si="128"/>
        <v>OK</v>
      </c>
    </row>
    <row r="2094" spans="1:9" x14ac:dyDescent="0.2">
      <c r="A2094" t="str">
        <f>ObesityDataSet_raw_and_data_sin!A2094</f>
        <v>Female</v>
      </c>
      <c r="B2094">
        <f>ObesityDataSet_raw_and_data_sin!C2094</f>
        <v>1.6264829999999999</v>
      </c>
      <c r="C2094">
        <f>ObesityDataSet_raw_and_data_sin!D2094</f>
        <v>111.357062</v>
      </c>
      <c r="D2094" t="str">
        <f>ObesityDataSet_raw_and_data_sin!Q2094</f>
        <v>Obesity_Type_III</v>
      </c>
      <c r="E2094" t="b">
        <f t="shared" si="129"/>
        <v>0</v>
      </c>
      <c r="F2094">
        <f>C2094/(B2094*B2094)</f>
        <v>42.093855645046574</v>
      </c>
      <c r="G2094" t="str">
        <f t="shared" si="130"/>
        <v>Obese</v>
      </c>
      <c r="H2094" t="str">
        <f t="shared" si="131"/>
        <v>OK</v>
      </c>
      <c r="I2094" t="str">
        <f t="shared" si="128"/>
        <v>OK</v>
      </c>
    </row>
    <row r="2095" spans="1:9" x14ac:dyDescent="0.2">
      <c r="A2095" t="str">
        <f>ObesityDataSet_raw_and_data_sin!A2095</f>
        <v>Female</v>
      </c>
      <c r="B2095">
        <f>ObesityDataSet_raw_and_data_sin!C2095</f>
        <v>1.6459900000000001</v>
      </c>
      <c r="C2095">
        <f>ObesityDataSet_raw_and_data_sin!D2095</f>
        <v>111.92249099999999</v>
      </c>
      <c r="D2095" t="str">
        <f>ObesityDataSet_raw_and_data_sin!Q2095</f>
        <v>Obesity_Type_III</v>
      </c>
      <c r="E2095" t="b">
        <f t="shared" si="129"/>
        <v>0</v>
      </c>
      <c r="F2095">
        <f>C2095/(B2095*B2095)</f>
        <v>41.310740772008558</v>
      </c>
      <c r="G2095" t="str">
        <f t="shared" si="130"/>
        <v>Obese</v>
      </c>
      <c r="H2095" t="str">
        <f t="shared" si="131"/>
        <v>OK</v>
      </c>
      <c r="I2095" t="str">
        <f t="shared" si="128"/>
        <v>OK</v>
      </c>
    </row>
    <row r="2096" spans="1:9" x14ac:dyDescent="0.2">
      <c r="A2096" t="str">
        <f>ObesityDataSet_raw_and_data_sin!A2096</f>
        <v>Female</v>
      </c>
      <c r="B2096">
        <f>ObesityDataSet_raw_and_data_sin!C2096</f>
        <v>1.6438919999999999</v>
      </c>
      <c r="C2096">
        <f>ObesityDataSet_raw_and_data_sin!D2096</f>
        <v>111.884535</v>
      </c>
      <c r="D2096" t="str">
        <f>ObesityDataSet_raw_and_data_sin!Q2096</f>
        <v>Obesity_Type_III</v>
      </c>
      <c r="E2096" t="b">
        <f t="shared" si="129"/>
        <v>0</v>
      </c>
      <c r="F2096">
        <f>C2096/(B2096*B2096)</f>
        <v>41.402207469233332</v>
      </c>
      <c r="G2096" t="str">
        <f t="shared" si="130"/>
        <v>Obese</v>
      </c>
      <c r="H2096" t="str">
        <f t="shared" si="131"/>
        <v>OK</v>
      </c>
      <c r="I2096" t="str">
        <f t="shared" si="128"/>
        <v>OK</v>
      </c>
    </row>
    <row r="2097" spans="1:9" x14ac:dyDescent="0.2">
      <c r="A2097" t="str">
        <f>ObesityDataSet_raw_and_data_sin!A2097</f>
        <v>Female</v>
      </c>
      <c r="B2097">
        <f>ObesityDataSet_raw_and_data_sin!C2097</f>
        <v>1.6178170000000001</v>
      </c>
      <c r="C2097">
        <f>ObesityDataSet_raw_and_data_sin!D2097</f>
        <v>104.950776</v>
      </c>
      <c r="D2097" t="str">
        <f>ObesityDataSet_raw_and_data_sin!Q2097</f>
        <v>Obesity_Type_III</v>
      </c>
      <c r="E2097" t="b">
        <f t="shared" si="129"/>
        <v>0</v>
      </c>
      <c r="F2097">
        <f>C2097/(B2097*B2097)</f>
        <v>40.098383466691011</v>
      </c>
      <c r="G2097" t="str">
        <f t="shared" si="130"/>
        <v>Obese</v>
      </c>
      <c r="H2097" t="str">
        <f t="shared" si="131"/>
        <v>OK</v>
      </c>
      <c r="I2097" t="str">
        <f t="shared" si="128"/>
        <v>OK</v>
      </c>
    </row>
    <row r="2098" spans="1:9" x14ac:dyDescent="0.2">
      <c r="A2098" t="str">
        <f>ObesityDataSet_raw_and_data_sin!A2098</f>
        <v>Female</v>
      </c>
      <c r="B2098">
        <f>ObesityDataSet_raw_and_data_sin!C2098</f>
        <v>1.626449</v>
      </c>
      <c r="C2098">
        <f>ObesityDataSet_raw_and_data_sin!D2098</f>
        <v>104.87960200000001</v>
      </c>
      <c r="D2098" t="str">
        <f>ObesityDataSet_raw_and_data_sin!Q2098</f>
        <v>Obesity_Type_III</v>
      </c>
      <c r="E2098" t="b">
        <f t="shared" si="129"/>
        <v>0</v>
      </c>
      <c r="F2098">
        <f>C2098/(B2098*B2098)</f>
        <v>39.646981759358937</v>
      </c>
      <c r="G2098" t="str">
        <f t="shared" si="130"/>
        <v>Obese</v>
      </c>
      <c r="H2098" t="str">
        <f t="shared" si="131"/>
        <v>OK</v>
      </c>
      <c r="I2098" t="str">
        <f t="shared" si="128"/>
        <v>OK</v>
      </c>
    </row>
    <row r="2099" spans="1:9" x14ac:dyDescent="0.2">
      <c r="A2099" t="str">
        <f>ObesityDataSet_raw_and_data_sin!A2099</f>
        <v>Female</v>
      </c>
      <c r="B2099">
        <f>ObesityDataSet_raw_and_data_sin!C2099</f>
        <v>1.6265799999999999</v>
      </c>
      <c r="C2099">
        <f>ObesityDataSet_raw_and_data_sin!D2099</f>
        <v>105.03720300000001</v>
      </c>
      <c r="D2099" t="str">
        <f>ObesityDataSet_raw_and_data_sin!Q2099</f>
        <v>Obesity_Type_III</v>
      </c>
      <c r="E2099" t="b">
        <f t="shared" si="129"/>
        <v>0</v>
      </c>
      <c r="F2099">
        <f>C2099/(B2099*B2099)</f>
        <v>39.70016323948979</v>
      </c>
      <c r="G2099" t="str">
        <f t="shared" si="130"/>
        <v>Obese</v>
      </c>
      <c r="H2099" t="str">
        <f t="shared" si="131"/>
        <v>OK</v>
      </c>
      <c r="I2099" t="str">
        <f t="shared" si="128"/>
        <v>OK</v>
      </c>
    </row>
    <row r="2100" spans="1:9" x14ac:dyDescent="0.2">
      <c r="A2100" t="str">
        <f>ObesityDataSet_raw_and_data_sin!A2100</f>
        <v>Female</v>
      </c>
      <c r="B2100">
        <f>ObesityDataSet_raw_and_data_sin!C2100</f>
        <v>1.606474</v>
      </c>
      <c r="C2100">
        <f>ObesityDataSet_raw_and_data_sin!D2100</f>
        <v>104.954291</v>
      </c>
      <c r="D2100" t="str">
        <f>ObesityDataSet_raw_and_data_sin!Q2100</f>
        <v>Obesity_Type_III</v>
      </c>
      <c r="E2100" t="b">
        <f t="shared" si="129"/>
        <v>0</v>
      </c>
      <c r="F2100">
        <f>C2100/(B2100*B2100)</f>
        <v>40.667998323319594</v>
      </c>
      <c r="G2100" t="str">
        <f t="shared" si="130"/>
        <v>Obese</v>
      </c>
      <c r="H2100" t="str">
        <f t="shared" si="131"/>
        <v>OK</v>
      </c>
      <c r="I2100" t="str">
        <f t="shared" si="128"/>
        <v>OK</v>
      </c>
    </row>
    <row r="2101" spans="1:9" x14ac:dyDescent="0.2">
      <c r="A2101" t="str">
        <f>ObesityDataSet_raw_and_data_sin!A2101</f>
        <v>Female</v>
      </c>
      <c r="B2101">
        <f>ObesityDataSet_raw_and_data_sin!C2101</f>
        <v>1.6288549999999999</v>
      </c>
      <c r="C2101">
        <f>ObesityDataSet_raw_and_data_sin!D2101</f>
        <v>108.090006</v>
      </c>
      <c r="D2101" t="str">
        <f>ObesityDataSet_raw_and_data_sin!Q2101</f>
        <v>Obesity_Type_III</v>
      </c>
      <c r="E2101" t="b">
        <f t="shared" si="129"/>
        <v>0</v>
      </c>
      <c r="F2101">
        <f>C2101/(B2101*B2101)</f>
        <v>40.739968636309754</v>
      </c>
      <c r="G2101" t="str">
        <f t="shared" si="130"/>
        <v>Obese</v>
      </c>
      <c r="H2101" t="str">
        <f t="shared" si="131"/>
        <v>OK</v>
      </c>
      <c r="I2101" t="str">
        <f t="shared" si="128"/>
        <v>OK</v>
      </c>
    </row>
    <row r="2102" spans="1:9" x14ac:dyDescent="0.2">
      <c r="A2102" t="str">
        <f>ObesityDataSet_raw_and_data_sin!A2102</f>
        <v>Female</v>
      </c>
      <c r="B2102">
        <f>ObesityDataSet_raw_and_data_sin!C2102</f>
        <v>1.6282049999999999</v>
      </c>
      <c r="C2102">
        <f>ObesityDataSet_raw_and_data_sin!D2102</f>
        <v>107.378702</v>
      </c>
      <c r="D2102" t="str">
        <f>ObesityDataSet_raw_and_data_sin!Q2102</f>
        <v>Obesity_Type_III</v>
      </c>
      <c r="E2102" t="b">
        <f t="shared" si="129"/>
        <v>0</v>
      </c>
      <c r="F2102">
        <f>C2102/(B2102*B2102)</f>
        <v>40.504192811001666</v>
      </c>
      <c r="G2102" t="str">
        <f t="shared" si="130"/>
        <v>Obese</v>
      </c>
      <c r="H2102" t="str">
        <f t="shared" si="131"/>
        <v>OK</v>
      </c>
      <c r="I2102" t="str">
        <f t="shared" si="128"/>
        <v>OK</v>
      </c>
    </row>
    <row r="2103" spans="1:9" x14ac:dyDescent="0.2">
      <c r="A2103" t="str">
        <f>ObesityDataSet_raw_and_data_sin!A2103</f>
        <v>Female</v>
      </c>
      <c r="B2103">
        <f>ObesityDataSet_raw_and_data_sin!C2103</f>
        <v>1.6284700000000001</v>
      </c>
      <c r="C2103">
        <f>ObesityDataSet_raw_and_data_sin!D2103</f>
        <v>107.21894899999999</v>
      </c>
      <c r="D2103" t="str">
        <f>ObesityDataSet_raw_and_data_sin!Q2103</f>
        <v>Obesity_Type_III</v>
      </c>
      <c r="E2103" t="b">
        <f t="shared" si="129"/>
        <v>0</v>
      </c>
      <c r="F2103">
        <f>C2103/(B2103*B2103)</f>
        <v>40.430770805914541</v>
      </c>
      <c r="G2103" t="str">
        <f t="shared" si="130"/>
        <v>Obese</v>
      </c>
      <c r="H2103" t="str">
        <f t="shared" si="131"/>
        <v>OK</v>
      </c>
      <c r="I2103" t="str">
        <f t="shared" si="128"/>
        <v>OK</v>
      </c>
    </row>
    <row r="2104" spans="1:9" x14ac:dyDescent="0.2">
      <c r="A2104" t="str">
        <f>ObesityDataSet_raw_and_data_sin!A2104</f>
        <v>Female</v>
      </c>
      <c r="B2104">
        <f>ObesityDataSet_raw_and_data_sin!C2104</f>
        <v>1.627839</v>
      </c>
      <c r="C2104">
        <f>ObesityDataSet_raw_and_data_sin!D2104</f>
        <v>108.10736</v>
      </c>
      <c r="D2104" t="str">
        <f>ObesityDataSet_raw_and_data_sin!Q2104</f>
        <v>Obesity_Type_III</v>
      </c>
      <c r="E2104" t="b">
        <f t="shared" si="129"/>
        <v>0</v>
      </c>
      <c r="F2104">
        <f>C2104/(B2104*B2104)</f>
        <v>40.797388448720611</v>
      </c>
      <c r="G2104" t="str">
        <f t="shared" si="130"/>
        <v>Obese</v>
      </c>
      <c r="H2104" t="str">
        <f t="shared" si="131"/>
        <v>OK</v>
      </c>
      <c r="I2104" t="str">
        <f t="shared" si="128"/>
        <v>OK</v>
      </c>
    </row>
    <row r="2105" spans="1:9" x14ac:dyDescent="0.2">
      <c r="A2105" t="str">
        <f>ObesityDataSet_raw_and_data_sin!A2105</f>
        <v>Female</v>
      </c>
      <c r="B2105">
        <f>ObesityDataSet_raw_and_data_sin!C2105</f>
        <v>1.7242679999999999</v>
      </c>
      <c r="C2105">
        <f>ObesityDataSet_raw_and_data_sin!D2105</f>
        <v>133.033523</v>
      </c>
      <c r="D2105" t="str">
        <f>ObesityDataSet_raw_and_data_sin!Q2105</f>
        <v>Obesity_Type_III</v>
      </c>
      <c r="E2105" t="b">
        <f t="shared" si="129"/>
        <v>0</v>
      </c>
      <c r="F2105">
        <f>C2105/(B2105*B2105)</f>
        <v>44.745725647457732</v>
      </c>
      <c r="G2105" t="str">
        <f t="shared" si="130"/>
        <v>Obese</v>
      </c>
      <c r="H2105" t="str">
        <f t="shared" si="131"/>
        <v>OK</v>
      </c>
      <c r="I2105" t="str">
        <f t="shared" si="128"/>
        <v>OK</v>
      </c>
    </row>
    <row r="2106" spans="1:9" x14ac:dyDescent="0.2">
      <c r="A2106" t="str">
        <f>ObesityDataSet_raw_and_data_sin!A2106</f>
        <v>Female</v>
      </c>
      <c r="B2106">
        <f>ObesityDataSet_raw_and_data_sin!C2106</f>
        <v>1.732383</v>
      </c>
      <c r="C2106">
        <f>ObesityDataSet_raw_and_data_sin!D2106</f>
        <v>133.04394099999999</v>
      </c>
      <c r="D2106" t="str">
        <f>ObesityDataSet_raw_and_data_sin!Q2106</f>
        <v>Obesity_Type_III</v>
      </c>
      <c r="E2106" t="b">
        <f t="shared" si="129"/>
        <v>0</v>
      </c>
      <c r="F2106">
        <f>C2106/(B2106*B2106)</f>
        <v>44.330974104420029</v>
      </c>
      <c r="G2106" t="str">
        <f t="shared" si="130"/>
        <v>Obese</v>
      </c>
      <c r="H2106" t="str">
        <f t="shared" si="131"/>
        <v>OK</v>
      </c>
      <c r="I2106" t="str">
        <f t="shared" si="128"/>
        <v>OK</v>
      </c>
    </row>
    <row r="2107" spans="1:9" x14ac:dyDescent="0.2">
      <c r="A2107" t="str">
        <f>ObesityDataSet_raw_and_data_sin!A2107</f>
        <v>Female</v>
      </c>
      <c r="B2107">
        <f>ObesityDataSet_raw_and_data_sin!C2107</f>
        <v>1.72692</v>
      </c>
      <c r="C2107">
        <f>ObesityDataSet_raw_and_data_sin!D2107</f>
        <v>131.33578600000001</v>
      </c>
      <c r="D2107" t="str">
        <f>ObesityDataSet_raw_and_data_sin!Q2107</f>
        <v>Obesity_Type_III</v>
      </c>
      <c r="E2107" t="b">
        <f t="shared" si="129"/>
        <v>0</v>
      </c>
      <c r="F2107">
        <f>C2107/(B2107*B2107)</f>
        <v>44.039120695215416</v>
      </c>
      <c r="G2107" t="str">
        <f t="shared" si="130"/>
        <v>Obese</v>
      </c>
      <c r="H2107" t="str">
        <f t="shared" si="131"/>
        <v>OK</v>
      </c>
      <c r="I2107" t="str">
        <f t="shared" si="128"/>
        <v>OK</v>
      </c>
    </row>
    <row r="2108" spans="1:9" x14ac:dyDescent="0.2">
      <c r="A2108" t="str">
        <f>ObesityDataSet_raw_and_data_sin!A2108</f>
        <v>Female</v>
      </c>
      <c r="B2108">
        <f>ObesityDataSet_raw_and_data_sin!C2108</f>
        <v>1.7107300000000001</v>
      </c>
      <c r="C2108">
        <f>ObesityDataSet_raw_and_data_sin!D2108</f>
        <v>131.40852799999999</v>
      </c>
      <c r="D2108" t="str">
        <f>ObesityDataSet_raw_and_data_sin!Q2108</f>
        <v>Obesity_Type_III</v>
      </c>
      <c r="E2108" t="b">
        <f t="shared" si="129"/>
        <v>0</v>
      </c>
      <c r="F2108">
        <f>C2108/(B2108*B2108)</f>
        <v>44.901475000689857</v>
      </c>
      <c r="G2108" t="str">
        <f t="shared" si="130"/>
        <v>Obese</v>
      </c>
      <c r="H2108" t="str">
        <f t="shared" si="131"/>
        <v>OK</v>
      </c>
      <c r="I2108" t="str">
        <f t="shared" si="128"/>
        <v>OK</v>
      </c>
    </row>
    <row r="2109" spans="1:9" x14ac:dyDescent="0.2">
      <c r="A2109" t="str">
        <f>ObesityDataSet_raw_and_data_sin!A2109</f>
        <v>Female</v>
      </c>
      <c r="B2109">
        <f>ObesityDataSet_raw_and_data_sin!C2109</f>
        <v>1.7485839999999999</v>
      </c>
      <c r="C2109">
        <f>ObesityDataSet_raw_and_data_sin!D2109</f>
        <v>133.742943</v>
      </c>
      <c r="D2109" t="str">
        <f>ObesityDataSet_raw_and_data_sin!Q2109</f>
        <v>Obesity_Type_III</v>
      </c>
      <c r="E2109" t="b">
        <f t="shared" si="129"/>
        <v>0</v>
      </c>
      <c r="F2109">
        <f>C2109/(B2109*B2109)</f>
        <v>43.741923352532012</v>
      </c>
      <c r="G2109" t="str">
        <f t="shared" si="130"/>
        <v>Obese</v>
      </c>
      <c r="H2109" t="str">
        <f t="shared" si="131"/>
        <v>OK</v>
      </c>
      <c r="I2109" t="str">
        <f t="shared" si="128"/>
        <v>OK</v>
      </c>
    </row>
    <row r="2110" spans="1:9" x14ac:dyDescent="0.2">
      <c r="A2110" t="str">
        <f>ObesityDataSet_raw_and_data_sin!A2110</f>
        <v>Female</v>
      </c>
      <c r="B2110">
        <f>ObesityDataSet_raw_and_data_sin!C2110</f>
        <v>1.7522059999999999</v>
      </c>
      <c r="C2110">
        <f>ObesityDataSet_raw_and_data_sin!D2110</f>
        <v>133.68935200000001</v>
      </c>
      <c r="D2110" t="str">
        <f>ObesityDataSet_raw_and_data_sin!Q2110</f>
        <v>Obesity_Type_III</v>
      </c>
      <c r="E2110" t="b">
        <f t="shared" si="129"/>
        <v>0</v>
      </c>
      <c r="F2110">
        <f>C2110/(B2110*B2110)</f>
        <v>43.54381658414929</v>
      </c>
      <c r="G2110" t="str">
        <f t="shared" si="130"/>
        <v>Obese</v>
      </c>
      <c r="H2110" t="str">
        <f t="shared" si="131"/>
        <v>OK</v>
      </c>
      <c r="I2110" t="str">
        <f t="shared" si="128"/>
        <v>OK</v>
      </c>
    </row>
    <row r="2111" spans="1:9" x14ac:dyDescent="0.2">
      <c r="A2111" t="str">
        <f>ObesityDataSet_raw_and_data_sin!A2111</f>
        <v>Female</v>
      </c>
      <c r="B2111">
        <f>ObesityDataSet_raw_and_data_sin!C2111</f>
        <v>1.7394499999999999</v>
      </c>
      <c r="C2111">
        <f>ObesityDataSet_raw_and_data_sin!D2111</f>
        <v>133.34664100000001</v>
      </c>
      <c r="D2111" t="str">
        <f>ObesityDataSet_raw_and_data_sin!Q2111</f>
        <v>Obesity_Type_III</v>
      </c>
      <c r="E2111" t="b">
        <f t="shared" si="129"/>
        <v>0</v>
      </c>
      <c r="F2111">
        <f>C2111/(B2111*B2111)</f>
        <v>44.071535403330209</v>
      </c>
      <c r="G2111" t="str">
        <f t="shared" si="130"/>
        <v>Obese</v>
      </c>
      <c r="H2111" t="str">
        <f t="shared" si="131"/>
        <v>OK</v>
      </c>
      <c r="I2111" t="str">
        <f t="shared" si="128"/>
        <v>OK</v>
      </c>
    </row>
    <row r="2112" spans="1:9" x14ac:dyDescent="0.2">
      <c r="A2112" t="str">
        <f>ObesityDataSet_raw_and_data_sin!A2112</f>
        <v>Female</v>
      </c>
      <c r="B2112">
        <f>ObesityDataSet_raw_and_data_sin!C2112</f>
        <v>1.738836</v>
      </c>
      <c r="C2112">
        <f>ObesityDataSet_raw_and_data_sin!D2112</f>
        <v>133.47264100000001</v>
      </c>
      <c r="D2112" t="str">
        <f>ObesityDataSet_raw_and_data_sin!Q2112</f>
        <v>Obesity_Type_III</v>
      </c>
      <c r="E2112" t="b">
        <f t="shared" si="129"/>
        <v>0</v>
      </c>
      <c r="F2112">
        <f>C2112/(B2112*B2112)</f>
        <v>44.14433793816422</v>
      </c>
      <c r="G2112" t="str">
        <f t="shared" si="130"/>
        <v>Obese</v>
      </c>
      <c r="H2112" t="str">
        <f t="shared" si="131"/>
        <v>OK</v>
      </c>
      <c r="I2112" t="str">
        <f t="shared" si="128"/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9BBD-5215-AB42-909C-70ECEC029C58}">
  <dimension ref="A1:R30"/>
  <sheetViews>
    <sheetView workbookViewId="0">
      <selection activeCell="C31" sqref="C31"/>
    </sheetView>
  </sheetViews>
  <sheetFormatPr baseColWidth="10" defaultRowHeight="16" x14ac:dyDescent="0.2"/>
  <cols>
    <col min="1" max="1" width="20.5" bestFit="1" customWidth="1"/>
    <col min="2" max="2" width="12.33203125" bestFit="1" customWidth="1"/>
    <col min="3" max="3" width="13.33203125" customWidth="1"/>
  </cols>
  <sheetData>
    <row r="1" spans="1:18" x14ac:dyDescent="0.2">
      <c r="A1" t="s">
        <v>36</v>
      </c>
      <c r="B1" t="str">
        <f>ObesityDataSet_raw_and_data_sin!A1</f>
        <v>Gender</v>
      </c>
      <c r="C1" t="str">
        <f>ObesityDataSet_raw_and_data_sin!B1</f>
        <v>Age</v>
      </c>
      <c r="D1" t="str">
        <f>ObesityDataSet_raw_and_data_sin!C1</f>
        <v>Height</v>
      </c>
      <c r="E1" t="str">
        <f>ObesityDataSet_raw_and_data_sin!D1</f>
        <v>Weight</v>
      </c>
      <c r="F1" t="str">
        <f>ObesityDataSet_raw_and_data_sin!E1</f>
        <v>family_history_with_overweight</v>
      </c>
      <c r="G1" t="str">
        <f>ObesityDataSet_raw_and_data_sin!F1</f>
        <v>FAVC</v>
      </c>
      <c r="H1" t="str">
        <f>ObesityDataSet_raw_and_data_sin!G1</f>
        <v>FCVC</v>
      </c>
      <c r="I1" t="str">
        <f>ObesityDataSet_raw_and_data_sin!H1</f>
        <v>NCP</v>
      </c>
      <c r="J1" t="str">
        <f>ObesityDataSet_raw_and_data_sin!I1</f>
        <v>CAEC</v>
      </c>
      <c r="K1" t="str">
        <f>ObesityDataSet_raw_and_data_sin!J1</f>
        <v>SMOKE</v>
      </c>
      <c r="L1" t="str">
        <f>ObesityDataSet_raw_and_data_sin!K1</f>
        <v>CH2O</v>
      </c>
      <c r="M1" t="str">
        <f>ObesityDataSet_raw_and_data_sin!L1</f>
        <v>SCC</v>
      </c>
      <c r="N1" t="str">
        <f>ObesityDataSet_raw_and_data_sin!M1</f>
        <v>FAF</v>
      </c>
      <c r="O1" t="str">
        <f>ObesityDataSet_raw_and_data_sin!N1</f>
        <v>TUE</v>
      </c>
      <c r="P1" t="str">
        <f>ObesityDataSet_raw_and_data_sin!O1</f>
        <v>CALC</v>
      </c>
      <c r="Q1" t="str">
        <f>ObesityDataSet_raw_and_data_sin!P1</f>
        <v>MTRANS</v>
      </c>
      <c r="R1" t="str">
        <f>ObesityDataSet_raw_and_data_sin!Q1</f>
        <v>NObeyesdad</v>
      </c>
    </row>
    <row r="2" spans="1:18" x14ac:dyDescent="0.2">
      <c r="A2" t="s">
        <v>37</v>
      </c>
      <c r="C2" t="str">
        <f>MIN(ObesityDataSet_raw_and_data_sin!B:B)&amp;"-"&amp;MAX(ObesityDataSet_raw_and_data_sin!B:B)</f>
        <v>14-61</v>
      </c>
      <c r="D2" t="str">
        <f>MIN(ObesityDataSet_raw_and_data_sin!C:C)&amp;"-"&amp;MAX(ObesityDataSet_raw_and_data_sin!C:C)</f>
        <v>1.45-1.98</v>
      </c>
      <c r="E2" t="str">
        <f>MIN(ObesityDataSet_raw_and_data_sin!D:D)&amp;"-"&amp;MAX(ObesityDataSet_raw_and_data_sin!D:D)</f>
        <v>39-173</v>
      </c>
      <c r="H2" t="str">
        <f>MIN(ObesityDataSet_raw_and_data_sin!G:G)&amp;"-"&amp;MAX(ObesityDataSet_raw_and_data_sin!G:G)</f>
        <v>1-3</v>
      </c>
      <c r="I2" t="str">
        <f>MIN(ObesityDataSet_raw_and_data_sin!H:H)&amp;"-"&amp;MAX(ObesityDataSet_raw_and_data_sin!H:H)</f>
        <v>1-4</v>
      </c>
      <c r="L2" t="str">
        <f>MIN(ObesityDataSet_raw_and_data_sin!K:K)&amp;"-"&amp;MAX(ObesityDataSet_raw_and_data_sin!K:K)</f>
        <v>1-3</v>
      </c>
      <c r="N2" t="str">
        <f>MIN(ObesityDataSet_raw_and_data_sin!M:M)&amp;"-"&amp;MAX(ObesityDataSet_raw_and_data_sin!M:M)</f>
        <v>0-3</v>
      </c>
      <c r="O2" t="str">
        <f>MIN(ObesityDataSet_raw_and_data_sin!N:N)&amp;"-"&amp;MAX(ObesityDataSet_raw_and_data_sin!N:N)</f>
        <v>0-2</v>
      </c>
    </row>
    <row r="3" spans="1:18" x14ac:dyDescent="0.2">
      <c r="A3" t="s">
        <v>38</v>
      </c>
      <c r="C3">
        <f>AVERAGE(ObesityDataSet_raw_and_data_sin!B:B)</f>
        <v>24.312599908574121</v>
      </c>
      <c r="D3">
        <f>AVERAGE(ObesityDataSet_raw_and_data_sin!C:C)</f>
        <v>1.7016773533870178</v>
      </c>
      <c r="E3">
        <f>AVERAGE(ObesityDataSet_raw_and_data_sin!D:D)</f>
        <v>86.586058126480367</v>
      </c>
      <c r="H3">
        <f>AVERAGE(ObesityDataSet_raw_and_data_sin!G:G)</f>
        <v>2.4190430615821916</v>
      </c>
      <c r="I3">
        <f>AVERAGE(ObesityDataSet_raw_and_data_sin!H:H)</f>
        <v>2.6856280497394609</v>
      </c>
      <c r="L3">
        <f>AVERAGE(ObesityDataSet_raw_and_data_sin!K:K)</f>
        <v>2.0080114040738999</v>
      </c>
      <c r="N3">
        <f>AVERAGE(ObesityDataSet_raw_and_data_sin!M:M)</f>
        <v>1.010297695878732</v>
      </c>
      <c r="O3">
        <f>AVERAGE(ObesityDataSet_raw_and_data_sin!N:N)</f>
        <v>0.65786592373282959</v>
      </c>
    </row>
    <row r="4" spans="1:18" x14ac:dyDescent="0.2">
      <c r="A4" t="s">
        <v>39</v>
      </c>
      <c r="B4" t="str" cm="1">
        <f t="array" ref="B4">_xlfn.TEXTJOIN("",1,_xlfn._xlws.FILTER(_xlfn.UNIQUE(ObesityDataSet_raw_and_data_sin!A:A),COUNTIF(ObesityDataSet_raw_and_data_sin!A:A,_xlfn.UNIQUE(ObesityDataSet_raw_and_data_sin!A:A))=MAX(COUNTIF(ObesityDataSet_raw_and_data_sin!A:A,_xlfn.UNIQUE(ObesityDataSet_raw_and_data_sin!A:A)))))</f>
        <v>Male</v>
      </c>
      <c r="C4" t="str" cm="1">
        <f t="array" ref="C4">_xlfn.TEXTJOIN("",1,_xlfn._xlws.FILTER(_xlfn.UNIQUE(ObesityDataSet_raw_and_data_sin!B:B),COUNTIF(ObesityDataSet_raw_and_data_sin!B:B,_xlfn.UNIQUE(ObesityDataSet_raw_and_data_sin!B:B))=MAX(COUNTIF(ObesityDataSet_raw_and_data_sin!B:B,_xlfn.UNIQUE(ObesityDataSet_raw_and_data_sin!B:B)))))</f>
        <v>18</v>
      </c>
      <c r="D4" t="str" cm="1">
        <f t="array" ref="D4">_xlfn.TEXTJOIN("",1,_xlfn._xlws.FILTER(_xlfn.UNIQUE(ObesityDataSet_raw_and_data_sin!C:C),COUNTIF(ObesityDataSet_raw_and_data_sin!C:C,_xlfn.UNIQUE(ObesityDataSet_raw_and_data_sin!C:C))=MAX(COUNTIF(ObesityDataSet_raw_and_data_sin!C:C,_xlfn.UNIQUE(ObesityDataSet_raw_and_data_sin!C:C)))))</f>
        <v>1.7</v>
      </c>
      <c r="E4" t="str" cm="1">
        <f t="array" ref="E4">_xlfn.TEXTJOIN("",1,_xlfn._xlws.FILTER(_xlfn.UNIQUE(ObesityDataSet_raw_and_data_sin!D:D),COUNTIF(ObesityDataSet_raw_and_data_sin!D:D,_xlfn.UNIQUE(ObesityDataSet_raw_and_data_sin!D:D))=MAX(COUNTIF(ObesityDataSet_raw_and_data_sin!D:D,_xlfn.UNIQUE(ObesityDataSet_raw_and_data_sin!D:D)))))</f>
        <v>80</v>
      </c>
      <c r="F4" t="str" cm="1">
        <f t="array" ref="F4">_xlfn.TEXTJOIN("",1,_xlfn._xlws.FILTER(_xlfn.UNIQUE(ObesityDataSet_raw_and_data_sin!E:E),COUNTIF(ObesityDataSet_raw_and_data_sin!E:E,_xlfn.UNIQUE(ObesityDataSet_raw_and_data_sin!E:E))=MAX(COUNTIF(ObesityDataSet_raw_and_data_sin!E:E,_xlfn.UNIQUE(ObesityDataSet_raw_and_data_sin!E:E)))))</f>
        <v>yes</v>
      </c>
      <c r="G4" t="str" cm="1">
        <f t="array" ref="G4">_xlfn.TEXTJOIN("",1,_xlfn._xlws.FILTER(_xlfn.UNIQUE(ObesityDataSet_raw_and_data_sin!F:F),COUNTIF(ObesityDataSet_raw_and_data_sin!F:F,_xlfn.UNIQUE(ObesityDataSet_raw_and_data_sin!F:F))=MAX(COUNTIF(ObesityDataSet_raw_and_data_sin!F:F,_xlfn.UNIQUE(ObesityDataSet_raw_and_data_sin!F:F)))))</f>
        <v>yes</v>
      </c>
      <c r="H4" t="str" cm="1">
        <f t="array" ref="H4">_xlfn.TEXTJOIN("",1,_xlfn._xlws.FILTER(_xlfn.UNIQUE(ObesityDataSet_raw_and_data_sin!G:G),COUNTIF(ObesityDataSet_raw_and_data_sin!G:G,_xlfn.UNIQUE(ObesityDataSet_raw_and_data_sin!G:G))=MAX(COUNTIF(ObesityDataSet_raw_and_data_sin!G:G,_xlfn.UNIQUE(ObesityDataSet_raw_and_data_sin!G:G)))))</f>
        <v>3</v>
      </c>
      <c r="I4" t="str" cm="1">
        <f t="array" ref="I4">_xlfn.TEXTJOIN("",1,_xlfn._xlws.FILTER(_xlfn.UNIQUE(ObesityDataSet_raw_and_data_sin!H:H),COUNTIF(ObesityDataSet_raw_and_data_sin!H:H,_xlfn.UNIQUE(ObesityDataSet_raw_and_data_sin!H:H))=MAX(COUNTIF(ObesityDataSet_raw_and_data_sin!H:H,_xlfn.UNIQUE(ObesityDataSet_raw_and_data_sin!H:H)))))</f>
        <v>3</v>
      </c>
      <c r="J4" t="str" cm="1">
        <f t="array" ref="J4">_xlfn.TEXTJOIN("",1,_xlfn._xlws.FILTER(_xlfn.UNIQUE(ObesityDataSet_raw_and_data_sin!I:I),COUNTIF(ObesityDataSet_raw_and_data_sin!I:I,_xlfn.UNIQUE(ObesityDataSet_raw_and_data_sin!I:I))=MAX(COUNTIF(ObesityDataSet_raw_and_data_sin!I:I,_xlfn.UNIQUE(ObesityDataSet_raw_and_data_sin!I:I)))))</f>
        <v>Sometimes</v>
      </c>
      <c r="K4" t="str" cm="1">
        <f t="array" ref="K4">_xlfn.TEXTJOIN("",1,_xlfn._xlws.FILTER(_xlfn.UNIQUE(ObesityDataSet_raw_and_data_sin!J:J),COUNTIF(ObesityDataSet_raw_and_data_sin!J:J,_xlfn.UNIQUE(ObesityDataSet_raw_and_data_sin!J:J))=MAX(COUNTIF(ObesityDataSet_raw_and_data_sin!J:J,_xlfn.UNIQUE(ObesityDataSet_raw_and_data_sin!J:J)))))</f>
        <v>no</v>
      </c>
      <c r="L4" t="str" cm="1">
        <f t="array" ref="L4">_xlfn.TEXTJOIN("",1,_xlfn._xlws.FILTER(_xlfn.UNIQUE(ObesityDataSet_raw_and_data_sin!K:K),COUNTIF(ObesityDataSet_raw_and_data_sin!K:K,_xlfn.UNIQUE(ObesityDataSet_raw_and_data_sin!K:K))=MAX(COUNTIF(ObesityDataSet_raw_and_data_sin!K:K,_xlfn.UNIQUE(ObesityDataSet_raw_and_data_sin!K:K)))))</f>
        <v>2</v>
      </c>
      <c r="M4" t="str" cm="1">
        <f t="array" ref="M4">_xlfn.TEXTJOIN("",1,_xlfn._xlws.FILTER(_xlfn.UNIQUE(ObesityDataSet_raw_and_data_sin!L:L),COUNTIF(ObesityDataSet_raw_and_data_sin!L:L,_xlfn.UNIQUE(ObesityDataSet_raw_and_data_sin!L:L))=MAX(COUNTIF(ObesityDataSet_raw_and_data_sin!L:L,_xlfn.UNIQUE(ObesityDataSet_raw_and_data_sin!L:L)))))</f>
        <v>no</v>
      </c>
      <c r="N4" t="str" cm="1">
        <f t="array" ref="N4">_xlfn.TEXTJOIN("",1,_xlfn._xlws.FILTER(_xlfn.UNIQUE(ObesityDataSet_raw_and_data_sin!M:M),COUNTIF(ObesityDataSet_raw_and_data_sin!M:M,_xlfn.UNIQUE(ObesityDataSet_raw_and_data_sin!M:M))=MAX(COUNTIF(ObesityDataSet_raw_and_data_sin!M:M,_xlfn.UNIQUE(ObesityDataSet_raw_and_data_sin!M:M)))))</f>
        <v>0</v>
      </c>
      <c r="O4" t="str" cm="1">
        <f t="array" ref="O4">_xlfn.TEXTJOIN("",1,_xlfn._xlws.FILTER(_xlfn.UNIQUE(ObesityDataSet_raw_and_data_sin!N:N),COUNTIF(ObesityDataSet_raw_and_data_sin!N:N,_xlfn.UNIQUE(ObesityDataSet_raw_and_data_sin!N:N))=MAX(COUNTIF(ObesityDataSet_raw_and_data_sin!N:N,_xlfn.UNIQUE(ObesityDataSet_raw_and_data_sin!N:N)))))</f>
        <v>0</v>
      </c>
      <c r="P4" t="str" cm="1">
        <f t="array" ref="P4">_xlfn.TEXTJOIN("",1,_xlfn._xlws.FILTER(_xlfn.UNIQUE(ObesityDataSet_raw_and_data_sin!O:O),COUNTIF(ObesityDataSet_raw_and_data_sin!O:O,_xlfn.UNIQUE(ObesityDataSet_raw_and_data_sin!O:O))=MAX(COUNTIF(ObesityDataSet_raw_and_data_sin!O:O,_xlfn.UNIQUE(ObesityDataSet_raw_and_data_sin!O:O)))))</f>
        <v>Sometimes</v>
      </c>
      <c r="Q4" t="str" cm="1">
        <f t="array" ref="Q4">_xlfn.TEXTJOIN("",1,_xlfn._xlws.FILTER(_xlfn.UNIQUE(ObesityDataSet_raw_and_data_sin!P:P),COUNTIF(ObesityDataSet_raw_and_data_sin!P:P,_xlfn.UNIQUE(ObesityDataSet_raw_and_data_sin!P:P))=MAX(COUNTIF(ObesityDataSet_raw_and_data_sin!P:P,_xlfn.UNIQUE(ObesityDataSet_raw_and_data_sin!P:P)))))</f>
        <v>Public_Transportation</v>
      </c>
      <c r="R4" t="str" cm="1">
        <f t="array" ref="R4">_xlfn.TEXTJOIN("",1,_xlfn._xlws.FILTER(_xlfn.UNIQUE(ObesityDataSet_raw_and_data_sin!Q:Q),COUNTIF(ObesityDataSet_raw_and_data_sin!Q:Q,_xlfn.UNIQUE(ObesityDataSet_raw_and_data_sin!Q:Q))=MAX(COUNTIF(ObesityDataSet_raw_and_data_sin!Q:Q,_xlfn.UNIQUE(ObesityDataSet_raw_and_data_sin!Q:Q)))))</f>
        <v>Obesity_Type_I</v>
      </c>
    </row>
    <row r="5" spans="1:18" x14ac:dyDescent="0.2">
      <c r="A5" t="s">
        <v>40</v>
      </c>
      <c r="C5">
        <f>_xlfn.VAR.S(ObesityDataSet_raw_and_data_sin!B:B)</f>
        <v>40.271313331216923</v>
      </c>
      <c r="D5">
        <f>_xlfn.VAR.S(ObesityDataSet_raw_and_data_sin!C:C)</f>
        <v>8.7057894105849985E-3</v>
      </c>
      <c r="E5">
        <f>_xlfn.VAR.S(ObesityDataSet_raw_and_data_sin!D:D)</f>
        <v>685.97747738680482</v>
      </c>
      <c r="H5">
        <f>_xlfn.VAR.S(ObesityDataSet_raw_and_data_sin!G:G)</f>
        <v>0.28507759123222143</v>
      </c>
      <c r="I5">
        <f>_xlfn.VAR.S(ObesityDataSet_raw_and_data_sin!H:H)</f>
        <v>0.60534413909167062</v>
      </c>
      <c r="L5">
        <f>_xlfn.VAR.S(ObesityDataSet_raw_and_data_sin!K:K)</f>
        <v>0.37571193406970216</v>
      </c>
      <c r="N5">
        <f>_xlfn.VAR.S(ObesityDataSet_raw_and_data_sin!M:M)</f>
        <v>0.72350748339667914</v>
      </c>
      <c r="O5">
        <f>_xlfn.VAR.S(ObesityDataSet_raw_and_data_sin!N:N)</f>
        <v>0.37079240757698123</v>
      </c>
    </row>
    <row r="7" spans="1:18" x14ac:dyDescent="0.2">
      <c r="A7" t="s">
        <v>60</v>
      </c>
      <c r="B7" t="s">
        <v>61</v>
      </c>
      <c r="C7" t="s">
        <v>62</v>
      </c>
    </row>
    <row r="8" spans="1:18" x14ac:dyDescent="0.2">
      <c r="A8" t="s">
        <v>49</v>
      </c>
      <c r="B8">
        <f>_xlfn.MINIFS('Derived Fields'!F:F,'Derived Fields'!D:D,"Insufficient_Weight")</f>
        <v>12.998684889724604</v>
      </c>
      <c r="C8">
        <f>_xlfn.MINIFS('Derived Fields'!F1:F499,'Derived Fields'!D1:D499,"Insufficient_Weight")</f>
        <v>13.291587901701323</v>
      </c>
    </row>
    <row r="9" spans="1:18" x14ac:dyDescent="0.2">
      <c r="A9" t="s">
        <v>44</v>
      </c>
      <c r="B9">
        <f>_xlfn.MAXIFS('Derived Fields'!F:F,'Derived Fields'!D:D,"Insufficient_Weight")</f>
        <v>19.082205937029588</v>
      </c>
      <c r="C9">
        <f>_xlfn.MAXIFS('Derived Fields'!F1:F499,'Derived Fields'!D1:D499,"Insufficient_Weight")</f>
        <v>18.424036281179141</v>
      </c>
    </row>
    <row r="10" spans="1:18" x14ac:dyDescent="0.2">
      <c r="A10" t="s">
        <v>50</v>
      </c>
      <c r="B10">
        <f>_xlfn.MINIFS('Derived Fields'!F:F,'Derived Fields'!D:D,"Normal_Weight")</f>
        <v>18.491124260355029</v>
      </c>
      <c r="C10">
        <f>_xlfn.MINIFS('Derived Fields'!F1:F499,'Derived Fields'!D1:D499,"Normal_Weight")</f>
        <v>18.491124260355029</v>
      </c>
    </row>
    <row r="11" spans="1:18" x14ac:dyDescent="0.2">
      <c r="A11" t="s">
        <v>51</v>
      </c>
      <c r="B11">
        <f>_xlfn.MAXIFS('Derived Fields'!F:F,'Derived Fields'!D:D,"Normal_Weight")</f>
        <v>24.913494809688583</v>
      </c>
      <c r="C11">
        <f>_xlfn.MAXIFS('Derived Fields'!F1:F499,'Derived Fields'!D1:D499,"Normal_Weight")</f>
        <v>24.913494809688583</v>
      </c>
    </row>
    <row r="12" spans="1:18" x14ac:dyDescent="0.2">
      <c r="A12" t="s">
        <v>52</v>
      </c>
      <c r="B12">
        <f>_xlfn.MINIFS('Derived Fields'!F:F,'Derived Fields'!D:D,"Overweight_Level_I")</f>
        <v>22.826738618008303</v>
      </c>
      <c r="C12">
        <f>_xlfn.MINIFS('Derived Fields'!F1:F499,'Derived Fields'!D1:D499,"Overweight_Level_I")</f>
        <v>25.076193048107708</v>
      </c>
    </row>
    <row r="13" spans="1:18" x14ac:dyDescent="0.2">
      <c r="A13" t="s">
        <v>42</v>
      </c>
      <c r="B13">
        <f>_xlfn.MAXIFS('Derived Fields'!F:F,'Derived Fields'!D:D,"Overweight_Level_I")</f>
        <v>28.769607415728178</v>
      </c>
      <c r="C13">
        <f>_xlfn.MAXIFS('Derived Fields'!F1:F499,'Derived Fields'!D1:D499,"Overweight_Level_I")</f>
        <v>26.892323138154829</v>
      </c>
    </row>
    <row r="14" spans="1:18" x14ac:dyDescent="0.2">
      <c r="A14" t="s">
        <v>43</v>
      </c>
      <c r="B14">
        <f>_xlfn.MINIFS('Derived Fields'!F:F,'Derived Fields'!D:D,"Overweight_Level_II")</f>
        <v>25.713513085656647</v>
      </c>
      <c r="C14">
        <f>_xlfn.MINIFS('Derived Fields'!F1:F499,'Derived Fields'!D1:D499,"Overweight_Level_II")</f>
        <v>26.989619377162633</v>
      </c>
    </row>
    <row r="15" spans="1:18" x14ac:dyDescent="0.2">
      <c r="A15" t="s">
        <v>53</v>
      </c>
      <c r="B15">
        <f>_xlfn.MAXIFS('Derived Fields'!F:F,'Derived Fields'!D:D,"Overweight_Level_II")</f>
        <v>30.362876709289221</v>
      </c>
      <c r="C15">
        <f>_xlfn.MAXIFS('Derived Fields'!F1:F499,'Derived Fields'!D1:D499,"Overweight_Level_II")</f>
        <v>29.938271604938269</v>
      </c>
    </row>
    <row r="16" spans="1:18" x14ac:dyDescent="0.2">
      <c r="A16" t="s">
        <v>54</v>
      </c>
      <c r="B16">
        <f>_xlfn.MINIFS('Derived Fields'!F:F,'Derived Fields'!D:D,"Obesity_Type_I")</f>
        <v>29.911958308167144</v>
      </c>
      <c r="C16">
        <f>_xlfn.MINIFS('Derived Fields'!F1:F499,'Derived Fields'!D1:D499,"Obesity_Type_I")</f>
        <v>30.110278896458279</v>
      </c>
    </row>
    <row r="17" spans="1:3" x14ac:dyDescent="0.2">
      <c r="A17" t="s">
        <v>55</v>
      </c>
      <c r="B17">
        <f>_xlfn.MAXIFS('Derived Fields'!F:F,'Derived Fields'!D:D,"Obesity_Type_I")</f>
        <v>35.171094889797708</v>
      </c>
      <c r="C17">
        <f>_xlfn.MAXIFS('Derived Fields'!F1:F499,'Derived Fields'!D1:D499,"Obesity_Type_I")</f>
        <v>34.894398530762174</v>
      </c>
    </row>
    <row r="18" spans="1:3" x14ac:dyDescent="0.2">
      <c r="A18" t="s">
        <v>56</v>
      </c>
      <c r="B18">
        <f>_xlfn.MINIFS('Derived Fields'!F:F,'Derived Fields'!D:D,"Obesity_Type_II")</f>
        <v>34.048509479769301</v>
      </c>
      <c r="C18">
        <f>_xlfn.MINIFS('Derived Fields'!F1:F499,'Derived Fields'!D1:D499,"Obesity_Type_II")</f>
        <v>35.003199217132753</v>
      </c>
    </row>
    <row r="19" spans="1:3" x14ac:dyDescent="0.2">
      <c r="A19" t="s">
        <v>57</v>
      </c>
      <c r="B19">
        <f>_xlfn.MAXIFS('Derived Fields'!F:F,'Derived Fields'!D:D,"Obesity_Type_II")</f>
        <v>39.786651874208843</v>
      </c>
      <c r="C19">
        <f>_xlfn.MAXIFS('Derived Fields'!F1:F499,'Derived Fields'!D1:D499,"Obesity_Type_II")</f>
        <v>39.257812499999993</v>
      </c>
    </row>
    <row r="20" spans="1:3" x14ac:dyDescent="0.2">
      <c r="A20" t="s">
        <v>58</v>
      </c>
      <c r="B20">
        <f>_xlfn.MINIFS('Derived Fields'!F:F,'Derived Fields'!D:D,"Obesity_Type_III")</f>
        <v>36.774400426037268</v>
      </c>
      <c r="C20">
        <f>_xlfn.MINIFS('Derived Fields'!F1:F499,'Derived Fields'!D1:D499,"Obesity_Type_III")</f>
        <v>40.644505733778487</v>
      </c>
    </row>
    <row r="21" spans="1:3" x14ac:dyDescent="0.2">
      <c r="A21" t="s">
        <v>59</v>
      </c>
      <c r="B21">
        <f>_xlfn.MAXIFS('Derived Fields'!F:F,'Derived Fields'!D:D,"Obesity_Type_III")</f>
        <v>50.811752805664327</v>
      </c>
      <c r="C21">
        <f>_xlfn.MAXIFS('Derived Fields'!F1:F499,'Derived Fields'!D1:D499,"Obesity_Type_III")</f>
        <v>49.472389830993158</v>
      </c>
    </row>
    <row r="23" spans="1:3" x14ac:dyDescent="0.2">
      <c r="A23" t="s">
        <v>63</v>
      </c>
      <c r="B23" t="s">
        <v>64</v>
      </c>
      <c r="C23" t="s">
        <v>66</v>
      </c>
    </row>
    <row r="24" spans="1:3" x14ac:dyDescent="0.2">
      <c r="A24" t="s">
        <v>32</v>
      </c>
      <c r="B24">
        <f>COUNTIFS('Derived Fields'!D1:D499,"Insufficient_Weight")</f>
        <v>34</v>
      </c>
      <c r="C24">
        <f>COUNTIFS('Derived Fields'!D:D,"Insufficient_Weight")</f>
        <v>272</v>
      </c>
    </row>
    <row r="25" spans="1:3" x14ac:dyDescent="0.2">
      <c r="A25" t="s">
        <v>65</v>
      </c>
      <c r="B25">
        <f>COUNTIFS('Derived Fields'!D1:D499,"Normal_Weight")</f>
        <v>287</v>
      </c>
      <c r="C25">
        <f>COUNTIFS('Derived Fields'!D:D,"Normal_Weight")</f>
        <v>287</v>
      </c>
    </row>
    <row r="26" spans="1:3" x14ac:dyDescent="0.2">
      <c r="A26" t="s">
        <v>26</v>
      </c>
      <c r="B26">
        <f>COUNTIFS('Derived Fields'!D1:D499,"Overweight_Level_I")</f>
        <v>58</v>
      </c>
      <c r="C26">
        <f>COUNTIFS('Derived Fields'!D:D,"Overweight_Level_I")</f>
        <v>290</v>
      </c>
    </row>
    <row r="27" spans="1:3" x14ac:dyDescent="0.2">
      <c r="A27" t="s">
        <v>27</v>
      </c>
      <c r="B27">
        <f>COUNTIFS('Derived Fields'!D1:D499,"Overweight_Level_II")</f>
        <v>58</v>
      </c>
      <c r="C27">
        <f>COUNTIFS('Derived Fields'!D:D,"Overweight_Level_II")</f>
        <v>290</v>
      </c>
    </row>
    <row r="28" spans="1:3" x14ac:dyDescent="0.2">
      <c r="A28" t="s">
        <v>30</v>
      </c>
      <c r="B28">
        <f>COUNTIFS('Derived Fields'!D1:D499,"Obesity_Type_I")</f>
        <v>47</v>
      </c>
      <c r="C28">
        <f>COUNTIFS('Derived Fields'!D:D,"Obesity_Type_I")</f>
        <v>351</v>
      </c>
    </row>
    <row r="29" spans="1:3" x14ac:dyDescent="0.2">
      <c r="A29" t="s">
        <v>33</v>
      </c>
      <c r="B29">
        <f>COUNTIFS('Derived Fields'!D1:D499,"Obesity_Type_II")</f>
        <v>11</v>
      </c>
      <c r="C29">
        <f>COUNTIFS('Derived Fields'!D:D,"Obesity_Type_II")</f>
        <v>297</v>
      </c>
    </row>
    <row r="30" spans="1:3" x14ac:dyDescent="0.2">
      <c r="A30" t="s">
        <v>35</v>
      </c>
      <c r="B30">
        <f>COUNTIFS('Derived Fields'!D1:D499,"Obesity_Type_III")</f>
        <v>3</v>
      </c>
      <c r="C30">
        <f>COUNTIFS('Derived Fields'!D:D,"Obesity_Type_III")</f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ObesityDataSet_raw_and_data_sin</vt:lpstr>
      <vt:lpstr>Derived Fields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Reynolds</dc:creator>
  <cp:lastModifiedBy>Aidan Reynolds</cp:lastModifiedBy>
  <dcterms:created xsi:type="dcterms:W3CDTF">2026-02-27T14:03:32Z</dcterms:created>
  <dcterms:modified xsi:type="dcterms:W3CDTF">2026-02-28T03:33:25Z</dcterms:modified>
</cp:coreProperties>
</file>